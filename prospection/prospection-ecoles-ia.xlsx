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Tableau de bord" sheetId="2" state="visible" r:id="rId2"/>
    <sheet name="Suivi appels" sheetId="3" state="visible" r:id="rId3"/>
    <sheet name="Base contacts" sheetId="4" state="visible" r:id="rId4"/>
    <sheet name="Offre et tarifs" sheetId="5" state="visible" r:id="rId5"/>
    <sheet name="Scripts et objections" sheetId="6" state="visible" r:id="rId6"/>
  </sheets>
  <definedNames>
    <definedName name="_xlnm._FilterDatabase" localSheetId="2" hidden="1">'Suivi appels'!$A$1:$P$107</definedName>
    <definedName name="_xlnm._FilterDatabase" localSheetId="3" hidden="1">'Base contacts'!$A$1:$O$106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F&quot;;-#,##0 &quot;F&quot;;&quot;-&quot;"/>
    <numFmt numFmtId="165" formatCode="0.0%"/>
    <numFmt numFmtId="166" formatCode="#,##0 &quot;F&quot;"/>
  </numFmts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i val="1"/>
      <color rgb="00808080"/>
      <sz val="9"/>
    </font>
    <font>
      <name val="Arial"/>
      <sz val="11"/>
    </font>
    <font>
      <name val="Arial"/>
      <color rgb="00808080"/>
      <sz val="9"/>
    </font>
    <font>
      <name val="Arial"/>
      <i val="1"/>
      <sz val="10"/>
    </font>
    <font>
      <name val="Arial"/>
      <b val="1"/>
      <sz val="12"/>
    </font>
    <font>
      <name val="Arial"/>
      <b val="1"/>
      <color rgb="000000FF"/>
      <sz val="11"/>
    </font>
    <font>
      <name val="Arial"/>
      <color rgb="000000FF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6" fillId="0" borderId="0" pivotButton="0" quotePrefix="0" xfId="0"/>
    <xf numFmtId="1" fontId="7" fillId="5" borderId="1" applyAlignment="1" pivotButton="0" quotePrefix="0" xfId="0">
      <alignment horizontal="right"/>
    </xf>
    <xf numFmtId="0" fontId="8" fillId="0" borderId="0" pivotButton="0" quotePrefix="0" xfId="0"/>
    <xf numFmtId="165" fontId="7" fillId="5" borderId="1" applyAlignment="1" pivotButton="0" quotePrefix="0" xfId="0">
      <alignment horizontal="right"/>
    </xf>
    <xf numFmtId="166" fontId="7" fillId="5" borderId="1" applyAlignment="1" pivotButton="0" quotePrefix="0" xfId="0">
      <alignment horizontal="right"/>
    </xf>
    <xf numFmtId="0" fontId="4" fillId="3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3" fontId="5" fillId="4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164" fontId="2" fillId="5" borderId="1" applyAlignment="1" pivotButton="0" quotePrefix="0" xfId="0">
      <alignment vertical="center"/>
    </xf>
    <xf numFmtId="0" fontId="2" fillId="0" borderId="1" pivotButton="0" quotePrefix="0" xfId="0"/>
    <xf numFmtId="0" fontId="2" fillId="2" borderId="1" pivotButton="0" quotePrefix="0" xfId="0"/>
    <xf numFmtId="0" fontId="2" fillId="5" borderId="1" pivotButton="0" quotePrefix="0" xfId="0"/>
    <xf numFmtId="0" fontId="2" fillId="4" borderId="1" pivotButton="0" quotePrefix="0" xfId="0"/>
    <xf numFmtId="0" fontId="2" fillId="6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3" fillId="2" borderId="0" applyAlignment="1" pivotButton="0" quotePrefix="0" xfId="0">
      <alignment vertical="top" wrapText="1"/>
    </xf>
    <xf numFmtId="166" fontId="11" fillId="4" borderId="0" pivotButton="0" quotePrefix="0" xfId="0"/>
    <xf numFmtId="0" fontId="12" fillId="4" borderId="0" pivotButton="0" quotePrefix="0" xfId="0"/>
    <xf numFmtId="166" fontId="2" fillId="5" borderId="0" pivotButton="0" quotePrefix="0" xfId="0"/>
    <xf numFmtId="166" fontId="3" fillId="5" borderId="0" pivotButton="0" quotePrefix="0" xfId="0"/>
    <xf numFmtId="0" fontId="3" fillId="0" borderId="0" applyAlignment="1" pivotButton="0" quotePrefix="0" xfId="0">
      <alignment vertical="top" wrapText="1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1">
      <c r="B1" s="1" t="inlineStr">
        <is>
          <t>PROSPECTION GRANDES ECOLES - INITIATION A L'IA</t>
        </is>
      </c>
      <c r="C1" s="2" t="inlineStr"/>
    </row>
    <row r="2">
      <c r="B2" s="3" t="inlineStr"/>
      <c r="C2" s="2" t="inlineStr"/>
    </row>
    <row r="3">
      <c r="B3" s="4" t="inlineStr">
        <is>
          <t>Onglet</t>
        </is>
      </c>
      <c r="C3" s="5" t="inlineStr">
        <is>
          <t>A quoi il sert</t>
        </is>
      </c>
    </row>
    <row r="4">
      <c r="B4" s="3" t="inlineStr">
        <is>
          <t>Suivi appels</t>
        </is>
      </c>
      <c r="C4" s="2" t="inlineStr">
        <is>
          <t>LA feuille de travail. Une ligne par ecole. C'est le seul onglet a remplir.</t>
        </is>
      </c>
    </row>
    <row r="5">
      <c r="B5" s="3" t="inlineStr">
        <is>
          <t>Tableau de bord</t>
        </is>
      </c>
      <c r="C5" s="2" t="inlineStr">
        <is>
          <t>Se calcule tout seul depuis Suivi appels. Ne rien y saisir.</t>
        </is>
      </c>
    </row>
    <row r="6">
      <c r="B6" s="3" t="inlineStr">
        <is>
          <t>Base contacts</t>
        </is>
      </c>
      <c r="C6" s="2" t="inlineStr">
        <is>
          <t>La fiche complete de chaque ecole : adresse, 2e numero, site, source, fiabilite.</t>
        </is>
      </c>
    </row>
    <row r="7">
      <c r="B7" s="3" t="inlineStr">
        <is>
          <t>Offre et tarifs</t>
        </is>
      </c>
      <c r="C7" s="2" t="inlineStr">
        <is>
          <t>Ce qui est vendu et a quel prix. Le tableau de CA se recalcule si on change un montant.</t>
        </is>
      </c>
    </row>
    <row r="8">
      <c r="B8" s="3" t="inlineStr">
        <is>
          <t>Scripts et objections</t>
        </is>
      </c>
      <c r="C8" s="2" t="inlineStr">
        <is>
          <t>Quoi dire en WhatsApp, au telephone, par mail, et quoi repondre aux objections.</t>
        </is>
      </c>
    </row>
    <row r="9">
      <c r="B9" s="3" t="inlineStr"/>
      <c r="C9" s="2" t="inlineStr"/>
    </row>
    <row r="10">
      <c r="B10" s="6" t="inlineStr">
        <is>
          <t>Colonnes a remplir (fond jaune)</t>
        </is>
      </c>
      <c r="C10" s="2" t="inlineStr"/>
    </row>
    <row r="11">
      <c r="B11" s="3" t="inlineStr">
        <is>
          <t>Nom du Directeur des Etudes</t>
        </is>
      </c>
      <c r="C11" s="2" t="inlineStr">
        <is>
          <t>A demander des le premier appel au standard. C'est l'information qui manque et qui fera la valeur de cette base.</t>
        </is>
      </c>
    </row>
    <row r="12">
      <c r="B12" s="3" t="inlineStr">
        <is>
          <t>Date 1er contact</t>
        </is>
      </c>
      <c r="C12" s="2" t="inlineStr">
        <is>
          <t>Format JJ/MM/AAAA.</t>
        </is>
      </c>
    </row>
    <row r="13">
      <c r="B13" s="3" t="inlineStr">
        <is>
          <t>Statut</t>
        </is>
      </c>
      <c r="C13" s="2" t="inlineStr">
        <is>
          <t>Liste deroulante. Fait vivre le tableau de bord.</t>
        </is>
      </c>
    </row>
    <row r="14">
      <c r="B14" s="3" t="inlineStr">
        <is>
          <t>Montant par eleve</t>
        </is>
      </c>
      <c r="C14" s="2" t="inlineStr">
        <is>
          <t>5000 ou 10000 FCFA. C'est l'etablissement qui le fixe.</t>
        </is>
      </c>
    </row>
    <row r="15">
      <c r="B15" s="3" t="inlineStr">
        <is>
          <t>Nb eleves par classe</t>
        </is>
      </c>
      <c r="C15" s="2" t="inlineStr">
        <is>
          <t>Effectif reel qui paiera. Seuil de rentabilite : 20.</t>
        </is>
      </c>
    </row>
    <row r="16">
      <c r="B16" s="3" t="inlineStr">
        <is>
          <t>Nb seances negocie</t>
        </is>
      </c>
      <c r="C16" s="2" t="inlineStr">
        <is>
          <t>1 par defaut. Passer a 2 seulement si la 2e seance a ete negociee.</t>
        </is>
      </c>
    </row>
    <row r="17">
      <c r="B17" s="3" t="inlineStr">
        <is>
          <t>Nb classes</t>
        </is>
      </c>
      <c r="C17" s="2" t="inlineStr">
        <is>
          <t>Nombre de classes engagees par l'etablissement.</t>
        </is>
      </c>
    </row>
    <row r="18">
      <c r="B18" s="3" t="inlineStr">
        <is>
          <t>Date seance</t>
        </is>
      </c>
      <c r="C18" s="2" t="inlineStr">
        <is>
          <t>Format JJ/MM/AAAA.</t>
        </is>
      </c>
    </row>
    <row r="19">
      <c r="B19" s="3" t="inlineStr"/>
      <c r="C19" s="2" t="inlineStr"/>
    </row>
    <row r="20">
      <c r="B20" s="6" t="inlineStr">
        <is>
          <t>Colonne calculee (fond vert)</t>
        </is>
      </c>
      <c r="C20" s="2" t="inlineStr"/>
    </row>
    <row r="21">
      <c r="B21" s="3" t="inlineStr">
        <is>
          <t>Montant attendu</t>
        </is>
      </c>
      <c r="C21" s="2">
        <f> (montant par eleve + supplement) x nb eleves x nb classes.</f>
        <v/>
      </c>
    </row>
    <row r="22">
      <c r="B22" s="3" t="inlineStr"/>
      <c r="C22" s="2" t="inlineStr">
        <is>
          <t>Supplement applique : +3 000 FCFA par eleve si une 2e seance est negociee au palier 5 000.</t>
        </is>
      </c>
    </row>
    <row r="23">
      <c r="B23" s="3" t="inlineStr"/>
      <c r="C23" s="2" t="inlineStr">
        <is>
          <t>Au palier 10 000, la 2e seance est incluse : aucun supplement. Regle definie dans Offre et tarifs.</t>
        </is>
      </c>
    </row>
    <row r="24">
      <c r="B24" s="3" t="inlineStr"/>
      <c r="C24" s="2" t="inlineStr"/>
    </row>
    <row r="25">
      <c r="B25" s="6" t="inlineStr">
        <is>
          <t>Avertissement sur les numeros</t>
        </is>
      </c>
      <c r="C25" s="2" t="inlineStr"/>
    </row>
    <row r="26">
      <c r="B26" s="3" t="inlineStr"/>
      <c r="C26" s="2" t="inlineStr">
        <is>
          <t>Les numeros en fiabilite Moyenne viennent d'annuaires et n'ont pas ete verifies un par un.</t>
        </is>
      </c>
    </row>
    <row r="27">
      <c r="B27" s="3" t="inlineStr"/>
      <c r="C27" s="2" t="inlineStr">
        <is>
          <t>Les anciens numeros a 8 chiffres ont ete convertis au format post-2021. En cas d'echec, essayer le 2e numero de l'onglet Base contacts.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60" customWidth="1" min="4" max="4"/>
  </cols>
  <sheetData>
    <row r="1">
      <c r="B1" s="1" t="inlineStr">
        <is>
          <t>TABLEAU DE BORD</t>
        </is>
      </c>
    </row>
    <row r="2">
      <c r="B2" s="7" t="inlineStr">
        <is>
          <t>Tout se calcule depuis l'onglet Suivi appels. La ligne d'exemple est exclue.</t>
        </is>
      </c>
    </row>
    <row r="4">
      <c r="B4" s="6" t="inlineStr">
        <is>
          <t>Ecoles dans la base</t>
        </is>
      </c>
      <c r="C4" s="8">
        <f>COUNTA('Suivi appels'!$B$3:$B$107)</f>
        <v/>
      </c>
      <c r="D4" s="9" t="inlineStr">
        <is>
          <t>Toutes vagues confondues</t>
        </is>
      </c>
    </row>
    <row r="5">
      <c r="B5" s="6" t="inlineStr">
        <is>
          <t>Ecoles contactees</t>
        </is>
      </c>
      <c r="C5" s="8">
        <f>COUNTIFS('Suivi appels'!$I$3:$I$107,"&lt;&gt;A contacter")</f>
        <v/>
      </c>
      <c r="D5" s="9" t="inlineStr">
        <is>
          <t>Statut different de A contacter</t>
        </is>
      </c>
    </row>
    <row r="6">
      <c r="B6" s="6" t="inlineStr">
        <is>
          <t>RDV fixes</t>
        </is>
      </c>
      <c r="C6" s="8">
        <f>COUNTIFS('Suivi appels'!$I$3:$I$107,"RDV fixe")</f>
        <v/>
      </c>
      <c r="D6" s="9" t="inlineStr"/>
    </row>
    <row r="7">
      <c r="B7" s="6" t="inlineStr">
        <is>
          <t>En negociation</t>
        </is>
      </c>
      <c r="C7" s="8">
        <f>COUNTIFS('Suivi appels'!$I$3:$I$107,"En negociation")</f>
        <v/>
      </c>
      <c r="D7" s="9" t="inlineStr"/>
    </row>
    <row r="8">
      <c r="B8" s="6" t="inlineStr">
        <is>
          <t>Ecoles signees</t>
        </is>
      </c>
      <c r="C8" s="8">
        <f>COUNTIFS('Suivi appels'!$I$3:$I$107,"Signe")</f>
        <v/>
      </c>
      <c r="D8" s="9" t="inlineStr"/>
    </row>
    <row r="9">
      <c r="B9" s="6" t="inlineStr">
        <is>
          <t>Taux de transformation</t>
        </is>
      </c>
      <c r="C9" s="10">
        <f>IFERROR(COUNTIFS('Suivi appels'!$I$3:$I$107,"Signe")/COUNTIFS('Suivi appels'!$I$3:$I$107,"&lt;&gt;A contacter"),"")</f>
        <v/>
      </c>
      <c r="D9" s="9" t="inlineStr">
        <is>
          <t>Signees / contactees</t>
        </is>
      </c>
    </row>
    <row r="11">
      <c r="B11" s="6" t="inlineStr">
        <is>
          <t>CA signe</t>
        </is>
      </c>
      <c r="C11" s="11">
        <f>SUMIFS('Suivi appels'!$O$3:$O$107,'Suivi appels'!$I$3:$I$107,"Signe")</f>
        <v/>
      </c>
      <c r="D11" s="9" t="inlineStr">
        <is>
          <t>Somme des montants attendus au statut Signe</t>
        </is>
      </c>
    </row>
    <row r="12">
      <c r="B12" s="6" t="inlineStr">
        <is>
          <t>CA en negociation</t>
        </is>
      </c>
      <c r="C12" s="11">
        <f>SUMIFS('Suivi appels'!$O$3:$O$107,'Suivi appels'!$I$3:$I$107,"En negociation")</f>
        <v/>
      </c>
      <c r="D12" s="9" t="inlineStr"/>
    </row>
    <row r="13">
      <c r="B13" s="6" t="inlineStr">
        <is>
          <t>CA potentiel total</t>
        </is>
      </c>
      <c r="C13" s="11">
        <f>SUM('Suivi appels'!$O$3:$O$107)</f>
        <v/>
      </c>
      <c r="D13" s="9" t="inlineStr">
        <is>
          <t>Tout ce qui est renseigne, tous statuts</t>
        </is>
      </c>
    </row>
    <row r="15">
      <c r="B15" s="6" t="inlineStr">
        <is>
          <t>Vague 1 - restant a contacter</t>
        </is>
      </c>
      <c r="C15" s="8">
        <f>COUNTIFS('Suivi appels'!$A$3:$A$107,1,'Suivi appels'!$I$3:$I$107,"A contacter")</f>
        <v/>
      </c>
      <c r="D15" s="9" t="inlineStr">
        <is>
          <t>Prive Abidjan, contact verifie</t>
        </is>
      </c>
    </row>
    <row r="16">
      <c r="B16" s="6" t="inlineStr">
        <is>
          <t>Vague 2 - restant a contacter</t>
        </is>
      </c>
      <c r="C16" s="8">
        <f>COUNTIFS('Suivi appels'!$A$3:$A$107,2,'Suivi appels'!$I$3:$I$107,"A contacter")</f>
        <v/>
      </c>
      <c r="D16" s="9" t="inlineStr">
        <is>
          <t>Prive, contact a qualifier</t>
        </is>
      </c>
    </row>
    <row r="17">
      <c r="B17" s="6" t="inlineStr">
        <is>
          <t>Vague 3 - restant a contacter</t>
        </is>
      </c>
      <c r="C17" s="8">
        <f>COUNTIFS('Suivi appels'!$A$3:$A$107,3,'Suivi appels'!$I$3:$I$107,"A contacter")</f>
        <v/>
      </c>
      <c r="D17" s="9" t="inlineStr">
        <is>
          <t>Public, circuit long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30" customWidth="1" min="3" max="3"/>
    <col width="19" customWidth="1" min="4" max="4"/>
    <col width="19" customWidth="1" min="5" max="5"/>
    <col width="30" customWidth="1" min="6" max="6"/>
    <col width="28" customWidth="1" min="7" max="7"/>
    <col width="15" customWidth="1" min="8" max="8"/>
    <col width="16" customWidth="1" min="9" max="9"/>
    <col width="13" customWidth="1" min="10" max="10"/>
    <col width="12" customWidth="1" min="11" max="11"/>
    <col width="12" customWidth="1" min="12" max="12"/>
    <col width="11" customWidth="1" min="13" max="13"/>
    <col width="13" customWidth="1" min="14" max="14"/>
    <col width="20" customWidth="1" min="15" max="15"/>
    <col width="34" customWidth="1" min="16" max="16"/>
  </cols>
  <sheetData>
    <row r="1" ht="30" customHeight="1">
      <c r="A1" s="12" t="inlineStr">
        <is>
          <t>Vague</t>
        </is>
      </c>
      <c r="B1" s="12" t="inlineStr">
        <is>
          <t>Ecole</t>
        </is>
      </c>
      <c r="C1" s="12" t="inlineStr">
        <is>
          <t>Commune</t>
        </is>
      </c>
      <c r="D1" s="12" t="inlineStr">
        <is>
          <t>Telephone</t>
        </is>
      </c>
      <c r="E1" s="12" t="inlineStr">
        <is>
          <t>WhatsApp</t>
        </is>
      </c>
      <c r="F1" s="12" t="inlineStr">
        <is>
          <t>Email</t>
        </is>
      </c>
      <c r="G1" s="12" t="inlineStr">
        <is>
          <t>Nom du Directeur des Etudes</t>
        </is>
      </c>
      <c r="H1" s="12" t="inlineStr">
        <is>
          <t>Date 1er contact</t>
        </is>
      </c>
      <c r="I1" s="12" t="inlineStr">
        <is>
          <t>Statut</t>
        </is>
      </c>
      <c r="J1" s="12" t="inlineStr">
        <is>
          <t>Montant par eleve</t>
        </is>
      </c>
      <c r="K1" s="12" t="inlineStr">
        <is>
          <t>Nb eleves par classe</t>
        </is>
      </c>
      <c r="L1" s="12" t="inlineStr">
        <is>
          <t>Nb seances negocie</t>
        </is>
      </c>
      <c r="M1" s="12" t="inlineStr">
        <is>
          <t>Nb classes</t>
        </is>
      </c>
      <c r="N1" s="12" t="inlineStr">
        <is>
          <t>Date seance</t>
        </is>
      </c>
      <c r="O1" s="12" t="inlineStr">
        <is>
          <t>Montant attendu (FCFA)</t>
        </is>
      </c>
      <c r="P1" s="12" t="inlineStr">
        <is>
          <t>Notes</t>
        </is>
      </c>
    </row>
    <row r="2">
      <c r="A2" s="13" t="n">
        <v>1</v>
      </c>
      <c r="B2" s="13" t="inlineStr">
        <is>
          <t>EXEMPLE - supprimer cette ligne</t>
        </is>
      </c>
      <c r="C2" s="13" t="inlineStr">
        <is>
          <t>Abidjan - Cocody</t>
        </is>
      </c>
      <c r="D2" s="13" t="inlineStr">
        <is>
          <t>+225 27 22 00 00 00</t>
        </is>
      </c>
      <c r="E2" s="13" t="inlineStr">
        <is>
          <t>+225 07 00 00 00 00</t>
        </is>
      </c>
      <c r="F2" s="13" t="inlineStr">
        <is>
          <t>exemple@ecole.ci</t>
        </is>
      </c>
      <c r="G2" s="14" t="inlineStr">
        <is>
          <t>M. KOUAME</t>
        </is>
      </c>
      <c r="H2" s="14" t="inlineStr">
        <is>
          <t>15/10/2026</t>
        </is>
      </c>
      <c r="I2" s="14" t="inlineStr">
        <is>
          <t>Signe</t>
        </is>
      </c>
      <c r="J2" s="15" t="n">
        <v>5000</v>
      </c>
      <c r="K2" s="14" t="n">
        <v>40</v>
      </c>
      <c r="L2" s="14" t="n">
        <v>2</v>
      </c>
      <c r="M2" s="14" t="n">
        <v>3</v>
      </c>
      <c r="N2" s="14" t="inlineStr">
        <is>
          <t>22/10/2026</t>
        </is>
      </c>
      <c r="O2" s="16">
        <f>IF(OR($J2="",$K2="",$M2=""),"",($J2+IF(AND($L2&gt;=2,$J2=5000),3000,0))*$K2*$M2)</f>
        <v/>
      </c>
      <c r="P2" s="14" t="inlineStr">
        <is>
          <t>2e seance negociee : +3 000 F/eleve applique automatiquement</t>
        </is>
      </c>
    </row>
    <row r="3">
      <c r="A3" s="17" t="n">
        <v>1</v>
      </c>
      <c r="B3" s="17" t="inlineStr">
        <is>
          <t>AGITEL-FORMATION</t>
        </is>
      </c>
      <c r="C3" s="17" t="inlineStr">
        <is>
          <t>Abidjan - Cocody Riviera Palmeraie</t>
        </is>
      </c>
      <c r="D3" s="17" t="inlineStr">
        <is>
          <t>+225 27 22 23 60 03</t>
        </is>
      </c>
      <c r="E3" s="17" t="inlineStr">
        <is>
          <t>+225 07 89 49 95 65</t>
        </is>
      </c>
      <c r="F3" s="17" t="inlineStr">
        <is>
          <t>infos@agitel-formation.net</t>
        </is>
      </c>
      <c r="G3" s="18" t="inlineStr"/>
      <c r="H3" s="18" t="inlineStr"/>
      <c r="I3" s="18" t="inlineStr">
        <is>
          <t>A contacter</t>
        </is>
      </c>
      <c r="J3" s="19" t="n"/>
      <c r="K3" s="18" t="n"/>
      <c r="L3" s="18" t="n">
        <v>1</v>
      </c>
      <c r="M3" s="18" t="n"/>
      <c r="N3" s="18" t="inlineStr"/>
      <c r="O3" s="20">
        <f>IF(OR($J3="",$K3="",$M3=""),"",($J3+IF(AND($L3&gt;=2,$J3=5000),3000,0))*$K3*$M3)</f>
        <v/>
      </c>
      <c r="P3" s="18" t="inlineStr"/>
    </row>
    <row r="4">
      <c r="A4" s="17" t="n">
        <v>1</v>
      </c>
      <c r="B4" s="17" t="inlineStr">
        <is>
          <t>BEM Ecole de Banque et de Finance</t>
        </is>
      </c>
      <c r="C4" s="17" t="inlineStr">
        <is>
          <t>Abidjan Cocody</t>
        </is>
      </c>
      <c r="D4" s="17" t="inlineStr">
        <is>
          <t>+225 27 21 77 67 41</t>
        </is>
      </c>
      <c r="E4" s="17" t="inlineStr">
        <is>
          <t>+225 07 77 49 77 49</t>
        </is>
      </c>
      <c r="F4" s="17" t="inlineStr">
        <is>
          <t>contact@bem.ci</t>
        </is>
      </c>
      <c r="G4" s="18" t="inlineStr"/>
      <c r="H4" s="18" t="inlineStr"/>
      <c r="I4" s="18" t="inlineStr">
        <is>
          <t>A contacter</t>
        </is>
      </c>
      <c r="J4" s="19" t="n"/>
      <c r="K4" s="18" t="n"/>
      <c r="L4" s="18" t="n">
        <v>1</v>
      </c>
      <c r="M4" s="18" t="n"/>
      <c r="N4" s="18" t="inlineStr"/>
      <c r="O4" s="20">
        <f>IF(OR($J4="",$K4="",$M4=""),"",($J4+IF(AND($L4&gt;=2,$J4=5000),3000,0))*$K4*$M4)</f>
        <v/>
      </c>
      <c r="P4" s="18" t="inlineStr"/>
    </row>
    <row r="5">
      <c r="A5" s="17" t="n">
        <v>1</v>
      </c>
      <c r="B5" s="17" t="inlineStr">
        <is>
          <t>CFOMIS</t>
        </is>
      </c>
      <c r="C5" s="17" t="inlineStr">
        <is>
          <t>Abidjan Yopougon</t>
        </is>
      </c>
      <c r="D5" s="17" t="inlineStr">
        <is>
          <t>+225 27 23 48 90 95</t>
        </is>
      </c>
      <c r="E5" s="17" t="inlineStr">
        <is>
          <t>+225 07 67 65 17 67</t>
        </is>
      </c>
      <c r="F5" s="17" t="inlineStr">
        <is>
          <t>infos@cfomis-ci.com</t>
        </is>
      </c>
      <c r="G5" s="18" t="inlineStr"/>
      <c r="H5" s="18" t="inlineStr"/>
      <c r="I5" s="18" t="inlineStr">
        <is>
          <t>A contacter</t>
        </is>
      </c>
      <c r="J5" s="19" t="n"/>
      <c r="K5" s="18" t="n"/>
      <c r="L5" s="18" t="n">
        <v>1</v>
      </c>
      <c r="M5" s="18" t="n"/>
      <c r="N5" s="18" t="inlineStr"/>
      <c r="O5" s="20">
        <f>IF(OR($J5="",$K5="",$M5=""),"",($J5+IF(AND($L5&gt;=2,$J5=5000),3000,0))*$K5*$M5)</f>
        <v/>
      </c>
      <c r="P5" s="18" t="inlineStr"/>
    </row>
    <row r="6">
      <c r="A6" s="17" t="n">
        <v>1</v>
      </c>
      <c r="B6" s="17" t="inlineStr">
        <is>
          <t>CUP - Centre Universitaire Professionnalise d'Abidjan</t>
        </is>
      </c>
      <c r="C6" s="17" t="inlineStr">
        <is>
          <t>Abidjan - Cocody Riviera 3</t>
        </is>
      </c>
      <c r="D6" s="17" t="inlineStr">
        <is>
          <t>+225 27 22 48 64 27</t>
        </is>
      </c>
      <c r="E6" s="17" t="inlineStr">
        <is>
          <t>+225 07 07 98 50 00</t>
        </is>
      </c>
      <c r="F6" s="17" t="inlineStr">
        <is>
          <t>infos@cup-ci.org</t>
        </is>
      </c>
      <c r="G6" s="18" t="inlineStr"/>
      <c r="H6" s="18" t="inlineStr"/>
      <c r="I6" s="18" t="inlineStr">
        <is>
          <t>A contacter</t>
        </is>
      </c>
      <c r="J6" s="19" t="n"/>
      <c r="K6" s="18" t="n"/>
      <c r="L6" s="18" t="n">
        <v>1</v>
      </c>
      <c r="M6" s="18" t="n"/>
      <c r="N6" s="18" t="inlineStr"/>
      <c r="O6" s="20">
        <f>IF(OR($J6="",$K6="",$M6=""),"",($J6+IF(AND($L6&gt;=2,$J6=5000),3000,0))*$K6*$M6)</f>
        <v/>
      </c>
      <c r="P6" s="18" t="inlineStr"/>
    </row>
    <row r="7">
      <c r="A7" s="17" t="n">
        <v>1</v>
      </c>
      <c r="B7" s="17" t="inlineStr">
        <is>
          <t>ECG - Ecole de Commerce et de Gestion</t>
        </is>
      </c>
      <c r="C7" s="17" t="inlineStr">
        <is>
          <t>Abidjan - Marcory Zone 4</t>
        </is>
      </c>
      <c r="D7" s="17" t="inlineStr">
        <is>
          <t>+225 27 21 24 42 23</t>
        </is>
      </c>
      <c r="E7" s="17" t="inlineStr">
        <is>
          <t>+225 27 21 35 59 80</t>
        </is>
      </c>
      <c r="F7" s="17" t="inlineStr">
        <is>
          <t>infos@ecgecole.com</t>
        </is>
      </c>
      <c r="G7" s="18" t="inlineStr"/>
      <c r="H7" s="18" t="inlineStr"/>
      <c r="I7" s="18" t="inlineStr">
        <is>
          <t>A contacter</t>
        </is>
      </c>
      <c r="J7" s="19" t="n"/>
      <c r="K7" s="18" t="n"/>
      <c r="L7" s="18" t="n">
        <v>1</v>
      </c>
      <c r="M7" s="18" t="n"/>
      <c r="N7" s="18" t="inlineStr"/>
      <c r="O7" s="20">
        <f>IF(OR($J7="",$K7="",$M7=""),"",($J7+IF(AND($L7&gt;=2,$J7=5000),3000,0))*$K7*$M7)</f>
        <v/>
      </c>
      <c r="P7" s="18" t="inlineStr"/>
    </row>
    <row r="8">
      <c r="A8" s="17" t="n">
        <v>1</v>
      </c>
      <c r="B8" s="17" t="inlineStr">
        <is>
          <t>EGT Ecole de la Geomatique et du Territoire</t>
        </is>
      </c>
      <c r="C8" s="17" t="inlineStr">
        <is>
          <t>Abidjan Cocody</t>
        </is>
      </c>
      <c r="D8" s="17" t="inlineStr">
        <is>
          <t>+225 07 05 20 74 85</t>
        </is>
      </c>
      <c r="E8" s="17" t="inlineStr"/>
      <c r="F8" s="17" t="inlineStr">
        <is>
          <t>david.niamien@egt.ci</t>
        </is>
      </c>
      <c r="G8" s="18" t="inlineStr"/>
      <c r="H8" s="18" t="inlineStr"/>
      <c r="I8" s="18" t="inlineStr">
        <is>
          <t>A contacter</t>
        </is>
      </c>
      <c r="J8" s="19" t="n"/>
      <c r="K8" s="18" t="n"/>
      <c r="L8" s="18" t="n">
        <v>1</v>
      </c>
      <c r="M8" s="18" t="n"/>
      <c r="N8" s="18" t="inlineStr"/>
      <c r="O8" s="20">
        <f>IF(OR($J8="",$K8="",$M8=""),"",($J8+IF(AND($L8&gt;=2,$J8=5000),3000,0))*$K8*$M8)</f>
        <v/>
      </c>
      <c r="P8" s="18" t="inlineStr"/>
    </row>
    <row r="9">
      <c r="A9" s="17" t="n">
        <v>1</v>
      </c>
      <c r="B9" s="17" t="inlineStr">
        <is>
          <t>EIPC-Abidjan - Ecole Internationale des Ponts et Chaussees</t>
        </is>
      </c>
      <c r="C9" s="17" t="inlineStr">
        <is>
          <t>Abidjan - Cocody Angre et Bingerville</t>
        </is>
      </c>
      <c r="D9" s="17" t="inlineStr">
        <is>
          <t>+225 27 22 29 03 55</t>
        </is>
      </c>
      <c r="E9" s="17" t="inlineStr">
        <is>
          <t>+225 07 59 06 33 01</t>
        </is>
      </c>
      <c r="F9" s="17" t="inlineStr">
        <is>
          <t>secretariat@eipc-abidjan.ci</t>
        </is>
      </c>
      <c r="G9" s="18" t="inlineStr"/>
      <c r="H9" s="18" t="inlineStr"/>
      <c r="I9" s="18" t="inlineStr">
        <is>
          <t>A contacter</t>
        </is>
      </c>
      <c r="J9" s="19" t="n"/>
      <c r="K9" s="18" t="n"/>
      <c r="L9" s="18" t="n">
        <v>1</v>
      </c>
      <c r="M9" s="18" t="n"/>
      <c r="N9" s="18" t="inlineStr"/>
      <c r="O9" s="20">
        <f>IF(OR($J9="",$K9="",$M9=""),"",($J9+IF(AND($L9&gt;=2,$J9=5000),3000,0))*$K9*$M9)</f>
        <v/>
      </c>
      <c r="P9" s="18" t="inlineStr"/>
    </row>
    <row r="10">
      <c r="A10" s="17" t="n">
        <v>1</v>
      </c>
      <c r="B10" s="17" t="inlineStr">
        <is>
          <t>Epitech Cote d'Ivoire</t>
        </is>
      </c>
      <c r="C10" s="17" t="inlineStr">
        <is>
          <t>Abidjan - Cocody Riviera Faya</t>
        </is>
      </c>
      <c r="D10" s="17" t="inlineStr"/>
      <c r="E10" s="17" t="inlineStr"/>
      <c r="F10" s="17" t="inlineStr">
        <is>
          <t>info@epitech.bj</t>
        </is>
      </c>
      <c r="G10" s="18" t="inlineStr"/>
      <c r="H10" s="18" t="inlineStr"/>
      <c r="I10" s="18" t="inlineStr">
        <is>
          <t>A contacter</t>
        </is>
      </c>
      <c r="J10" s="19" t="n"/>
      <c r="K10" s="18" t="n"/>
      <c r="L10" s="18" t="n">
        <v>1</v>
      </c>
      <c r="M10" s="18" t="n"/>
      <c r="N10" s="18" t="inlineStr"/>
      <c r="O10" s="20">
        <f>IF(OR($J10="",$K10="",$M10=""),"",($J10+IF(AND($L10&gt;=2,$J10=5000),3000,0))*$K10*$M10)</f>
        <v/>
      </c>
      <c r="P10" s="18" t="inlineStr"/>
    </row>
    <row r="11">
      <c r="A11" s="17" t="n">
        <v>1</v>
      </c>
      <c r="B11" s="17" t="inlineStr">
        <is>
          <t>ESBTP (Ecole Speciale du Batiment et des Travaux Publics)</t>
        </is>
      </c>
      <c r="C11" s="17" t="inlineStr">
        <is>
          <t>Abidjan - Plateau (+ Yopougon, Treichville, Riviera)</t>
        </is>
      </c>
      <c r="D11" s="17" t="inlineStr">
        <is>
          <t>+225 27 20 32 80 01</t>
        </is>
      </c>
      <c r="E11" s="17" t="inlineStr">
        <is>
          <t>+225 05 05 30 88 40</t>
        </is>
      </c>
      <c r="F11" s="17" t="inlineStr">
        <is>
          <t>esbtpab@aviso.ci</t>
        </is>
      </c>
      <c r="G11" s="18" t="inlineStr"/>
      <c r="H11" s="18" t="inlineStr"/>
      <c r="I11" s="18" t="inlineStr">
        <is>
          <t>A contacter</t>
        </is>
      </c>
      <c r="J11" s="19" t="n"/>
      <c r="K11" s="18" t="n"/>
      <c r="L11" s="18" t="n">
        <v>1</v>
      </c>
      <c r="M11" s="18" t="n"/>
      <c r="N11" s="18" t="inlineStr"/>
      <c r="O11" s="20">
        <f>IF(OR($J11="",$K11="",$M11=""),"",($J11+IF(AND($L11&gt;=2,$J11=5000),3000,0))*$K11*$M11)</f>
        <v/>
      </c>
      <c r="P11" s="18" t="inlineStr"/>
    </row>
    <row r="12">
      <c r="A12" s="17" t="n">
        <v>1</v>
      </c>
      <c r="B12" s="17" t="inlineStr">
        <is>
          <t>ESC Castaing - Ecole Superieure de Commerce Castaing</t>
        </is>
      </c>
      <c r="C12" s="17" t="inlineStr">
        <is>
          <t>Abidjan - Plateau</t>
        </is>
      </c>
      <c r="D12" s="17" t="inlineStr">
        <is>
          <t>+225 27 20 21 22 89</t>
        </is>
      </c>
      <c r="E12" s="17" t="inlineStr">
        <is>
          <t>+225 27 20 21 63 47</t>
        </is>
      </c>
      <c r="F12" s="17" t="inlineStr">
        <is>
          <t>castaing@aviso.ci</t>
        </is>
      </c>
      <c r="G12" s="18" t="inlineStr"/>
      <c r="H12" s="18" t="inlineStr"/>
      <c r="I12" s="18" t="inlineStr">
        <is>
          <t>A contacter</t>
        </is>
      </c>
      <c r="J12" s="19" t="n"/>
      <c r="K12" s="18" t="n"/>
      <c r="L12" s="18" t="n">
        <v>1</v>
      </c>
      <c r="M12" s="18" t="n"/>
      <c r="N12" s="18" t="inlineStr"/>
      <c r="O12" s="20">
        <f>IF(OR($J12="",$K12="",$M12=""),"",($J12+IF(AND($L12&gt;=2,$J12=5000),3000,0))*$K12*$M12)</f>
        <v/>
      </c>
      <c r="P12" s="18" t="inlineStr"/>
    </row>
    <row r="13">
      <c r="A13" s="17" t="n">
        <v>1</v>
      </c>
      <c r="B13" s="17" t="inlineStr">
        <is>
          <t>ESCG La Sorbonne - Groupe La Sorbonne</t>
        </is>
      </c>
      <c r="C13" s="17" t="inlineStr">
        <is>
          <t>Abidjan Yopougon</t>
        </is>
      </c>
      <c r="D13" s="17" t="inlineStr">
        <is>
          <t>+225 27 23 46 85 82</t>
        </is>
      </c>
      <c r="E13" s="17" t="inlineStr">
        <is>
          <t>+225 07 08 91 46 30</t>
        </is>
      </c>
      <c r="F13" s="17" t="inlineStr"/>
      <c r="G13" s="18" t="inlineStr"/>
      <c r="H13" s="18" t="inlineStr"/>
      <c r="I13" s="18" t="inlineStr">
        <is>
          <t>A contacter</t>
        </is>
      </c>
      <c r="J13" s="19" t="n"/>
      <c r="K13" s="18" t="n"/>
      <c r="L13" s="18" t="n">
        <v>1</v>
      </c>
      <c r="M13" s="18" t="n"/>
      <c r="N13" s="18" t="inlineStr"/>
      <c r="O13" s="20">
        <f>IF(OR($J13="",$K13="",$M13=""),"",($J13+IF(AND($L13&gt;=2,$J13=5000),3000,0))*$K13*$M13)</f>
        <v/>
      </c>
      <c r="P13" s="18" t="inlineStr"/>
    </row>
    <row r="14">
      <c r="A14" s="17" t="n">
        <v>1</v>
      </c>
      <c r="B14" s="17" t="inlineStr">
        <is>
          <t>ESMA - Ecole de Specialites Multimedia d'Abidjan</t>
        </is>
      </c>
      <c r="C14" s="17" t="inlineStr">
        <is>
          <t>Abidjan - Cocody Riviera 2</t>
        </is>
      </c>
      <c r="D14" s="17" t="inlineStr">
        <is>
          <t>+225 27 22 47 11 12</t>
        </is>
      </c>
      <c r="E14" s="17" t="inlineStr">
        <is>
          <t>+225 07 02 77 66 31</t>
        </is>
      </c>
      <c r="F14" s="17" t="inlineStr">
        <is>
          <t>infos@esma-edu.com</t>
        </is>
      </c>
      <c r="G14" s="18" t="inlineStr"/>
      <c r="H14" s="18" t="inlineStr"/>
      <c r="I14" s="18" t="inlineStr">
        <is>
          <t>A contacter</t>
        </is>
      </c>
      <c r="J14" s="19" t="n"/>
      <c r="K14" s="18" t="n"/>
      <c r="L14" s="18" t="n">
        <v>1</v>
      </c>
      <c r="M14" s="18" t="n"/>
      <c r="N14" s="18" t="inlineStr"/>
      <c r="O14" s="20">
        <f>IF(OR($J14="",$K14="",$M14=""),"",($J14+IF(AND($L14&gt;=2,$J14=5000),3000,0))*$K14*$M14)</f>
        <v/>
      </c>
      <c r="P14" s="18" t="inlineStr"/>
    </row>
    <row r="15">
      <c r="A15" s="17" t="n">
        <v>1</v>
      </c>
      <c r="B15" s="17" t="inlineStr">
        <is>
          <t>EURO FORMATION Marcory</t>
        </is>
      </c>
      <c r="C15" s="17" t="inlineStr">
        <is>
          <t>Abidjan - Marcory Zone 4</t>
        </is>
      </c>
      <c r="D15" s="17" t="inlineStr">
        <is>
          <t>+225 27 21 25 45 15</t>
        </is>
      </c>
      <c r="E15" s="17" t="inlineStr">
        <is>
          <t>+225 05 05 08 84 10</t>
        </is>
      </c>
      <c r="F15" s="17" t="inlineStr"/>
      <c r="G15" s="18" t="inlineStr"/>
      <c r="H15" s="18" t="inlineStr"/>
      <c r="I15" s="18" t="inlineStr">
        <is>
          <t>A contacter</t>
        </is>
      </c>
      <c r="J15" s="19" t="n"/>
      <c r="K15" s="18" t="n"/>
      <c r="L15" s="18" t="n">
        <v>1</v>
      </c>
      <c r="M15" s="18" t="n"/>
      <c r="N15" s="18" t="inlineStr"/>
      <c r="O15" s="20">
        <f>IF(OR($J15="",$K15="",$M15=""),"",($J15+IF(AND($L15&gt;=2,$J15=5000),3000,0))*$K15*$M15)</f>
        <v/>
      </c>
      <c r="P15" s="18" t="inlineStr"/>
    </row>
    <row r="16">
      <c r="A16" s="17" t="n">
        <v>1</v>
      </c>
      <c r="B16" s="17" t="inlineStr">
        <is>
          <t>GEIGE - Grande Ecole d'Informatique et de Gestion d'Entreprise</t>
        </is>
      </c>
      <c r="C16" s="17" t="inlineStr">
        <is>
          <t>Abidjan - Cocody Deux-Plateaux Vallon</t>
        </is>
      </c>
      <c r="D16" s="17" t="inlineStr">
        <is>
          <t>+225 07 68 12 55 42</t>
        </is>
      </c>
      <c r="E16" s="17" t="inlineStr">
        <is>
          <t>+225 01 73 29 48 90</t>
        </is>
      </c>
      <c r="F16" s="17" t="inlineStr"/>
      <c r="G16" s="18" t="inlineStr"/>
      <c r="H16" s="18" t="inlineStr"/>
      <c r="I16" s="18" t="inlineStr">
        <is>
          <t>A contacter</t>
        </is>
      </c>
      <c r="J16" s="19" t="n"/>
      <c r="K16" s="18" t="n"/>
      <c r="L16" s="18" t="n">
        <v>1</v>
      </c>
      <c r="M16" s="18" t="n"/>
      <c r="N16" s="18" t="inlineStr"/>
      <c r="O16" s="20">
        <f>IF(OR($J16="",$K16="",$M16=""),"",($J16+IF(AND($L16&gt;=2,$J16=5000),3000,0))*$K16*$M16)</f>
        <v/>
      </c>
      <c r="P16" s="18" t="inlineStr"/>
    </row>
    <row r="17">
      <c r="A17" s="17" t="n">
        <v>1</v>
      </c>
      <c r="B17" s="17" t="inlineStr">
        <is>
          <t>GESTPCI - Groupe d'Enseignement Superieur Technique et Professionnel de Cote d'Ivoire</t>
        </is>
      </c>
      <c r="C17" s="17" t="inlineStr">
        <is>
          <t>Abidjan - Abobo</t>
        </is>
      </c>
      <c r="D17" s="17" t="inlineStr">
        <is>
          <t>+225 07 59 74 39 10</t>
        </is>
      </c>
      <c r="E17" s="17" t="inlineStr">
        <is>
          <t>+225 07 59 74 39 10</t>
        </is>
      </c>
      <c r="F17" s="17" t="inlineStr"/>
      <c r="G17" s="18" t="inlineStr"/>
      <c r="H17" s="18" t="inlineStr"/>
      <c r="I17" s="18" t="inlineStr">
        <is>
          <t>A contacter</t>
        </is>
      </c>
      <c r="J17" s="19" t="n"/>
      <c r="K17" s="18" t="n"/>
      <c r="L17" s="18" t="n">
        <v>1</v>
      </c>
      <c r="M17" s="18" t="n"/>
      <c r="N17" s="18" t="inlineStr"/>
      <c r="O17" s="20">
        <f>IF(OR($J17="",$K17="",$M17=""),"",($J17+IF(AND($L17&gt;=2,$J17=5000),3000,0))*$K17*$M17)</f>
        <v/>
      </c>
      <c r="P17" s="18" t="inlineStr"/>
    </row>
    <row r="18">
      <c r="A18" s="17" t="n">
        <v>1</v>
      </c>
      <c r="B18" s="17" t="inlineStr">
        <is>
          <t>Groupe CSI Pole Polytechnique</t>
        </is>
      </c>
      <c r="C18" s="17" t="inlineStr">
        <is>
          <t>Abidjan - Cocody Riviera Bonoumin</t>
        </is>
      </c>
      <c r="D18" s="17" t="inlineStr">
        <is>
          <t>+225 27 22 49 49 39</t>
        </is>
      </c>
      <c r="E18" s="17" t="inlineStr">
        <is>
          <t>+225 05 05 75 39 45</t>
        </is>
      </c>
      <c r="F18" s="17" t="inlineStr">
        <is>
          <t>info@groupecsi-pp.com</t>
        </is>
      </c>
      <c r="G18" s="18" t="inlineStr"/>
      <c r="H18" s="18" t="inlineStr"/>
      <c r="I18" s="18" t="inlineStr">
        <is>
          <t>A contacter</t>
        </is>
      </c>
      <c r="J18" s="19" t="n"/>
      <c r="K18" s="18" t="n"/>
      <c r="L18" s="18" t="n">
        <v>1</v>
      </c>
      <c r="M18" s="18" t="n"/>
      <c r="N18" s="18" t="inlineStr"/>
      <c r="O18" s="20">
        <f>IF(OR($J18="",$K18="",$M18=""),"",($J18+IF(AND($L18&gt;=2,$J18=5000),3000,0))*$K18*$M18)</f>
        <v/>
      </c>
      <c r="P18" s="18" t="inlineStr"/>
    </row>
    <row r="19">
      <c r="A19" s="17" t="n">
        <v>1</v>
      </c>
      <c r="B19" s="17" t="inlineStr">
        <is>
          <t>Groupe ETP-ESMIT</t>
        </is>
      </c>
      <c r="C19" s="17" t="inlineStr">
        <is>
          <t>Abidjan Yopougon</t>
        </is>
      </c>
      <c r="D19" s="17" t="inlineStr">
        <is>
          <t>+225 07 08 08 89 80</t>
        </is>
      </c>
      <c r="E19" s="17" t="inlineStr">
        <is>
          <t>+225 01 40 19 53 30</t>
        </is>
      </c>
      <c r="F19" s="17" t="inlineStr">
        <is>
          <t>groupe.esmit@gmail.com</t>
        </is>
      </c>
      <c r="G19" s="18" t="inlineStr"/>
      <c r="H19" s="18" t="inlineStr"/>
      <c r="I19" s="18" t="inlineStr">
        <is>
          <t>A contacter</t>
        </is>
      </c>
      <c r="J19" s="19" t="n"/>
      <c r="K19" s="18" t="n"/>
      <c r="L19" s="18" t="n">
        <v>1</v>
      </c>
      <c r="M19" s="18" t="n"/>
      <c r="N19" s="18" t="inlineStr"/>
      <c r="O19" s="20">
        <f>IF(OR($J19="",$K19="",$M19=""),"",($J19+IF(AND($L19&gt;=2,$J19=5000),3000,0))*$K19*$M19)</f>
        <v/>
      </c>
      <c r="P19" s="18" t="inlineStr"/>
    </row>
    <row r="20">
      <c r="A20" s="17" t="n">
        <v>1</v>
      </c>
      <c r="B20" s="17" t="inlineStr">
        <is>
          <t>IFSM (Institut de Formation Sainte Marie)</t>
        </is>
      </c>
      <c r="C20" s="17" t="inlineStr">
        <is>
          <t>Abidjan - Cocody Cite des Arts</t>
        </is>
      </c>
      <c r="D20" s="17" t="inlineStr">
        <is>
          <t>+225 07 57 25 15 42</t>
        </is>
      </c>
      <c r="E20" s="17" t="inlineStr">
        <is>
          <t>+225 07 57 25 15 42</t>
        </is>
      </c>
      <c r="F20" s="17" t="inlineStr">
        <is>
          <t>infos@ifsm.ci</t>
        </is>
      </c>
      <c r="G20" s="18" t="inlineStr"/>
      <c r="H20" s="18" t="inlineStr"/>
      <c r="I20" s="18" t="inlineStr">
        <is>
          <t>A contacter</t>
        </is>
      </c>
      <c r="J20" s="19" t="n"/>
      <c r="K20" s="18" t="n"/>
      <c r="L20" s="18" t="n">
        <v>1</v>
      </c>
      <c r="M20" s="18" t="n"/>
      <c r="N20" s="18" t="inlineStr"/>
      <c r="O20" s="20">
        <f>IF(OR($J20="",$K20="",$M20=""),"",($J20+IF(AND($L20&gt;=2,$J20=5000),3000,0))*$K20*$M20)</f>
        <v/>
      </c>
      <c r="P20" s="18" t="inlineStr"/>
    </row>
    <row r="21">
      <c r="A21" s="17" t="n">
        <v>1</v>
      </c>
      <c r="B21" s="17" t="inlineStr">
        <is>
          <t>IISAN</t>
        </is>
      </c>
      <c r="C21" s="17" t="inlineStr">
        <is>
          <t>Abidjan - Cocody Angre 8eme Tranche</t>
        </is>
      </c>
      <c r="D21" s="17" t="inlineStr">
        <is>
          <t>+225 07 00 00 97 98</t>
        </is>
      </c>
      <c r="E21" s="17" t="inlineStr"/>
      <c r="F21" s="17" t="inlineStr">
        <is>
          <t>contact@iisan-abidjan.com</t>
        </is>
      </c>
      <c r="G21" s="18" t="inlineStr"/>
      <c r="H21" s="18" t="inlineStr"/>
      <c r="I21" s="18" t="inlineStr">
        <is>
          <t>A contacter</t>
        </is>
      </c>
      <c r="J21" s="19" t="n"/>
      <c r="K21" s="18" t="n"/>
      <c r="L21" s="18" t="n">
        <v>1</v>
      </c>
      <c r="M21" s="18" t="n"/>
      <c r="N21" s="18" t="inlineStr"/>
      <c r="O21" s="20">
        <f>IF(OR($J21="",$K21="",$M21=""),"",($J21+IF(AND($L21&gt;=2,$J21=5000),3000,0))*$K21*$M21)</f>
        <v/>
      </c>
      <c r="P21" s="18" t="inlineStr"/>
    </row>
    <row r="22">
      <c r="A22" s="17" t="n">
        <v>1</v>
      </c>
      <c r="B22" s="17" t="inlineStr">
        <is>
          <t>IMGH Institut de Management de Gestion et d Hotellerie</t>
        </is>
      </c>
      <c r="C22" s="17" t="inlineStr">
        <is>
          <t>Abidjan Yopougon</t>
        </is>
      </c>
      <c r="D22" s="17" t="inlineStr">
        <is>
          <t>+225 07 48 09 09 29</t>
        </is>
      </c>
      <c r="E22" s="17" t="inlineStr">
        <is>
          <t>+225 01 02 63 56 58</t>
        </is>
      </c>
      <c r="F22" s="17" t="inlineStr"/>
      <c r="G22" s="18" t="inlineStr"/>
      <c r="H22" s="18" t="inlineStr"/>
      <c r="I22" s="18" t="inlineStr">
        <is>
          <t>A contacter</t>
        </is>
      </c>
      <c r="J22" s="19" t="n"/>
      <c r="K22" s="18" t="n"/>
      <c r="L22" s="18" t="n">
        <v>1</v>
      </c>
      <c r="M22" s="18" t="n"/>
      <c r="N22" s="18" t="inlineStr"/>
      <c r="O22" s="20">
        <f>IF(OR($J22="",$K22="",$M22=""),"",($J22+IF(AND($L22&gt;=2,$J22=5000),3000,0))*$K22*$M22)</f>
        <v/>
      </c>
      <c r="P22" s="18" t="inlineStr"/>
    </row>
    <row r="23">
      <c r="A23" s="17" t="n">
        <v>1</v>
      </c>
      <c r="B23" s="17" t="inlineStr">
        <is>
          <t>Institut Universitaire d'Abidjan (IUA)</t>
        </is>
      </c>
      <c r="C23" s="17" t="inlineStr">
        <is>
          <t>Abidjan - Cocody II Plateaux 7e Tranche</t>
        </is>
      </c>
      <c r="D23" s="17" t="inlineStr">
        <is>
          <t>+225 27 22 42 22 65</t>
        </is>
      </c>
      <c r="E23" s="17" t="inlineStr">
        <is>
          <t>+225 07 07 23 18 62</t>
        </is>
      </c>
      <c r="F23" s="17" t="inlineStr">
        <is>
          <t>info@iua.org</t>
        </is>
      </c>
      <c r="G23" s="18" t="inlineStr"/>
      <c r="H23" s="18" t="inlineStr"/>
      <c r="I23" s="18" t="inlineStr">
        <is>
          <t>A contacter</t>
        </is>
      </c>
      <c r="J23" s="19" t="n"/>
      <c r="K23" s="18" t="n"/>
      <c r="L23" s="18" t="n">
        <v>1</v>
      </c>
      <c r="M23" s="18" t="n"/>
      <c r="N23" s="18" t="inlineStr"/>
      <c r="O23" s="20">
        <f>IF(OR($J23="",$K23="",$M23=""),"",($J23+IF(AND($L23&gt;=2,$J23=5000),3000,0))*$K23*$M23)</f>
        <v/>
      </c>
      <c r="P23" s="18" t="inlineStr"/>
    </row>
    <row r="24">
      <c r="A24" s="17" t="n">
        <v>1</v>
      </c>
      <c r="B24" s="17" t="inlineStr">
        <is>
          <t>ISAECI</t>
        </is>
      </c>
      <c r="C24" s="17" t="inlineStr">
        <is>
          <t>Abidjan Cocody</t>
        </is>
      </c>
      <c r="D24" s="17" t="inlineStr">
        <is>
          <t>+225 27 22 43 54 05</t>
        </is>
      </c>
      <c r="E24" s="17" t="inlineStr">
        <is>
          <t>+225 07 09 74 28 16</t>
        </is>
      </c>
      <c r="F24" s="17" t="inlineStr">
        <is>
          <t>contact@isaeci.com</t>
        </is>
      </c>
      <c r="G24" s="18" t="inlineStr"/>
      <c r="H24" s="18" t="inlineStr"/>
      <c r="I24" s="18" t="inlineStr">
        <is>
          <t>A contacter</t>
        </is>
      </c>
      <c r="J24" s="19" t="n"/>
      <c r="K24" s="18" t="n"/>
      <c r="L24" s="18" t="n">
        <v>1</v>
      </c>
      <c r="M24" s="18" t="n"/>
      <c r="N24" s="18" t="inlineStr"/>
      <c r="O24" s="20">
        <f>IF(OR($J24="",$K24="",$M24=""),"",($J24+IF(AND($L24&gt;=2,$J24=5000),3000,0))*$K24*$M24)</f>
        <v/>
      </c>
      <c r="P24" s="18" t="inlineStr"/>
    </row>
    <row r="25">
      <c r="A25" s="17" t="n">
        <v>1</v>
      </c>
      <c r="B25" s="17" t="inlineStr">
        <is>
          <t>ISFMI - Institut Superieur de Formation aux Metiers de l'Informatique</t>
        </is>
      </c>
      <c r="C25" s="17" t="inlineStr">
        <is>
          <t>Abidjan - Adjame Roxy</t>
        </is>
      </c>
      <c r="D25" s="17" t="inlineStr">
        <is>
          <t>+225 27 20 32 83 39</t>
        </is>
      </c>
      <c r="E25" s="17" t="inlineStr">
        <is>
          <t>+225 07 58 01 69 01</t>
        </is>
      </c>
      <c r="F25" s="17" t="inlineStr">
        <is>
          <t>isfmiisfmi@yahoo.fr</t>
        </is>
      </c>
      <c r="G25" s="18" t="inlineStr"/>
      <c r="H25" s="18" t="inlineStr"/>
      <c r="I25" s="18" t="inlineStr">
        <is>
          <t>A contacter</t>
        </is>
      </c>
      <c r="J25" s="19" t="n"/>
      <c r="K25" s="18" t="n"/>
      <c r="L25" s="18" t="n">
        <v>1</v>
      </c>
      <c r="M25" s="18" t="n"/>
      <c r="N25" s="18" t="inlineStr"/>
      <c r="O25" s="20">
        <f>IF(OR($J25="",$K25="",$M25=""),"",($J25+IF(AND($L25&gt;=2,$J25=5000),3000,0))*$K25*$M25)</f>
        <v/>
      </c>
      <c r="P25" s="18" t="inlineStr"/>
    </row>
    <row r="26">
      <c r="A26" s="17" t="n">
        <v>1</v>
      </c>
      <c r="B26" s="17" t="inlineStr">
        <is>
          <t>IUPA Cocody - Institut Universitaire Polytechnique d'Abidjan</t>
        </is>
      </c>
      <c r="C26" s="17" t="inlineStr">
        <is>
          <t>Abidjan - Cocody Riviera Bonoumin</t>
        </is>
      </c>
      <c r="D26" s="17" t="inlineStr"/>
      <c r="E26" s="17" t="inlineStr"/>
      <c r="F26" s="17" t="inlineStr">
        <is>
          <t>groupeiupaismt@gmail.com</t>
        </is>
      </c>
      <c r="G26" s="18" t="inlineStr"/>
      <c r="H26" s="18" t="inlineStr"/>
      <c r="I26" s="18" t="inlineStr">
        <is>
          <t>A contacter</t>
        </is>
      </c>
      <c r="J26" s="19" t="n"/>
      <c r="K26" s="18" t="n"/>
      <c r="L26" s="18" t="n">
        <v>1</v>
      </c>
      <c r="M26" s="18" t="n"/>
      <c r="N26" s="18" t="inlineStr"/>
      <c r="O26" s="20">
        <f>IF(OR($J26="",$K26="",$M26=""),"",($J26+IF(AND($L26&gt;=2,$J26=5000),3000,0))*$K26*$M26)</f>
        <v/>
      </c>
      <c r="P26" s="18" t="inlineStr"/>
    </row>
    <row r="27">
      <c r="A27" s="17" t="n">
        <v>1</v>
      </c>
      <c r="B27" s="17" t="inlineStr">
        <is>
          <t>IUPA Yopougon - Institut Universitaire Polytechnique d'Abidjan</t>
        </is>
      </c>
      <c r="C27" s="17" t="inlineStr">
        <is>
          <t>Abidjan - Yopougon</t>
        </is>
      </c>
      <c r="D27" s="17" t="inlineStr">
        <is>
          <t>+225 07 79 63 51 90</t>
        </is>
      </c>
      <c r="E27" s="17" t="inlineStr">
        <is>
          <t>+225 07 79 63 51 90</t>
        </is>
      </c>
      <c r="F27" s="17" t="inlineStr">
        <is>
          <t>groupeiupaismt@gmail.com</t>
        </is>
      </c>
      <c r="G27" s="18" t="inlineStr"/>
      <c r="H27" s="18" t="inlineStr"/>
      <c r="I27" s="18" t="inlineStr">
        <is>
          <t>A contacter</t>
        </is>
      </c>
      <c r="J27" s="19" t="n"/>
      <c r="K27" s="18" t="n"/>
      <c r="L27" s="18" t="n">
        <v>1</v>
      </c>
      <c r="M27" s="18" t="n"/>
      <c r="N27" s="18" t="inlineStr"/>
      <c r="O27" s="20">
        <f>IF(OR($J27="",$K27="",$M27=""),"",($J27+IF(AND($L27&gt;=2,$J27=5000),3000,0))*$K27*$M27)</f>
        <v/>
      </c>
      <c r="P27" s="18" t="inlineStr"/>
    </row>
    <row r="28">
      <c r="A28" s="17" t="n">
        <v>1</v>
      </c>
      <c r="B28" s="17" t="inlineStr">
        <is>
          <t>Neurones Academy</t>
        </is>
      </c>
      <c r="C28" s="17" t="inlineStr">
        <is>
          <t>Abidjan - Cocody Angre 8eme Tranche</t>
        </is>
      </c>
      <c r="D28" s="17" t="inlineStr">
        <is>
          <t>+225 27 22 42 90 90</t>
        </is>
      </c>
      <c r="E28" s="17" t="inlineStr">
        <is>
          <t>+225 07 88 88 61 61</t>
        </is>
      </c>
      <c r="F28" s="17" t="inlineStr">
        <is>
          <t>contact@neurones-academy.com</t>
        </is>
      </c>
      <c r="G28" s="18" t="inlineStr"/>
      <c r="H28" s="18" t="inlineStr"/>
      <c r="I28" s="18" t="inlineStr">
        <is>
          <t>A contacter</t>
        </is>
      </c>
      <c r="J28" s="19" t="n"/>
      <c r="K28" s="18" t="n"/>
      <c r="L28" s="18" t="n">
        <v>1</v>
      </c>
      <c r="M28" s="18" t="n"/>
      <c r="N28" s="18" t="inlineStr"/>
      <c r="O28" s="20">
        <f>IF(OR($J28="",$K28="",$M28=""),"",($J28+IF(AND($L28&gt;=2,$J28=5000),3000,0))*$K28*$M28)</f>
        <v/>
      </c>
      <c r="P28" s="18" t="inlineStr"/>
    </row>
    <row r="29">
      <c r="A29" s="17" t="n">
        <v>1</v>
      </c>
      <c r="B29" s="17" t="inlineStr">
        <is>
          <t>PIGIER Cote d'Ivoire</t>
        </is>
      </c>
      <c r="C29" s="17" t="inlineStr">
        <is>
          <t>Abidjan - Plateau (+ Yopougon, Yamoussoukro)</t>
        </is>
      </c>
      <c r="D29" s="17" t="inlineStr">
        <is>
          <t>+225 27 20 30 35 00</t>
        </is>
      </c>
      <c r="E29" s="17" t="inlineStr">
        <is>
          <t>+225 07 08 33 45 39</t>
        </is>
      </c>
      <c r="F29" s="17" t="inlineStr">
        <is>
          <t>pigierci@pigierci.com</t>
        </is>
      </c>
      <c r="G29" s="18" t="inlineStr"/>
      <c r="H29" s="18" t="inlineStr"/>
      <c r="I29" s="18" t="inlineStr">
        <is>
          <t>A contacter</t>
        </is>
      </c>
      <c r="J29" s="19" t="n"/>
      <c r="K29" s="18" t="n"/>
      <c r="L29" s="18" t="n">
        <v>1</v>
      </c>
      <c r="M29" s="18" t="n"/>
      <c r="N29" s="18" t="inlineStr"/>
      <c r="O29" s="20">
        <f>IF(OR($J29="",$K29="",$M29=""),"",($J29+IF(AND($L29&gt;=2,$J29=5000),3000,0))*$K29*$M29)</f>
        <v/>
      </c>
      <c r="P29" s="18" t="inlineStr"/>
    </row>
    <row r="30">
      <c r="A30" s="17" t="n">
        <v>1</v>
      </c>
      <c r="B30" s="17" t="inlineStr">
        <is>
          <t>UCAO-UUA - Universite Catholique de l'Afrique de l'Ouest</t>
        </is>
      </c>
      <c r="C30" s="17" t="inlineStr">
        <is>
          <t>Abidjan - Cocody</t>
        </is>
      </c>
      <c r="D30" s="17" t="inlineStr">
        <is>
          <t>+225 27 22 40 06 50</t>
        </is>
      </c>
      <c r="E30" s="17" t="inlineStr">
        <is>
          <t>+225 05 46 01 92 70</t>
        </is>
      </c>
      <c r="F30" s="17" t="inlineStr">
        <is>
          <t>info@ucaouua.com</t>
        </is>
      </c>
      <c r="G30" s="18" t="inlineStr"/>
      <c r="H30" s="18" t="inlineStr"/>
      <c r="I30" s="18" t="inlineStr">
        <is>
          <t>A contacter</t>
        </is>
      </c>
      <c r="J30" s="19" t="n"/>
      <c r="K30" s="18" t="n"/>
      <c r="L30" s="18" t="n">
        <v>1</v>
      </c>
      <c r="M30" s="18" t="n"/>
      <c r="N30" s="18" t="inlineStr"/>
      <c r="O30" s="20">
        <f>IF(OR($J30="",$K30="",$M30=""),"",($J30+IF(AND($L30&gt;=2,$J30=5000),3000,0))*$K30*$M30)</f>
        <v/>
      </c>
      <c r="P30" s="18" t="inlineStr"/>
    </row>
    <row r="31">
      <c r="A31" s="17" t="n">
        <v>1</v>
      </c>
      <c r="B31" s="17" t="inlineStr">
        <is>
          <t>UIST - Universite Internationale des Sciences et Technologie</t>
        </is>
      </c>
      <c r="C31" s="17" t="inlineStr">
        <is>
          <t>Abidjan - Cocody Riviera Bonoumin</t>
        </is>
      </c>
      <c r="D31" s="17" t="inlineStr">
        <is>
          <t>+225 07 09 47 87 16</t>
        </is>
      </c>
      <c r="E31" s="17" t="inlineStr">
        <is>
          <t>+225 07 78 46 60 78</t>
        </is>
      </c>
      <c r="F31" s="17" t="inlineStr"/>
      <c r="G31" s="18" t="inlineStr"/>
      <c r="H31" s="18" t="inlineStr"/>
      <c r="I31" s="18" t="inlineStr">
        <is>
          <t>A contacter</t>
        </is>
      </c>
      <c r="J31" s="19" t="n"/>
      <c r="K31" s="18" t="n"/>
      <c r="L31" s="18" t="n">
        <v>1</v>
      </c>
      <c r="M31" s="18" t="n"/>
      <c r="N31" s="18" t="inlineStr"/>
      <c r="O31" s="20">
        <f>IF(OR($J31="",$K31="",$M31=""),"",($J31+IF(AND($L31&gt;=2,$J31=5000),3000,0))*$K31*$M31)</f>
        <v/>
      </c>
      <c r="P31" s="18" t="inlineStr"/>
    </row>
    <row r="32">
      <c r="A32" s="17" t="n">
        <v>1</v>
      </c>
      <c r="B32" s="17" t="inlineStr">
        <is>
          <t>Universite Methodiste de Cote d'Ivoire (UMECI)</t>
        </is>
      </c>
      <c r="C32" s="17" t="inlineStr">
        <is>
          <t>Abidjan Cocody</t>
        </is>
      </c>
      <c r="D32" s="17" t="inlineStr">
        <is>
          <t>+225 27 22 44 66 68</t>
        </is>
      </c>
      <c r="E32" s="17" t="inlineStr">
        <is>
          <t>+225 27 22 44 90 77</t>
        </is>
      </c>
      <c r="F32" s="17" t="inlineStr"/>
      <c r="G32" s="18" t="inlineStr"/>
      <c r="H32" s="18" t="inlineStr"/>
      <c r="I32" s="18" t="inlineStr">
        <is>
          <t>A contacter</t>
        </is>
      </c>
      <c r="J32" s="19" t="n"/>
      <c r="K32" s="18" t="n"/>
      <c r="L32" s="18" t="n">
        <v>1</v>
      </c>
      <c r="M32" s="18" t="n"/>
      <c r="N32" s="18" t="inlineStr"/>
      <c r="O32" s="20">
        <f>IF(OR($J32="",$K32="",$M32=""),"",($J32+IF(AND($L32&gt;=2,$J32=5000),3000,0))*$K32*$M32)</f>
        <v/>
      </c>
      <c r="P32" s="18" t="inlineStr"/>
    </row>
    <row r="33">
      <c r="A33" s="17" t="n">
        <v>2</v>
      </c>
      <c r="B33" s="17" t="inlineStr">
        <is>
          <t>Africa Digital Academy</t>
        </is>
      </c>
      <c r="C33" s="17" t="inlineStr">
        <is>
          <t>Abidjan - Cocody Danga</t>
        </is>
      </c>
      <c r="D33" s="17" t="inlineStr">
        <is>
          <t>+225 07 49 57 41 91</t>
        </is>
      </c>
      <c r="E33" s="17" t="inlineStr"/>
      <c r="F33" s="17" t="inlineStr">
        <is>
          <t>contact@africadigital.academy</t>
        </is>
      </c>
      <c r="G33" s="18" t="inlineStr"/>
      <c r="H33" s="18" t="inlineStr"/>
      <c r="I33" s="18" t="inlineStr">
        <is>
          <t>A contacter</t>
        </is>
      </c>
      <c r="J33" s="19" t="n"/>
      <c r="K33" s="18" t="n"/>
      <c r="L33" s="18" t="n">
        <v>1</v>
      </c>
      <c r="M33" s="18" t="n"/>
      <c r="N33" s="18" t="inlineStr"/>
      <c r="O33" s="20">
        <f>IF(OR($J33="",$K33="",$M33=""),"",($J33+IF(AND($L33&gt;=2,$J33=5000),3000,0))*$K33*$M33)</f>
        <v/>
      </c>
      <c r="P33" s="18" t="inlineStr"/>
    </row>
    <row r="34">
      <c r="A34" s="17" t="n">
        <v>2</v>
      </c>
      <c r="B34" s="17" t="inlineStr">
        <is>
          <t>AIB SARL - Afrique Informatique Bureautique</t>
        </is>
      </c>
      <c r="C34" s="17" t="inlineStr">
        <is>
          <t>Abidjan - Plateau</t>
        </is>
      </c>
      <c r="D34" s="17" t="inlineStr">
        <is>
          <t>+225 27 20 32 40 78</t>
        </is>
      </c>
      <c r="E34" s="17" t="inlineStr">
        <is>
          <t>+225 27 20 33 13 53</t>
        </is>
      </c>
      <c r="F34" s="17" t="inlineStr"/>
      <c r="G34" s="18" t="inlineStr"/>
      <c r="H34" s="18" t="inlineStr"/>
      <c r="I34" s="18" t="inlineStr">
        <is>
          <t>A contacter</t>
        </is>
      </c>
      <c r="J34" s="19" t="n"/>
      <c r="K34" s="18" t="n"/>
      <c r="L34" s="18" t="n">
        <v>1</v>
      </c>
      <c r="M34" s="18" t="n"/>
      <c r="N34" s="18" t="inlineStr"/>
      <c r="O34" s="20">
        <f>IF(OR($J34="",$K34="",$M34=""),"",($J34+IF(AND($L34&gt;=2,$J34=5000),3000,0))*$K34*$M34)</f>
        <v/>
      </c>
      <c r="P34" s="18" t="inlineStr"/>
    </row>
    <row r="35">
      <c r="A35" s="17" t="n">
        <v>2</v>
      </c>
      <c r="B35" s="17" t="inlineStr">
        <is>
          <t>AIST Plateau - Academie Internationale des Sciences et Techniques</t>
        </is>
      </c>
      <c r="C35" s="17" t="inlineStr">
        <is>
          <t>Abidjan - Plateau</t>
        </is>
      </c>
      <c r="D35" s="17" t="inlineStr">
        <is>
          <t>+225 27 20 22 60 20</t>
        </is>
      </c>
      <c r="E35" s="17" t="inlineStr">
        <is>
          <t>+225 05 05 99 45 13</t>
        </is>
      </c>
      <c r="F35" s="17" t="inlineStr">
        <is>
          <t>aistplateau@gmail.com</t>
        </is>
      </c>
      <c r="G35" s="18" t="inlineStr"/>
      <c r="H35" s="18" t="inlineStr"/>
      <c r="I35" s="18" t="inlineStr">
        <is>
          <t>A contacter</t>
        </is>
      </c>
      <c r="J35" s="19" t="n"/>
      <c r="K35" s="18" t="n"/>
      <c r="L35" s="18" t="n">
        <v>1</v>
      </c>
      <c r="M35" s="18" t="n"/>
      <c r="N35" s="18" t="inlineStr"/>
      <c r="O35" s="20">
        <f>IF(OR($J35="",$K35="",$M35=""),"",($J35+IF(AND($L35&gt;=2,$J35=5000),3000,0))*$K35*$M35)</f>
        <v/>
      </c>
      <c r="P35" s="18" t="inlineStr"/>
    </row>
    <row r="36">
      <c r="A36" s="17" t="n">
        <v>2</v>
      </c>
      <c r="B36" s="17" t="inlineStr">
        <is>
          <t>AIST Treichville - Academie Internationale des Sciences et Techniques</t>
        </is>
      </c>
      <c r="C36" s="17" t="inlineStr">
        <is>
          <t>Abidjan - Treichville</t>
        </is>
      </c>
      <c r="D36" s="17" t="inlineStr">
        <is>
          <t>+225 01 02 10 68 29</t>
        </is>
      </c>
      <c r="E36" s="17" t="inlineStr">
        <is>
          <t>+225 27 21 24 12 18</t>
        </is>
      </c>
      <c r="F36" s="17" t="inlineStr"/>
      <c r="G36" s="18" t="inlineStr"/>
      <c r="H36" s="18" t="inlineStr"/>
      <c r="I36" s="18" t="inlineStr">
        <is>
          <t>A contacter</t>
        </is>
      </c>
      <c r="J36" s="19" t="n"/>
      <c r="K36" s="18" t="n"/>
      <c r="L36" s="18" t="n">
        <v>1</v>
      </c>
      <c r="M36" s="18" t="n"/>
      <c r="N36" s="18" t="inlineStr"/>
      <c r="O36" s="20">
        <f>IF(OR($J36="",$K36="",$M36=""),"",($J36+IF(AND($L36&gt;=2,$J36=5000),3000,0))*$K36*$M36)</f>
        <v/>
      </c>
      <c r="P36" s="18" t="inlineStr"/>
    </row>
    <row r="37">
      <c r="A37" s="17" t="n">
        <v>2</v>
      </c>
      <c r="B37" s="17" t="inlineStr">
        <is>
          <t>CESA Koumassi - Centre d Etudes Superieures des Affaires d Abidjan</t>
        </is>
      </c>
      <c r="C37" s="17" t="inlineStr">
        <is>
          <t>Abidjan - Koumassi</t>
        </is>
      </c>
      <c r="D37" s="17" t="inlineStr">
        <is>
          <t>+225 27 21 56 31 74</t>
        </is>
      </c>
      <c r="E37" s="17" t="inlineStr">
        <is>
          <t>+225 07 57 82 11 81</t>
        </is>
      </c>
      <c r="F37" s="17" t="inlineStr"/>
      <c r="G37" s="18" t="inlineStr"/>
      <c r="H37" s="18" t="inlineStr"/>
      <c r="I37" s="18" t="inlineStr">
        <is>
          <t>A contacter</t>
        </is>
      </c>
      <c r="J37" s="19" t="n"/>
      <c r="K37" s="18" t="n"/>
      <c r="L37" s="18" t="n">
        <v>1</v>
      </c>
      <c r="M37" s="18" t="n"/>
      <c r="N37" s="18" t="inlineStr"/>
      <c r="O37" s="20">
        <f>IF(OR($J37="",$K37="",$M37=""),"",($J37+IF(AND($L37&gt;=2,$J37=5000),3000,0))*$K37*$M37)</f>
        <v/>
      </c>
      <c r="P37" s="18" t="inlineStr"/>
    </row>
    <row r="38">
      <c r="A38" s="17" t="n">
        <v>2</v>
      </c>
      <c r="B38" s="17" t="inlineStr">
        <is>
          <t>CESA Plateau - Centre d Etudes Superieures des Affaires d Abidjan</t>
        </is>
      </c>
      <c r="C38" s="17" t="inlineStr">
        <is>
          <t>Abidjan - Plateau</t>
        </is>
      </c>
      <c r="D38" s="17" t="inlineStr">
        <is>
          <t>+225 27 20 21 97 56</t>
        </is>
      </c>
      <c r="E38" s="17" t="inlineStr">
        <is>
          <t>+225 27 21 56 31 74</t>
        </is>
      </c>
      <c r="F38" s="17" t="inlineStr">
        <is>
          <t>cofecesa@cofecesa.net</t>
        </is>
      </c>
      <c r="G38" s="18" t="inlineStr"/>
      <c r="H38" s="18" t="inlineStr"/>
      <c r="I38" s="18" t="inlineStr">
        <is>
          <t>A contacter</t>
        </is>
      </c>
      <c r="J38" s="19" t="n"/>
      <c r="K38" s="18" t="n"/>
      <c r="L38" s="18" t="n">
        <v>1</v>
      </c>
      <c r="M38" s="18" t="n"/>
      <c r="N38" s="18" t="inlineStr"/>
      <c r="O38" s="20">
        <f>IF(OR($J38="",$K38="",$M38=""),"",($J38+IF(AND($L38&gt;=2,$J38=5000),3000,0))*$K38*$M38)</f>
        <v/>
      </c>
      <c r="P38" s="18" t="inlineStr"/>
    </row>
    <row r="39">
      <c r="A39" s="17" t="n">
        <v>2</v>
      </c>
      <c r="B39" s="17" t="inlineStr">
        <is>
          <t>College Heleis Yamoussoukro</t>
        </is>
      </c>
      <c r="C39" s="17" t="inlineStr">
        <is>
          <t>Yamoussoukro</t>
        </is>
      </c>
      <c r="D39" s="17" t="inlineStr">
        <is>
          <t>+225 27 30 64 77 33</t>
        </is>
      </c>
      <c r="E39" s="17" t="inlineStr"/>
      <c r="F39" s="17" t="inlineStr">
        <is>
          <t>collegeheleis@hotmail.fr</t>
        </is>
      </c>
      <c r="G39" s="18" t="inlineStr"/>
      <c r="H39" s="18" t="inlineStr"/>
      <c r="I39" s="18" t="inlineStr">
        <is>
          <t>A contacter</t>
        </is>
      </c>
      <c r="J39" s="19" t="n"/>
      <c r="K39" s="18" t="n"/>
      <c r="L39" s="18" t="n">
        <v>1</v>
      </c>
      <c r="M39" s="18" t="n"/>
      <c r="N39" s="18" t="inlineStr"/>
      <c r="O39" s="20">
        <f>IF(OR($J39="",$K39="",$M39=""),"",($J39+IF(AND($L39&gt;=2,$J39=5000),3000,0))*$K39*$M39)</f>
        <v/>
      </c>
      <c r="P39" s="18" t="inlineStr"/>
    </row>
    <row r="40">
      <c r="A40" s="17" t="n">
        <v>2</v>
      </c>
      <c r="B40" s="17" t="inlineStr">
        <is>
          <t>Ecole Hoteliere de Grand-Bassam EHB</t>
        </is>
      </c>
      <c r="C40" s="17" t="inlineStr">
        <is>
          <t>Grand-Bassam</t>
        </is>
      </c>
      <c r="D40" s="17" t="inlineStr">
        <is>
          <t>+225 07 77 24 39 70</t>
        </is>
      </c>
      <c r="E40" s="17" t="inlineStr">
        <is>
          <t>+225 27 21 00 09 69</t>
        </is>
      </c>
      <c r="F40" s="17" t="inlineStr"/>
      <c r="G40" s="18" t="inlineStr"/>
      <c r="H40" s="18" t="inlineStr"/>
      <c r="I40" s="18" t="inlineStr">
        <is>
          <t>A contacter</t>
        </is>
      </c>
      <c r="J40" s="19" t="n"/>
      <c r="K40" s="18" t="n"/>
      <c r="L40" s="18" t="n">
        <v>1</v>
      </c>
      <c r="M40" s="18" t="n"/>
      <c r="N40" s="18" t="inlineStr"/>
      <c r="O40" s="20">
        <f>IF(OR($J40="",$K40="",$M40=""),"",($J40+IF(AND($L40&gt;=2,$J40=5000),3000,0))*$K40*$M40)</f>
        <v/>
      </c>
      <c r="P40" s="18" t="inlineStr"/>
    </row>
    <row r="41">
      <c r="A41" s="17" t="n">
        <v>2</v>
      </c>
      <c r="B41" s="17" t="inlineStr">
        <is>
          <t>Ecole Superieure de Gestion (ESG)</t>
        </is>
      </c>
      <c r="C41" s="17" t="inlineStr">
        <is>
          <t>Abidjan Cocody</t>
        </is>
      </c>
      <c r="D41" s="17" t="inlineStr">
        <is>
          <t>+225 07 08 58 08 88</t>
        </is>
      </c>
      <c r="E41" s="17" t="inlineStr"/>
      <c r="F41" s="17" t="inlineStr">
        <is>
          <t>infos@esg-ci.com</t>
        </is>
      </c>
      <c r="G41" s="18" t="inlineStr"/>
      <c r="H41" s="18" t="inlineStr"/>
      <c r="I41" s="18" t="inlineStr">
        <is>
          <t>A contacter</t>
        </is>
      </c>
      <c r="J41" s="19" t="n"/>
      <c r="K41" s="18" t="n"/>
      <c r="L41" s="18" t="n">
        <v>1</v>
      </c>
      <c r="M41" s="18" t="n"/>
      <c r="N41" s="18" t="inlineStr"/>
      <c r="O41" s="20">
        <f>IF(OR($J41="",$K41="",$M41=""),"",($J41+IF(AND($L41&gt;=2,$J41=5000),3000,0))*$K41*$M41)</f>
        <v/>
      </c>
      <c r="P41" s="18" t="inlineStr"/>
    </row>
    <row r="42">
      <c r="A42" s="17" t="n">
        <v>2</v>
      </c>
      <c r="B42" s="17" t="inlineStr">
        <is>
          <t>Ecole Superieure des Affaires et de Management (ESAM)</t>
        </is>
      </c>
      <c r="C42" s="17" t="inlineStr">
        <is>
          <t>Abidjan Treichville Zone 2</t>
        </is>
      </c>
      <c r="D42" s="17" t="inlineStr">
        <is>
          <t>+225 27 21 25 46 00</t>
        </is>
      </c>
      <c r="E42" s="17" t="inlineStr">
        <is>
          <t>+225 27 21 25 64 00</t>
        </is>
      </c>
      <c r="F42" s="17" t="inlineStr"/>
      <c r="G42" s="18" t="inlineStr"/>
      <c r="H42" s="18" t="inlineStr"/>
      <c r="I42" s="18" t="inlineStr">
        <is>
          <t>A contacter</t>
        </is>
      </c>
      <c r="J42" s="19" t="n"/>
      <c r="K42" s="18" t="n"/>
      <c r="L42" s="18" t="n">
        <v>1</v>
      </c>
      <c r="M42" s="18" t="n"/>
      <c r="N42" s="18" t="inlineStr"/>
      <c r="O42" s="20">
        <f>IF(OR($J42="",$K42="",$M42=""),"",($J42+IF(AND($L42&gt;=2,$J42=5000),3000,0))*$K42*$M42)</f>
        <v/>
      </c>
      <c r="P42" s="18" t="inlineStr"/>
    </row>
    <row r="43">
      <c r="A43" s="17" t="n">
        <v>2</v>
      </c>
      <c r="B43" s="17" t="inlineStr">
        <is>
          <t>EIT-NTIC Abidjan - Ecole Internationale Tertiaire et de Nouvelles Technologies</t>
        </is>
      </c>
      <c r="C43" s="17" t="inlineStr">
        <is>
          <t>Abidjan - Cocody Angre</t>
        </is>
      </c>
      <c r="D43" s="17" t="inlineStr">
        <is>
          <t>+225 27 22 45 06 19</t>
        </is>
      </c>
      <c r="E43" s="17" t="inlineStr">
        <is>
          <t>+225 05 05 45 71 21</t>
        </is>
      </c>
      <c r="F43" s="17" t="inlineStr"/>
      <c r="G43" s="18" t="inlineStr"/>
      <c r="H43" s="18" t="inlineStr"/>
      <c r="I43" s="18" t="inlineStr">
        <is>
          <t>A contacter</t>
        </is>
      </c>
      <c r="J43" s="19" t="n"/>
      <c r="K43" s="18" t="n"/>
      <c r="L43" s="18" t="n">
        <v>1</v>
      </c>
      <c r="M43" s="18" t="n"/>
      <c r="N43" s="18" t="inlineStr"/>
      <c r="O43" s="20">
        <f>IF(OR($J43="",$K43="",$M43=""),"",($J43+IF(AND($L43&gt;=2,$J43=5000),3000,0))*$K43*$M43)</f>
        <v/>
      </c>
      <c r="P43" s="18" t="inlineStr"/>
    </row>
    <row r="44">
      <c r="A44" s="17" t="n">
        <v>2</v>
      </c>
      <c r="B44" s="17" t="inlineStr">
        <is>
          <t>ENSIT - Ecole Nouvelle Superieure d'Ingenieurs et de Technologie</t>
        </is>
      </c>
      <c r="C44" s="17" t="inlineStr">
        <is>
          <t>Abidjan - Cocody Deux-Plateaux</t>
        </is>
      </c>
      <c r="D44" s="17" t="inlineStr">
        <is>
          <t>+225 01 01 53 30 36</t>
        </is>
      </c>
      <c r="E44" s="17" t="inlineStr">
        <is>
          <t>+225 27 22 41 65 63</t>
        </is>
      </c>
      <c r="F44" s="17" t="inlineStr"/>
      <c r="G44" s="18" t="inlineStr"/>
      <c r="H44" s="18" t="inlineStr"/>
      <c r="I44" s="18" t="inlineStr">
        <is>
          <t>A contacter</t>
        </is>
      </c>
      <c r="J44" s="19" t="n"/>
      <c r="K44" s="18" t="n"/>
      <c r="L44" s="18" t="n">
        <v>1</v>
      </c>
      <c r="M44" s="18" t="n"/>
      <c r="N44" s="18" t="inlineStr"/>
      <c r="O44" s="20">
        <f>IF(OR($J44="",$K44="",$M44=""),"",($J44+IF(AND($L44&gt;=2,$J44=5000),3000,0))*$K44*$M44)</f>
        <v/>
      </c>
      <c r="P44" s="18" t="inlineStr"/>
    </row>
    <row r="45">
      <c r="A45" s="17" t="n">
        <v>2</v>
      </c>
      <c r="B45" s="17" t="inlineStr">
        <is>
          <t>ESAM Vridi - Ecole Superieure des Affaires et du Management</t>
        </is>
      </c>
      <c r="C45" s="17" t="inlineStr">
        <is>
          <t>Abidjan - Port-Bouet</t>
        </is>
      </c>
      <c r="D45" s="17" t="inlineStr">
        <is>
          <t>+225 27 21 27 42 00</t>
        </is>
      </c>
      <c r="E45" s="17" t="inlineStr">
        <is>
          <t>+225 27 21 27 42 42</t>
        </is>
      </c>
      <c r="F45" s="17" t="inlineStr">
        <is>
          <t>groupeesam.ci.nv@gmail.com</t>
        </is>
      </c>
      <c r="G45" s="18" t="inlineStr"/>
      <c r="H45" s="18" t="inlineStr"/>
      <c r="I45" s="18" t="inlineStr">
        <is>
          <t>A contacter</t>
        </is>
      </c>
      <c r="J45" s="19" t="n"/>
      <c r="K45" s="18" t="n"/>
      <c r="L45" s="18" t="n">
        <v>1</v>
      </c>
      <c r="M45" s="18" t="n"/>
      <c r="N45" s="18" t="inlineStr"/>
      <c r="O45" s="20">
        <f>IF(OR($J45="",$K45="",$M45=""),"",($J45+IF(AND($L45&gt;=2,$J45=5000),3000,0))*$K45*$M45)</f>
        <v/>
      </c>
      <c r="P45" s="18" t="inlineStr"/>
    </row>
    <row r="46">
      <c r="A46" s="17" t="n">
        <v>2</v>
      </c>
      <c r="B46" s="17" t="inlineStr">
        <is>
          <t>ESAM Yamoussoukro - Ecole Superieure des Affaires et du Management</t>
        </is>
      </c>
      <c r="C46" s="17" t="inlineStr">
        <is>
          <t>Yamoussoukro</t>
        </is>
      </c>
      <c r="D46" s="17" t="inlineStr">
        <is>
          <t>+225 27 30 64 20 42</t>
        </is>
      </c>
      <c r="E46" s="17" t="inlineStr">
        <is>
          <t>+225 27 30 64 27 64</t>
        </is>
      </c>
      <c r="F46" s="17" t="inlineStr"/>
      <c r="G46" s="18" t="inlineStr"/>
      <c r="H46" s="18" t="inlineStr"/>
      <c r="I46" s="18" t="inlineStr">
        <is>
          <t>A contacter</t>
        </is>
      </c>
      <c r="J46" s="19" t="n"/>
      <c r="K46" s="18" t="n"/>
      <c r="L46" s="18" t="n">
        <v>1</v>
      </c>
      <c r="M46" s="18" t="n"/>
      <c r="N46" s="18" t="inlineStr"/>
      <c r="O46" s="20">
        <f>IF(OR($J46="",$K46="",$M46=""),"",($J46+IF(AND($L46&gt;=2,$J46=5000),3000,0))*$K46*$M46)</f>
        <v/>
      </c>
      <c r="P46" s="18" t="inlineStr"/>
    </row>
    <row r="47">
      <c r="A47" s="17" t="n">
        <v>2</v>
      </c>
      <c r="B47" s="17" t="inlineStr">
        <is>
          <t>ESETEC - Ecole Superieure de l'Enseignement Technique et Commercial</t>
        </is>
      </c>
      <c r="C47" s="17" t="inlineStr">
        <is>
          <t>Yamoussoukro</t>
        </is>
      </c>
      <c r="D47" s="17" t="inlineStr">
        <is>
          <t>+225 07 07 86 73 38</t>
        </is>
      </c>
      <c r="E47" s="17" t="inlineStr">
        <is>
          <t>+225 07 07 03 70 04</t>
        </is>
      </c>
      <c r="F47" s="17" t="inlineStr"/>
      <c r="G47" s="18" t="inlineStr"/>
      <c r="H47" s="18" t="inlineStr"/>
      <c r="I47" s="18" t="inlineStr">
        <is>
          <t>A contacter</t>
        </is>
      </c>
      <c r="J47" s="19" t="n"/>
      <c r="K47" s="18" t="n"/>
      <c r="L47" s="18" t="n">
        <v>1</v>
      </c>
      <c r="M47" s="18" t="n"/>
      <c r="N47" s="18" t="inlineStr"/>
      <c r="O47" s="20">
        <f>IF(OR($J47="",$K47="",$M47=""),"",($J47+IF(AND($L47&gt;=2,$J47=5000),3000,0))*$K47*$M47)</f>
        <v/>
      </c>
      <c r="P47" s="18" t="inlineStr"/>
    </row>
    <row r="48">
      <c r="A48" s="17" t="n">
        <v>2</v>
      </c>
      <c r="B48" s="17" t="inlineStr">
        <is>
          <t>ESGS San-Pedro - Ecole Superieure de Gestion et des Specialites</t>
        </is>
      </c>
      <c r="C48" s="17" t="inlineStr">
        <is>
          <t>San-Pedro</t>
        </is>
      </c>
      <c r="D48" s="17" t="inlineStr">
        <is>
          <t>+225 07 89 07 07 01</t>
        </is>
      </c>
      <c r="E48" s="17" t="inlineStr"/>
      <c r="F48" s="17" t="inlineStr">
        <is>
          <t>esgs.sp.ci@gmail.com</t>
        </is>
      </c>
      <c r="G48" s="18" t="inlineStr"/>
      <c r="H48" s="18" t="inlineStr"/>
      <c r="I48" s="18" t="inlineStr">
        <is>
          <t>A contacter</t>
        </is>
      </c>
      <c r="J48" s="19" t="n"/>
      <c r="K48" s="18" t="n"/>
      <c r="L48" s="18" t="n">
        <v>1</v>
      </c>
      <c r="M48" s="18" t="n"/>
      <c r="N48" s="18" t="inlineStr"/>
      <c r="O48" s="20">
        <f>IF(OR($J48="",$K48="",$M48=""),"",($J48+IF(AND($L48&gt;=2,$J48=5000),3000,0))*$K48*$M48)</f>
        <v/>
      </c>
      <c r="P48" s="18" t="inlineStr"/>
    </row>
    <row r="49">
      <c r="A49" s="17" t="n">
        <v>2</v>
      </c>
      <c r="B49" s="17" t="inlineStr">
        <is>
          <t>ESGS Yamoussoukro - Ecole Superieure de Gestion et des Specialites</t>
        </is>
      </c>
      <c r="C49" s="17" t="inlineStr">
        <is>
          <t>Yamoussoukro</t>
        </is>
      </c>
      <c r="D49" s="17" t="inlineStr">
        <is>
          <t>+225 07 89 07 07 01</t>
        </is>
      </c>
      <c r="E49" s="17" t="inlineStr"/>
      <c r="F49" s="17" t="inlineStr">
        <is>
          <t>esgs.sp.ci@gmail.com</t>
        </is>
      </c>
      <c r="G49" s="18" t="inlineStr"/>
      <c r="H49" s="18" t="inlineStr"/>
      <c r="I49" s="18" t="inlineStr">
        <is>
          <t>A contacter</t>
        </is>
      </c>
      <c r="J49" s="19" t="n"/>
      <c r="K49" s="18" t="n"/>
      <c r="L49" s="18" t="n">
        <v>1</v>
      </c>
      <c r="M49" s="18" t="n"/>
      <c r="N49" s="18" t="inlineStr"/>
      <c r="O49" s="20">
        <f>IF(OR($J49="",$K49="",$M49=""),"",($J49+IF(AND($L49&gt;=2,$J49=5000),3000,0))*$K49*$M49)</f>
        <v/>
      </c>
      <c r="P49" s="18" t="inlineStr"/>
    </row>
    <row r="50">
      <c r="A50" s="17" t="n">
        <v>2</v>
      </c>
      <c r="B50" s="17" t="inlineStr">
        <is>
          <t>ESIA - Ecole Superieure d'Informatique Appliquee</t>
        </is>
      </c>
      <c r="C50" s="17" t="inlineStr">
        <is>
          <t>Abidjan - Cocody Deux-Plateaux Vallon</t>
        </is>
      </c>
      <c r="D50" s="17" t="inlineStr">
        <is>
          <t>+225 27 21 76 18 25</t>
        </is>
      </c>
      <c r="E50" s="17" t="inlineStr">
        <is>
          <t>+225 27 21 76 59 75</t>
        </is>
      </c>
      <c r="F50" s="17" t="inlineStr"/>
      <c r="G50" s="18" t="inlineStr"/>
      <c r="H50" s="18" t="inlineStr"/>
      <c r="I50" s="18" t="inlineStr">
        <is>
          <t>A contacter</t>
        </is>
      </c>
      <c r="J50" s="19" t="n"/>
      <c r="K50" s="18" t="n"/>
      <c r="L50" s="18" t="n">
        <v>1</v>
      </c>
      <c r="M50" s="18" t="n"/>
      <c r="N50" s="18" t="inlineStr"/>
      <c r="O50" s="20">
        <f>IF(OR($J50="",$K50="",$M50=""),"",($J50+IF(AND($L50&gt;=2,$J50=5000),3000,0))*$K50*$M50)</f>
        <v/>
      </c>
      <c r="P50" s="18" t="inlineStr"/>
    </row>
    <row r="51">
      <c r="A51" s="17" t="n">
        <v>2</v>
      </c>
      <c r="B51" s="17" t="inlineStr">
        <is>
          <t>ESIM Yopougon - Ecole Superieure d'Industrie et de Management</t>
        </is>
      </c>
      <c r="C51" s="17" t="inlineStr">
        <is>
          <t>Abidjan - Yopougon</t>
        </is>
      </c>
      <c r="D51" s="17" t="inlineStr">
        <is>
          <t>+225 27 23 46 02 10</t>
        </is>
      </c>
      <c r="E51" s="17" t="inlineStr"/>
      <c r="F51" s="17" t="inlineStr"/>
      <c r="G51" s="18" t="inlineStr"/>
      <c r="H51" s="18" t="inlineStr"/>
      <c r="I51" s="18" t="inlineStr">
        <is>
          <t>A contacter</t>
        </is>
      </c>
      <c r="J51" s="19" t="n"/>
      <c r="K51" s="18" t="n"/>
      <c r="L51" s="18" t="n">
        <v>1</v>
      </c>
      <c r="M51" s="18" t="n"/>
      <c r="N51" s="18" t="inlineStr"/>
      <c r="O51" s="20">
        <f>IF(OR($J51="",$K51="",$M51=""),"",($J51+IF(AND($L51&gt;=2,$J51=5000),3000,0))*$K51*$M51)</f>
        <v/>
      </c>
      <c r="P51" s="18" t="inlineStr"/>
    </row>
    <row r="52">
      <c r="A52" s="17" t="n">
        <v>2</v>
      </c>
      <c r="B52" s="17" t="inlineStr">
        <is>
          <t>ESK Yopougon - Ecole Superieure de Commerce et de Gestion</t>
        </is>
      </c>
      <c r="C52" s="17" t="inlineStr">
        <is>
          <t>Abidjan - Yopougon</t>
        </is>
      </c>
      <c r="D52" s="17" t="inlineStr">
        <is>
          <t>+225 27 22 42 17 26</t>
        </is>
      </c>
      <c r="E52" s="17" t="inlineStr">
        <is>
          <t>+225 27 22 52 25 86</t>
        </is>
      </c>
      <c r="F52" s="17" t="inlineStr"/>
      <c r="G52" s="18" t="inlineStr"/>
      <c r="H52" s="18" t="inlineStr"/>
      <c r="I52" s="18" t="inlineStr">
        <is>
          <t>A contacter</t>
        </is>
      </c>
      <c r="J52" s="19" t="n"/>
      <c r="K52" s="18" t="n"/>
      <c r="L52" s="18" t="n">
        <v>1</v>
      </c>
      <c r="M52" s="18" t="n"/>
      <c r="N52" s="18" t="inlineStr"/>
      <c r="O52" s="20">
        <f>IF(OR($J52="",$K52="",$M52=""),"",($J52+IF(AND($L52&gt;=2,$J52=5000),3000,0))*$K52*$M52)</f>
        <v/>
      </c>
      <c r="P52" s="18" t="inlineStr"/>
    </row>
    <row r="53">
      <c r="A53" s="17" t="n">
        <v>2</v>
      </c>
      <c r="B53" s="17" t="inlineStr">
        <is>
          <t>ESTC Marcory - Ecole Superieure Technique et Commerciale</t>
        </is>
      </c>
      <c r="C53" s="17" t="inlineStr">
        <is>
          <t>Abidjan - Marcory</t>
        </is>
      </c>
      <c r="D53" s="17" t="inlineStr">
        <is>
          <t>+225 05 55 55 86 55</t>
        </is>
      </c>
      <c r="E53" s="17" t="inlineStr"/>
      <c r="F53" s="17" t="inlineStr"/>
      <c r="G53" s="18" t="inlineStr"/>
      <c r="H53" s="18" t="inlineStr"/>
      <c r="I53" s="18" t="inlineStr">
        <is>
          <t>A contacter</t>
        </is>
      </c>
      <c r="J53" s="19" t="n"/>
      <c r="K53" s="18" t="n"/>
      <c r="L53" s="18" t="n">
        <v>1</v>
      </c>
      <c r="M53" s="18" t="n"/>
      <c r="N53" s="18" t="inlineStr"/>
      <c r="O53" s="20">
        <f>IF(OR($J53="",$K53="",$M53=""),"",($J53+IF(AND($L53&gt;=2,$J53=5000),3000,0))*$K53*$M53)</f>
        <v/>
      </c>
      <c r="P53" s="18" t="inlineStr"/>
    </row>
    <row r="54">
      <c r="A54" s="17" t="n">
        <v>2</v>
      </c>
      <c r="B54" s="17" t="inlineStr">
        <is>
          <t>ESTEAI - Ecole Superieure des Techniques Electroniques Audiovisuelles et Informatiques</t>
        </is>
      </c>
      <c r="C54" s="17" t="inlineStr">
        <is>
          <t>Abidjan</t>
        </is>
      </c>
      <c r="D54" s="17" t="inlineStr">
        <is>
          <t>+225 05 75 26 03 53</t>
        </is>
      </c>
      <c r="E54" s="17" t="inlineStr"/>
      <c r="F54" s="17" t="inlineStr"/>
      <c r="G54" s="18" t="inlineStr"/>
      <c r="H54" s="18" t="inlineStr"/>
      <c r="I54" s="18" t="inlineStr">
        <is>
          <t>A contacter</t>
        </is>
      </c>
      <c r="J54" s="19" t="n"/>
      <c r="K54" s="18" t="n"/>
      <c r="L54" s="18" t="n">
        <v>1</v>
      </c>
      <c r="M54" s="18" t="n"/>
      <c r="N54" s="18" t="inlineStr"/>
      <c r="O54" s="20">
        <f>IF(OR($J54="",$K54="",$M54=""),"",($J54+IF(AND($L54&gt;=2,$J54=5000),3000,0))*$K54*$M54)</f>
        <v/>
      </c>
      <c r="P54" s="18" t="inlineStr"/>
    </row>
    <row r="55">
      <c r="A55" s="17" t="n">
        <v>2</v>
      </c>
      <c r="B55" s="17" t="inlineStr">
        <is>
          <t>ESTP (Ecole Superieure Technique et Professionnelle)</t>
        </is>
      </c>
      <c r="C55" s="17" t="inlineStr">
        <is>
          <t>Abidjan - Yopougon Bel Air</t>
        </is>
      </c>
      <c r="D55" s="17" t="inlineStr">
        <is>
          <t>+225 27 23 52 89 18</t>
        </is>
      </c>
      <c r="E55" s="17" t="inlineStr"/>
      <c r="F55" s="17" t="inlineStr"/>
      <c r="G55" s="18" t="inlineStr"/>
      <c r="H55" s="18" t="inlineStr"/>
      <c r="I55" s="18" t="inlineStr">
        <is>
          <t>A contacter</t>
        </is>
      </c>
      <c r="J55" s="19" t="n"/>
      <c r="K55" s="18" t="n"/>
      <c r="L55" s="18" t="n">
        <v>1</v>
      </c>
      <c r="M55" s="18" t="n"/>
      <c r="N55" s="18" t="inlineStr"/>
      <c r="O55" s="20">
        <f>IF(OR($J55="",$K55="",$M55=""),"",($J55+IF(AND($L55&gt;=2,$J55=5000),3000,0))*$K55*$M55)</f>
        <v/>
      </c>
      <c r="P55" s="18" t="inlineStr"/>
    </row>
    <row r="56">
      <c r="A56" s="17" t="n">
        <v>2</v>
      </c>
      <c r="B56" s="17" t="inlineStr">
        <is>
          <t>ETEP Abobo - Ecole Technique et Professionnelle</t>
        </is>
      </c>
      <c r="C56" s="17" t="inlineStr">
        <is>
          <t>Abidjan - Abobo</t>
        </is>
      </c>
      <c r="D56" s="17" t="inlineStr">
        <is>
          <t>+225 27 20 21 35 23</t>
        </is>
      </c>
      <c r="E56" s="17" t="inlineStr">
        <is>
          <t>+225 01 02 20 59 34</t>
        </is>
      </c>
      <c r="F56" s="17" t="inlineStr"/>
      <c r="G56" s="18" t="inlineStr"/>
      <c r="H56" s="18" t="inlineStr"/>
      <c r="I56" s="18" t="inlineStr">
        <is>
          <t>A contacter</t>
        </is>
      </c>
      <c r="J56" s="19" t="n"/>
      <c r="K56" s="18" t="n"/>
      <c r="L56" s="18" t="n">
        <v>1</v>
      </c>
      <c r="M56" s="18" t="n"/>
      <c r="N56" s="18" t="inlineStr"/>
      <c r="O56" s="20">
        <f>IF(OR($J56="",$K56="",$M56=""),"",($J56+IF(AND($L56&gt;=2,$J56=5000),3000,0))*$K56*$M56)</f>
        <v/>
      </c>
      <c r="P56" s="18" t="inlineStr"/>
    </row>
    <row r="57">
      <c r="A57" s="17" t="n">
        <v>2</v>
      </c>
      <c r="B57" s="17" t="inlineStr">
        <is>
          <t>ETIC Abobo - Ecole Technique Informatique et Commerciale</t>
        </is>
      </c>
      <c r="C57" s="17" t="inlineStr">
        <is>
          <t>Abidjan - Abobo</t>
        </is>
      </c>
      <c r="D57" s="17" t="inlineStr">
        <is>
          <t>+225 07 07 24 63 15</t>
        </is>
      </c>
      <c r="E57" s="17" t="inlineStr">
        <is>
          <t>+225 07 07 24 63 15</t>
        </is>
      </c>
      <c r="F57" s="17" t="inlineStr"/>
      <c r="G57" s="18" t="inlineStr"/>
      <c r="H57" s="18" t="inlineStr"/>
      <c r="I57" s="18" t="inlineStr">
        <is>
          <t>A contacter</t>
        </is>
      </c>
      <c r="J57" s="19" t="n"/>
      <c r="K57" s="18" t="n"/>
      <c r="L57" s="18" t="n">
        <v>1</v>
      </c>
      <c r="M57" s="18" t="n"/>
      <c r="N57" s="18" t="inlineStr"/>
      <c r="O57" s="20">
        <f>IF(OR($J57="",$K57="",$M57=""),"",($J57+IF(AND($L57&gt;=2,$J57=5000),3000,0))*$K57*$M57)</f>
        <v/>
      </c>
      <c r="P57" s="18" t="inlineStr"/>
    </row>
    <row r="58">
      <c r="A58" s="17" t="n">
        <v>2</v>
      </c>
      <c r="B58" s="17" t="inlineStr">
        <is>
          <t>ETIC Yopougon - Ecole Technique Informatique et Commerciale</t>
        </is>
      </c>
      <c r="C58" s="17" t="inlineStr">
        <is>
          <t>Abidjan - Yopougon</t>
        </is>
      </c>
      <c r="D58" s="17" t="inlineStr">
        <is>
          <t>+225 07 07 40 88 38</t>
        </is>
      </c>
      <c r="E58" s="17" t="inlineStr">
        <is>
          <t>+225 07 07 40 88 38</t>
        </is>
      </c>
      <c r="F58" s="17" t="inlineStr"/>
      <c r="G58" s="18" t="inlineStr"/>
      <c r="H58" s="18" t="inlineStr"/>
      <c r="I58" s="18" t="inlineStr">
        <is>
          <t>A contacter</t>
        </is>
      </c>
      <c r="J58" s="19" t="n"/>
      <c r="K58" s="18" t="n"/>
      <c r="L58" s="18" t="n">
        <v>1</v>
      </c>
      <c r="M58" s="18" t="n"/>
      <c r="N58" s="18" t="inlineStr"/>
      <c r="O58" s="20">
        <f>IF(OR($J58="",$K58="",$M58=""),"",($J58+IF(AND($L58&gt;=2,$J58=5000),3000,0))*$K58*$M58)</f>
        <v/>
      </c>
      <c r="P58" s="18" t="inlineStr"/>
    </row>
    <row r="59">
      <c r="A59" s="17" t="n">
        <v>2</v>
      </c>
      <c r="B59" s="17" t="inlineStr">
        <is>
          <t>GEA Groupe Ecoles Abidjan</t>
        </is>
      </c>
      <c r="C59" s="17" t="inlineStr">
        <is>
          <t>Abidjan Cocody</t>
        </is>
      </c>
      <c r="D59" s="17" t="inlineStr">
        <is>
          <t>+225 05 74 27 04 97</t>
        </is>
      </c>
      <c r="E59" s="17" t="inlineStr"/>
      <c r="F59" s="17" t="inlineStr">
        <is>
          <t>info@gea-ci.com</t>
        </is>
      </c>
      <c r="G59" s="18" t="inlineStr"/>
      <c r="H59" s="18" t="inlineStr"/>
      <c r="I59" s="18" t="inlineStr">
        <is>
          <t>A contacter</t>
        </is>
      </c>
      <c r="J59" s="19" t="n"/>
      <c r="K59" s="18" t="n"/>
      <c r="L59" s="18" t="n">
        <v>1</v>
      </c>
      <c r="M59" s="18" t="n"/>
      <c r="N59" s="18" t="inlineStr"/>
      <c r="O59" s="20">
        <f>IF(OR($J59="",$K59="",$M59=""),"",($J59+IF(AND($L59&gt;=2,$J59=5000),3000,0))*$K59*$M59)</f>
        <v/>
      </c>
      <c r="P59" s="18" t="inlineStr"/>
    </row>
    <row r="60">
      <c r="A60" s="17" t="n">
        <v>2</v>
      </c>
      <c r="B60" s="17" t="inlineStr">
        <is>
          <t>Groupe CERCO Cote d'Ivoire</t>
        </is>
      </c>
      <c r="C60" s="17" t="inlineStr">
        <is>
          <t>Abidjan - Deux Plateaux Vallon</t>
        </is>
      </c>
      <c r="D60" s="17" t="inlineStr">
        <is>
          <t>+225 07 07 10 55 63</t>
        </is>
      </c>
      <c r="E60" s="17" t="inlineStr">
        <is>
          <t>+225 07 58 27 08 27</t>
        </is>
      </c>
      <c r="F60" s="17" t="inlineStr">
        <is>
          <t>cerco@groupecerco.com</t>
        </is>
      </c>
      <c r="G60" s="18" t="inlineStr"/>
      <c r="H60" s="18" t="inlineStr"/>
      <c r="I60" s="18" t="inlineStr">
        <is>
          <t>A contacter</t>
        </is>
      </c>
      <c r="J60" s="19" t="n"/>
      <c r="K60" s="18" t="n"/>
      <c r="L60" s="18" t="n">
        <v>1</v>
      </c>
      <c r="M60" s="18" t="n"/>
      <c r="N60" s="18" t="inlineStr"/>
      <c r="O60" s="20">
        <f>IF(OR($J60="",$K60="",$M60=""),"",($J60+IF(AND($L60&gt;=2,$J60=5000),3000,0))*$K60*$M60)</f>
        <v/>
      </c>
      <c r="P60" s="18" t="inlineStr"/>
    </row>
    <row r="61">
      <c r="A61" s="17" t="n">
        <v>2</v>
      </c>
      <c r="B61" s="17" t="inlineStr">
        <is>
          <t>Groupe ESC (Ecole Superieure de Commerce)</t>
        </is>
      </c>
      <c r="C61" s="17" t="inlineStr">
        <is>
          <t>Abidjan - Cocody (pres INSAAC)</t>
        </is>
      </c>
      <c r="D61" s="17" t="inlineStr">
        <is>
          <t>+225 27 22 48 89 95</t>
        </is>
      </c>
      <c r="E61" s="17" t="inlineStr">
        <is>
          <t>+225 01 40 66 57 22</t>
        </is>
      </c>
      <c r="F61" s="17" t="inlineStr">
        <is>
          <t>info@esc-abj-bke.net</t>
        </is>
      </c>
      <c r="G61" s="18" t="inlineStr"/>
      <c r="H61" s="18" t="inlineStr"/>
      <c r="I61" s="18" t="inlineStr">
        <is>
          <t>A contacter</t>
        </is>
      </c>
      <c r="J61" s="19" t="n"/>
      <c r="K61" s="18" t="n"/>
      <c r="L61" s="18" t="n">
        <v>1</v>
      </c>
      <c r="M61" s="18" t="n"/>
      <c r="N61" s="18" t="inlineStr"/>
      <c r="O61" s="20">
        <f>IF(OR($J61="",$K61="",$M61=""),"",($J61+IF(AND($L61&gt;=2,$J61=5000),3000,0))*$K61*$M61)</f>
        <v/>
      </c>
      <c r="P61" s="18" t="inlineStr"/>
    </row>
    <row r="62">
      <c r="A62" s="17" t="n">
        <v>2</v>
      </c>
      <c r="B62" s="17" t="inlineStr">
        <is>
          <t>Groupe ESCAM - Ecole Superieure de Commerce d'Administration et de Management</t>
        </is>
      </c>
      <c r="C62" s="17" t="inlineStr">
        <is>
          <t>Abidjan - Cocody et Bingerville</t>
        </is>
      </c>
      <c r="D62" s="17" t="inlineStr">
        <is>
          <t>+225 05 46 10 56 04</t>
        </is>
      </c>
      <c r="E62" s="17" t="inlineStr"/>
      <c r="F62" s="17" t="inlineStr">
        <is>
          <t>groupeescam@gmail.com</t>
        </is>
      </c>
      <c r="G62" s="18" t="inlineStr"/>
      <c r="H62" s="18" t="inlineStr"/>
      <c r="I62" s="18" t="inlineStr">
        <is>
          <t>A contacter</t>
        </is>
      </c>
      <c r="J62" s="19" t="n"/>
      <c r="K62" s="18" t="n"/>
      <c r="L62" s="18" t="n">
        <v>1</v>
      </c>
      <c r="M62" s="18" t="n"/>
      <c r="N62" s="18" t="inlineStr"/>
      <c r="O62" s="20">
        <f>IF(OR($J62="",$K62="",$M62=""),"",($J62+IF(AND($L62&gt;=2,$J62=5000),3000,0))*$K62*$M62)</f>
        <v/>
      </c>
      <c r="P62" s="18" t="inlineStr"/>
    </row>
    <row r="63">
      <c r="A63" s="17" t="n">
        <v>2</v>
      </c>
      <c r="B63" s="17" t="inlineStr">
        <is>
          <t>Groupe ESCOGET - Ecole Superieure de Commerce de Gestion et de Technologie</t>
        </is>
      </c>
      <c r="C63" s="17" t="inlineStr">
        <is>
          <t>Abidjan - Plateau et Riviera Palmeraie</t>
        </is>
      </c>
      <c r="D63" s="17" t="inlineStr">
        <is>
          <t>+225 07 78 39 15 14</t>
        </is>
      </c>
      <c r="E63" s="17" t="inlineStr">
        <is>
          <t>+225 27 22 49 49 62</t>
        </is>
      </c>
      <c r="F63" s="17" t="inlineStr">
        <is>
          <t>info@groupescoget.com</t>
        </is>
      </c>
      <c r="G63" s="18" t="inlineStr"/>
      <c r="H63" s="18" t="inlineStr"/>
      <c r="I63" s="18" t="inlineStr">
        <is>
          <t>A contacter</t>
        </is>
      </c>
      <c r="J63" s="19" t="n"/>
      <c r="K63" s="18" t="n"/>
      <c r="L63" s="18" t="n">
        <v>1</v>
      </c>
      <c r="M63" s="18" t="n"/>
      <c r="N63" s="18" t="inlineStr"/>
      <c r="O63" s="20">
        <f>IF(OR($J63="",$K63="",$M63=""),"",($J63+IF(AND($L63&gt;=2,$J63=5000),3000,0))*$K63*$M63)</f>
        <v/>
      </c>
      <c r="P63" s="18" t="inlineStr"/>
    </row>
    <row r="64">
      <c r="A64" s="17" t="n">
        <v>2</v>
      </c>
      <c r="B64" s="17" t="inlineStr">
        <is>
          <t>Groupe ESICOM (Ecole Superieure d'Informatique et de Commerce)</t>
        </is>
      </c>
      <c r="C64" s="17" t="inlineStr">
        <is>
          <t>Abidjan - Plateau</t>
        </is>
      </c>
      <c r="D64" s="17" t="inlineStr">
        <is>
          <t>+225 27 20 21 40 13</t>
        </is>
      </c>
      <c r="E64" s="17" t="inlineStr">
        <is>
          <t>+225 01 01 32 46 09</t>
        </is>
      </c>
      <c r="F64" s="17" t="inlineStr"/>
      <c r="G64" s="18" t="inlineStr"/>
      <c r="H64" s="18" t="inlineStr"/>
      <c r="I64" s="18" t="inlineStr">
        <is>
          <t>A contacter</t>
        </is>
      </c>
      <c r="J64" s="19" t="n"/>
      <c r="K64" s="18" t="n"/>
      <c r="L64" s="18" t="n">
        <v>1</v>
      </c>
      <c r="M64" s="18" t="n"/>
      <c r="N64" s="18" t="inlineStr"/>
      <c r="O64" s="20">
        <f>IF(OR($J64="",$K64="",$M64=""),"",($J64+IF(AND($L64&gt;=2,$J64=5000),3000,0))*$K64*$M64)</f>
        <v/>
      </c>
      <c r="P64" s="18" t="inlineStr"/>
    </row>
    <row r="65">
      <c r="A65" s="17" t="n">
        <v>2</v>
      </c>
      <c r="B65" s="17" t="inlineStr">
        <is>
          <t>Groupe ESK - Ecole Superieure de Commerce et de Gestion</t>
        </is>
      </c>
      <c r="C65" s="17" t="inlineStr">
        <is>
          <t>Abidjan - Cocody Angre Deux-Plateaux</t>
        </is>
      </c>
      <c r="D65" s="17" t="inlineStr">
        <is>
          <t>+225 27 22 42 17 26</t>
        </is>
      </c>
      <c r="E65" s="17" t="inlineStr"/>
      <c r="F65" s="17" t="inlineStr">
        <is>
          <t>groupeeskabidjan@yahoo.fr</t>
        </is>
      </c>
      <c r="G65" s="18" t="inlineStr"/>
      <c r="H65" s="18" t="inlineStr"/>
      <c r="I65" s="18" t="inlineStr">
        <is>
          <t>A contacter</t>
        </is>
      </c>
      <c r="J65" s="19" t="n"/>
      <c r="K65" s="18" t="n"/>
      <c r="L65" s="18" t="n">
        <v>1</v>
      </c>
      <c r="M65" s="18" t="n"/>
      <c r="N65" s="18" t="inlineStr"/>
      <c r="O65" s="20">
        <f>IF(OR($J65="",$K65="",$M65=""),"",($J65+IF(AND($L65&gt;=2,$J65=5000),3000,0))*$K65*$M65)</f>
        <v/>
      </c>
      <c r="P65" s="18" t="inlineStr"/>
    </row>
    <row r="66">
      <c r="A66" s="17" t="n">
        <v>2</v>
      </c>
      <c r="B66" s="17" t="inlineStr">
        <is>
          <t>Groupe HEC Abidjan</t>
        </is>
      </c>
      <c r="C66" s="17" t="inlineStr">
        <is>
          <t>Abidjan - Cocody</t>
        </is>
      </c>
      <c r="D66" s="17" t="inlineStr">
        <is>
          <t>+225 07 88 01 01 01</t>
        </is>
      </c>
      <c r="E66" s="17" t="inlineStr">
        <is>
          <t>+225 07 88 01 01 01</t>
        </is>
      </c>
      <c r="F66" s="17" t="inlineStr">
        <is>
          <t>contact@hecabidjan.ci</t>
        </is>
      </c>
      <c r="G66" s="18" t="inlineStr"/>
      <c r="H66" s="18" t="inlineStr"/>
      <c r="I66" s="18" t="inlineStr">
        <is>
          <t>A contacter</t>
        </is>
      </c>
      <c r="J66" s="19" t="n"/>
      <c r="K66" s="18" t="n"/>
      <c r="L66" s="18" t="n">
        <v>1</v>
      </c>
      <c r="M66" s="18" t="n"/>
      <c r="N66" s="18" t="inlineStr"/>
      <c r="O66" s="20">
        <f>IF(OR($J66="",$K66="",$M66=""),"",($J66+IF(AND($L66&gt;=2,$J66=5000),3000,0))*$K66*$M66)</f>
        <v/>
      </c>
      <c r="P66" s="18" t="inlineStr"/>
    </row>
    <row r="67">
      <c r="A67" s="17" t="n">
        <v>2</v>
      </c>
      <c r="B67" s="17" t="inlineStr">
        <is>
          <t>Groupe HETEC</t>
        </is>
      </c>
      <c r="C67" s="17" t="inlineStr">
        <is>
          <t>Abidjan - Abobo Plateau Dokui</t>
        </is>
      </c>
      <c r="D67" s="17" t="inlineStr">
        <is>
          <t>+225 25 24 01 00 82</t>
        </is>
      </c>
      <c r="E67" s="17" t="inlineStr">
        <is>
          <t>+225 01 03 51 70 89</t>
        </is>
      </c>
      <c r="F67" s="17" t="inlineStr">
        <is>
          <t>info@groupehetec.net</t>
        </is>
      </c>
      <c r="G67" s="18" t="inlineStr"/>
      <c r="H67" s="18" t="inlineStr"/>
      <c r="I67" s="18" t="inlineStr">
        <is>
          <t>A contacter</t>
        </is>
      </c>
      <c r="J67" s="19" t="n"/>
      <c r="K67" s="18" t="n"/>
      <c r="L67" s="18" t="n">
        <v>1</v>
      </c>
      <c r="M67" s="18" t="n"/>
      <c r="N67" s="18" t="inlineStr"/>
      <c r="O67" s="20">
        <f>IF(OR($J67="",$K67="",$M67=""),"",($J67+IF(AND($L67&gt;=2,$J67=5000),3000,0))*$K67*$M67)</f>
        <v/>
      </c>
      <c r="P67" s="18" t="inlineStr"/>
    </row>
    <row r="68">
      <c r="A68" s="17" t="n">
        <v>2</v>
      </c>
      <c r="B68" s="17" t="inlineStr">
        <is>
          <t>Groupe LOKO (UTT / ISTTA / EST-LOKO)</t>
        </is>
      </c>
      <c r="C68" s="17" t="inlineStr">
        <is>
          <t>Abidjan - Marcory, Yopougon</t>
        </is>
      </c>
      <c r="D68" s="17" t="inlineStr">
        <is>
          <t>+225 27 21 75 29 90</t>
        </is>
      </c>
      <c r="E68" s="17" t="inlineStr">
        <is>
          <t>+225 27 21 21 19 20</t>
        </is>
      </c>
      <c r="F68" s="17" t="inlineStr">
        <is>
          <t>infos@groupeloko.com</t>
        </is>
      </c>
      <c r="G68" s="18" t="inlineStr"/>
      <c r="H68" s="18" t="inlineStr"/>
      <c r="I68" s="18" t="inlineStr">
        <is>
          <t>A contacter</t>
        </is>
      </c>
      <c r="J68" s="19" t="n"/>
      <c r="K68" s="18" t="n"/>
      <c r="L68" s="18" t="n">
        <v>1</v>
      </c>
      <c r="M68" s="18" t="n"/>
      <c r="N68" s="18" t="inlineStr"/>
      <c r="O68" s="20">
        <f>IF(OR($J68="",$K68="",$M68=""),"",($J68+IF(AND($L68&gt;=2,$J68=5000),3000,0))*$K68*$M68)</f>
        <v/>
      </c>
      <c r="P68" s="18" t="inlineStr"/>
    </row>
    <row r="69">
      <c r="A69" s="17" t="n">
        <v>2</v>
      </c>
      <c r="B69" s="17" t="inlineStr">
        <is>
          <t>GSM</t>
        </is>
      </c>
      <c r="C69" s="17" t="inlineStr">
        <is>
          <t>Abidjan - Cocody Riviera Palmeraie</t>
        </is>
      </c>
      <c r="D69" s="17" t="inlineStr">
        <is>
          <t>+225 05 54 27 28 75</t>
        </is>
      </c>
      <c r="E69" s="17" t="inlineStr"/>
      <c r="F69" s="17" t="inlineStr"/>
      <c r="G69" s="18" t="inlineStr"/>
      <c r="H69" s="18" t="inlineStr"/>
      <c r="I69" s="18" t="inlineStr">
        <is>
          <t>A contacter</t>
        </is>
      </c>
      <c r="J69" s="19" t="n"/>
      <c r="K69" s="18" t="n"/>
      <c r="L69" s="18" t="n">
        <v>1</v>
      </c>
      <c r="M69" s="18" t="n"/>
      <c r="N69" s="18" t="inlineStr"/>
      <c r="O69" s="20">
        <f>IF(OR($J69="",$K69="",$M69=""),"",($J69+IF(AND($L69&gt;=2,$J69=5000),3000,0))*$K69*$M69)</f>
        <v/>
      </c>
      <c r="P69" s="18" t="inlineStr"/>
    </row>
    <row r="70">
      <c r="A70" s="17" t="n">
        <v>2</v>
      </c>
      <c r="B70" s="17" t="inlineStr">
        <is>
          <t>IFED - Institut de Formation et d'Education de Daloa</t>
        </is>
      </c>
      <c r="C70" s="17" t="inlineStr">
        <is>
          <t>Daloa</t>
        </is>
      </c>
      <c r="D70" s="17" t="inlineStr">
        <is>
          <t>+225 27 32 78 09 88</t>
        </is>
      </c>
      <c r="E70" s="17" t="inlineStr"/>
      <c r="F70" s="17" t="inlineStr"/>
      <c r="G70" s="18" t="inlineStr"/>
      <c r="H70" s="18" t="inlineStr"/>
      <c r="I70" s="18" t="inlineStr">
        <is>
          <t>A contacter</t>
        </is>
      </c>
      <c r="J70" s="19" t="n"/>
      <c r="K70" s="18" t="n"/>
      <c r="L70" s="18" t="n">
        <v>1</v>
      </c>
      <c r="M70" s="18" t="n"/>
      <c r="N70" s="18" t="inlineStr"/>
      <c r="O70" s="20">
        <f>IF(OR($J70="",$K70="",$M70=""),"",($J70+IF(AND($L70&gt;=2,$J70=5000),3000,0))*$K70*$M70)</f>
        <v/>
      </c>
      <c r="P70" s="18" t="inlineStr"/>
    </row>
    <row r="71">
      <c r="A71" s="17" t="n">
        <v>2</v>
      </c>
      <c r="B71" s="17" t="inlineStr">
        <is>
          <t>IIPEA - Institut International Polytechnique des Elites d'Abidjan</t>
        </is>
      </c>
      <c r="C71" s="17" t="inlineStr">
        <is>
          <t>Abidjan - Cocody Riviera 2</t>
        </is>
      </c>
      <c r="D71" s="17" t="inlineStr">
        <is>
          <t>+225 07 08 08 87 87</t>
        </is>
      </c>
      <c r="E71" s="17" t="inlineStr">
        <is>
          <t>+225 07 69 36 08 57</t>
        </is>
      </c>
      <c r="F71" s="17" t="inlineStr">
        <is>
          <t>secretariat@iipea.com</t>
        </is>
      </c>
      <c r="G71" s="18" t="inlineStr"/>
      <c r="H71" s="18" t="inlineStr"/>
      <c r="I71" s="18" t="inlineStr">
        <is>
          <t>A contacter</t>
        </is>
      </c>
      <c r="J71" s="19" t="n"/>
      <c r="K71" s="18" t="n"/>
      <c r="L71" s="18" t="n">
        <v>1</v>
      </c>
      <c r="M71" s="18" t="n"/>
      <c r="N71" s="18" t="inlineStr"/>
      <c r="O71" s="20">
        <f>IF(OR($J71="",$K71="",$M71=""),"",($J71+IF(AND($L71&gt;=2,$J71=5000),3000,0))*$K71*$M71)</f>
        <v/>
      </c>
      <c r="P71" s="18" t="inlineStr"/>
    </row>
    <row r="72">
      <c r="A72" s="17" t="n">
        <v>2</v>
      </c>
      <c r="B72" s="17" t="inlineStr">
        <is>
          <t>IIT - Institut Ivoirien de Technologie</t>
        </is>
      </c>
      <c r="C72" s="17" t="inlineStr">
        <is>
          <t>Grand-Bassam</t>
        </is>
      </c>
      <c r="D72" s="17" t="inlineStr">
        <is>
          <t>+225 01 53 15 15 15</t>
        </is>
      </c>
      <c r="E72" s="17" t="inlineStr"/>
      <c r="F72" s="17" t="inlineStr">
        <is>
          <t>contact@iit.ci</t>
        </is>
      </c>
      <c r="G72" s="18" t="inlineStr"/>
      <c r="H72" s="18" t="inlineStr"/>
      <c r="I72" s="18" t="inlineStr">
        <is>
          <t>A contacter</t>
        </is>
      </c>
      <c r="J72" s="19" t="n"/>
      <c r="K72" s="18" t="n"/>
      <c r="L72" s="18" t="n">
        <v>1</v>
      </c>
      <c r="M72" s="18" t="n"/>
      <c r="N72" s="18" t="inlineStr"/>
      <c r="O72" s="20">
        <f>IF(OR($J72="",$K72="",$M72=""),"",($J72+IF(AND($L72&gt;=2,$J72=5000),3000,0))*$K72*$M72)</f>
        <v/>
      </c>
      <c r="P72" s="18" t="inlineStr"/>
    </row>
    <row r="73">
      <c r="A73" s="17" t="n">
        <v>2</v>
      </c>
      <c r="B73" s="17" t="inlineStr">
        <is>
          <t>IMS - Institut de Management Superieur (GEA)</t>
        </is>
      </c>
      <c r="C73" s="17" t="inlineStr">
        <is>
          <t>Abidjan - Cocody Deux-Plateaux Vallon</t>
        </is>
      </c>
      <c r="D73" s="17" t="inlineStr">
        <is>
          <t>+225 27 22 41 36 49</t>
        </is>
      </c>
      <c r="E73" s="17" t="inlineStr">
        <is>
          <t>+225 07 49 93 40 68</t>
        </is>
      </c>
      <c r="F73" s="17" t="inlineStr"/>
      <c r="G73" s="18" t="inlineStr"/>
      <c r="H73" s="18" t="inlineStr"/>
      <c r="I73" s="18" t="inlineStr">
        <is>
          <t>A contacter</t>
        </is>
      </c>
      <c r="J73" s="19" t="n"/>
      <c r="K73" s="18" t="n"/>
      <c r="L73" s="18" t="n">
        <v>1</v>
      </c>
      <c r="M73" s="18" t="n"/>
      <c r="N73" s="18" t="inlineStr"/>
      <c r="O73" s="20">
        <f>IF(OR($J73="",$K73="",$M73=""),"",($J73+IF(AND($L73&gt;=2,$J73=5000),3000,0))*$K73*$M73)</f>
        <v/>
      </c>
      <c r="P73" s="18" t="inlineStr"/>
    </row>
    <row r="74">
      <c r="A74" s="17" t="n">
        <v>2</v>
      </c>
      <c r="B74" s="17" t="inlineStr">
        <is>
          <t>Institut Booster Afrique</t>
        </is>
      </c>
      <c r="C74" s="17" t="inlineStr">
        <is>
          <t>Abidjan - Cocody Angre Chateau</t>
        </is>
      </c>
      <c r="D74" s="17" t="inlineStr">
        <is>
          <t>+225 07 08 06 04 89</t>
        </is>
      </c>
      <c r="E74" s="17" t="inlineStr">
        <is>
          <t>+225 01 03 33 92 09</t>
        </is>
      </c>
      <c r="F74" s="17" t="inlineStr"/>
      <c r="G74" s="18" t="inlineStr"/>
      <c r="H74" s="18" t="inlineStr"/>
      <c r="I74" s="18" t="inlineStr">
        <is>
          <t>A contacter</t>
        </is>
      </c>
      <c r="J74" s="19" t="n"/>
      <c r="K74" s="18" t="n"/>
      <c r="L74" s="18" t="n">
        <v>1</v>
      </c>
      <c r="M74" s="18" t="n"/>
      <c r="N74" s="18" t="inlineStr"/>
      <c r="O74" s="20">
        <f>IF(OR($J74="",$K74="",$M74=""),"",($J74+IF(AND($L74&gt;=2,$J74=5000),3000,0))*$K74*$M74)</f>
        <v/>
      </c>
      <c r="P74" s="18" t="inlineStr"/>
    </row>
    <row r="75">
      <c r="A75" s="17" t="n">
        <v>2</v>
      </c>
      <c r="B75" s="17" t="inlineStr">
        <is>
          <t>Institut LKM Yopougon</t>
        </is>
      </c>
      <c r="C75" s="17" t="inlineStr">
        <is>
          <t>Abidjan - Yopougon</t>
        </is>
      </c>
      <c r="D75" s="17" t="inlineStr">
        <is>
          <t>+225 27 23 49 60 03</t>
        </is>
      </c>
      <c r="E75" s="17" t="inlineStr">
        <is>
          <t>+225 07 07 32 82 72</t>
        </is>
      </c>
      <c r="F75" s="17" t="inlineStr"/>
      <c r="G75" s="18" t="inlineStr"/>
      <c r="H75" s="18" t="inlineStr"/>
      <c r="I75" s="18" t="inlineStr">
        <is>
          <t>A contacter</t>
        </is>
      </c>
      <c r="J75" s="19" t="n"/>
      <c r="K75" s="18" t="n"/>
      <c r="L75" s="18" t="n">
        <v>1</v>
      </c>
      <c r="M75" s="18" t="n"/>
      <c r="N75" s="18" t="inlineStr"/>
      <c r="O75" s="20">
        <f>IF(OR($J75="",$K75="",$M75=""),"",($J75+IF(AND($L75&gt;=2,$J75=5000),3000,0))*$K75*$M75)</f>
        <v/>
      </c>
      <c r="P75" s="18" t="inlineStr"/>
    </row>
    <row r="76">
      <c r="A76" s="17" t="n">
        <v>2</v>
      </c>
      <c r="B76" s="17" t="inlineStr">
        <is>
          <t>ISACM - Institut Superieur des Arts et du Commerce Management</t>
        </is>
      </c>
      <c r="C76" s="17" t="inlineStr">
        <is>
          <t>Korhogo</t>
        </is>
      </c>
      <c r="D76" s="17" t="inlineStr"/>
      <c r="E76" s="17" t="inlineStr"/>
      <c r="F76" s="17" t="inlineStr"/>
      <c r="G76" s="18" t="inlineStr"/>
      <c r="H76" s="18" t="inlineStr"/>
      <c r="I76" s="18" t="inlineStr">
        <is>
          <t>A contacter</t>
        </is>
      </c>
      <c r="J76" s="19" t="n"/>
      <c r="K76" s="18" t="n"/>
      <c r="L76" s="18" t="n">
        <v>1</v>
      </c>
      <c r="M76" s="18" t="n"/>
      <c r="N76" s="18" t="inlineStr"/>
      <c r="O76" s="20">
        <f>IF(OR($J76="",$K76="",$M76=""),"",($J76+IF(AND($L76&gt;=2,$J76=5000),3000,0))*$K76*$M76)</f>
        <v/>
      </c>
      <c r="P76" s="18" t="inlineStr"/>
    </row>
    <row r="77">
      <c r="A77" s="17" t="n">
        <v>2</v>
      </c>
      <c r="B77" s="17" t="inlineStr">
        <is>
          <t>ISFCG - Institut Superieur de Formation en Commerce et Gestion d'Abidjan</t>
        </is>
      </c>
      <c r="C77" s="17" t="inlineStr">
        <is>
          <t>Abidjan - Adjame</t>
        </is>
      </c>
      <c r="D77" s="17" t="inlineStr">
        <is>
          <t>+225 27 22 52 49 48</t>
        </is>
      </c>
      <c r="E77" s="17" t="inlineStr">
        <is>
          <t>+225 07 48 36 37 22</t>
        </is>
      </c>
      <c r="F77" s="17" t="inlineStr"/>
      <c r="G77" s="18" t="inlineStr"/>
      <c r="H77" s="18" t="inlineStr"/>
      <c r="I77" s="18" t="inlineStr">
        <is>
          <t>A contacter</t>
        </is>
      </c>
      <c r="J77" s="19" t="n"/>
      <c r="K77" s="18" t="n"/>
      <c r="L77" s="18" t="n">
        <v>1</v>
      </c>
      <c r="M77" s="18" t="n"/>
      <c r="N77" s="18" t="inlineStr"/>
      <c r="O77" s="20">
        <f>IF(OR($J77="",$K77="",$M77=""),"",($J77+IF(AND($L77&gt;=2,$J77=5000),3000,0))*$K77*$M77)</f>
        <v/>
      </c>
      <c r="P77" s="18" t="inlineStr"/>
    </row>
    <row r="78">
      <c r="A78" s="17" t="n">
        <v>2</v>
      </c>
      <c r="B78" s="17" t="inlineStr">
        <is>
          <t>ISTCI - Institut Superieur de Technologie de Cote d'Ivoire</t>
        </is>
      </c>
      <c r="C78" s="17" t="inlineStr">
        <is>
          <t>Abidjan - Plateau et Cocody</t>
        </is>
      </c>
      <c r="D78" s="17" t="inlineStr">
        <is>
          <t>+225 27 20 22 70 82</t>
        </is>
      </c>
      <c r="E78" s="17" t="inlineStr">
        <is>
          <t>+225 27 20 22 69 22</t>
        </is>
      </c>
      <c r="F78" s="17" t="inlineStr"/>
      <c r="G78" s="18" t="inlineStr"/>
      <c r="H78" s="18" t="inlineStr"/>
      <c r="I78" s="18" t="inlineStr">
        <is>
          <t>A contacter</t>
        </is>
      </c>
      <c r="J78" s="19" t="n"/>
      <c r="K78" s="18" t="n"/>
      <c r="L78" s="18" t="n">
        <v>1</v>
      </c>
      <c r="M78" s="18" t="n"/>
      <c r="N78" s="18" t="inlineStr"/>
      <c r="O78" s="20">
        <f>IF(OR($J78="",$K78="",$M78=""),"",($J78+IF(AND($L78&gt;=2,$J78=5000),3000,0))*$K78*$M78)</f>
        <v/>
      </c>
      <c r="P78" s="18" t="inlineStr"/>
    </row>
    <row r="79">
      <c r="A79" s="17" t="n">
        <v>2</v>
      </c>
      <c r="B79" s="17" t="inlineStr">
        <is>
          <t>ITA - Institut des Technologies d'Abidjan</t>
        </is>
      </c>
      <c r="C79" s="17" t="inlineStr">
        <is>
          <t>Abidjan - Marcory Zone 4</t>
        </is>
      </c>
      <c r="D79" s="17" t="inlineStr">
        <is>
          <t>+225 27 21 28 32 92</t>
        </is>
      </c>
      <c r="E79" s="17" t="inlineStr">
        <is>
          <t>+225 07 08 11 86 87</t>
        </is>
      </c>
      <c r="F79" s="17" t="inlineStr"/>
      <c r="G79" s="18" t="inlineStr"/>
      <c r="H79" s="18" t="inlineStr"/>
      <c r="I79" s="18" t="inlineStr">
        <is>
          <t>A contacter</t>
        </is>
      </c>
      <c r="J79" s="19" t="n"/>
      <c r="K79" s="18" t="n"/>
      <c r="L79" s="18" t="n">
        <v>1</v>
      </c>
      <c r="M79" s="18" t="n"/>
      <c r="N79" s="18" t="inlineStr"/>
      <c r="O79" s="20">
        <f>IF(OR($J79="",$K79="",$M79=""),"",($J79+IF(AND($L79&gt;=2,$J79=5000),3000,0))*$K79*$M79)</f>
        <v/>
      </c>
      <c r="P79" s="18" t="inlineStr"/>
    </row>
    <row r="80">
      <c r="A80" s="17" t="n">
        <v>2</v>
      </c>
      <c r="B80" s="17" t="inlineStr">
        <is>
          <t>ITES (Institut de Technologies et Specialites)</t>
        </is>
      </c>
      <c r="C80" s="17" t="inlineStr">
        <is>
          <t>Abidjan - Cocody II Plateaux Sanon</t>
        </is>
      </c>
      <c r="D80" s="17" t="inlineStr">
        <is>
          <t>+225 27 22 52 20 84</t>
        </is>
      </c>
      <c r="E80" s="17" t="inlineStr"/>
      <c r="F80" s="17" t="inlineStr"/>
      <c r="G80" s="18" t="inlineStr"/>
      <c r="H80" s="18" t="inlineStr"/>
      <c r="I80" s="18" t="inlineStr">
        <is>
          <t>A contacter</t>
        </is>
      </c>
      <c r="J80" s="19" t="n"/>
      <c r="K80" s="18" t="n"/>
      <c r="L80" s="18" t="n">
        <v>1</v>
      </c>
      <c r="M80" s="18" t="n"/>
      <c r="N80" s="18" t="inlineStr"/>
      <c r="O80" s="20">
        <f>IF(OR($J80="",$K80="",$M80=""),"",($J80+IF(AND($L80&gt;=2,$J80=5000),3000,0))*$K80*$M80)</f>
        <v/>
      </c>
      <c r="P80" s="18" t="inlineStr"/>
    </row>
    <row r="81">
      <c r="A81" s="17" t="n">
        <v>2</v>
      </c>
      <c r="B81" s="17" t="inlineStr">
        <is>
          <t>IUSS Institut Universitaire des Sciences de la Sante de Cote d Ivoire</t>
        </is>
      </c>
      <c r="C81" s="17" t="inlineStr">
        <is>
          <t>Abidjan Cocody</t>
        </is>
      </c>
      <c r="D81" s="17" t="inlineStr">
        <is>
          <t>+225 05 74 74 70 65</t>
        </is>
      </c>
      <c r="E81" s="17" t="inlineStr">
        <is>
          <t>+225 07 07 11 00 48</t>
        </is>
      </c>
      <c r="F81" s="17" t="inlineStr"/>
      <c r="G81" s="18" t="inlineStr"/>
      <c r="H81" s="18" t="inlineStr"/>
      <c r="I81" s="18" t="inlineStr">
        <is>
          <t>A contacter</t>
        </is>
      </c>
      <c r="J81" s="19" t="n"/>
      <c r="K81" s="18" t="n"/>
      <c r="L81" s="18" t="n">
        <v>1</v>
      </c>
      <c r="M81" s="18" t="n"/>
      <c r="N81" s="18" t="inlineStr"/>
      <c r="O81" s="20">
        <f>IF(OR($J81="",$K81="",$M81=""),"",($J81+IF(AND($L81&gt;=2,$J81=5000),3000,0))*$K81*$M81)</f>
        <v/>
      </c>
      <c r="P81" s="18" t="inlineStr"/>
    </row>
    <row r="82">
      <c r="A82" s="17" t="n">
        <v>2</v>
      </c>
      <c r="B82" s="17" t="inlineStr">
        <is>
          <t>Simplon Cote d'Ivoire</t>
        </is>
      </c>
      <c r="C82" s="17" t="inlineStr">
        <is>
          <t>Abidjan - Cocody</t>
        </is>
      </c>
      <c r="D82" s="17" t="inlineStr">
        <is>
          <t>+225 05 44 03 45 45</t>
        </is>
      </c>
      <c r="E82" s="17" t="inlineStr">
        <is>
          <t>+225 05 03 38 21 55</t>
        </is>
      </c>
      <c r="F82" s="17" t="inlineStr">
        <is>
          <t>simplonci@simplon.co</t>
        </is>
      </c>
      <c r="G82" s="18" t="inlineStr"/>
      <c r="H82" s="18" t="inlineStr"/>
      <c r="I82" s="18" t="inlineStr">
        <is>
          <t>A contacter</t>
        </is>
      </c>
      <c r="J82" s="19" t="n"/>
      <c r="K82" s="18" t="n"/>
      <c r="L82" s="18" t="n">
        <v>1</v>
      </c>
      <c r="M82" s="18" t="n"/>
      <c r="N82" s="18" t="inlineStr"/>
      <c r="O82" s="20">
        <f>IF(OR($J82="",$K82="",$M82=""),"",($J82+IF(AND($L82&gt;=2,$J82=5000),3000,0))*$K82*$M82)</f>
        <v/>
      </c>
      <c r="P82" s="18" t="inlineStr"/>
    </row>
    <row r="83">
      <c r="A83" s="17" t="n">
        <v>2</v>
      </c>
      <c r="B83" s="17" t="inlineStr">
        <is>
          <t>Sup'Management Cote d'Ivoire</t>
        </is>
      </c>
      <c r="C83" s="17" t="inlineStr">
        <is>
          <t>Abidjan - Cocody Deux-Plateaux Vallon</t>
        </is>
      </c>
      <c r="D83" s="17" t="inlineStr">
        <is>
          <t>+225 27 22 41 22 67</t>
        </is>
      </c>
      <c r="E83" s="17" t="inlineStr"/>
      <c r="F83" s="17" t="inlineStr">
        <is>
          <t>supmgtcivoire@supmanagement.ma</t>
        </is>
      </c>
      <c r="G83" s="18" t="inlineStr"/>
      <c r="H83" s="18" t="inlineStr"/>
      <c r="I83" s="18" t="inlineStr">
        <is>
          <t>A contacter</t>
        </is>
      </c>
      <c r="J83" s="19" t="n"/>
      <c r="K83" s="18" t="n"/>
      <c r="L83" s="18" t="n">
        <v>1</v>
      </c>
      <c r="M83" s="18" t="n"/>
      <c r="N83" s="18" t="inlineStr"/>
      <c r="O83" s="20">
        <f>IF(OR($J83="",$K83="",$M83=""),"",($J83+IF(AND($L83&gt;=2,$J83=5000),3000,0))*$K83*$M83)</f>
        <v/>
      </c>
      <c r="P83" s="18" t="inlineStr"/>
    </row>
    <row r="84">
      <c r="A84" s="17" t="n">
        <v>2</v>
      </c>
      <c r="B84" s="17" t="inlineStr">
        <is>
          <t>SUPAGRO AFRIQUE</t>
        </is>
      </c>
      <c r="C84" s="17" t="inlineStr">
        <is>
          <t>Yamoussoukro</t>
        </is>
      </c>
      <c r="D84" s="17" t="inlineStr">
        <is>
          <t>+225 27 30 00 28 88</t>
        </is>
      </c>
      <c r="E84" s="17" t="inlineStr">
        <is>
          <t>+225 07 69 69 66 19</t>
        </is>
      </c>
      <c r="F84" s="17" t="inlineStr">
        <is>
          <t>infos@supagro-afrique.com</t>
        </is>
      </c>
      <c r="G84" s="18" t="inlineStr"/>
      <c r="H84" s="18" t="inlineStr"/>
      <c r="I84" s="18" t="inlineStr">
        <is>
          <t>A contacter</t>
        </is>
      </c>
      <c r="J84" s="19" t="n"/>
      <c r="K84" s="18" t="n"/>
      <c r="L84" s="18" t="n">
        <v>1</v>
      </c>
      <c r="M84" s="18" t="n"/>
      <c r="N84" s="18" t="inlineStr"/>
      <c r="O84" s="20">
        <f>IF(OR($J84="",$K84="",$M84=""),"",($J84+IF(AND($L84&gt;=2,$J84=5000),3000,0))*$K84*$M84)</f>
        <v/>
      </c>
      <c r="P84" s="18" t="inlineStr"/>
    </row>
    <row r="85">
      <c r="A85" s="17" t="n">
        <v>2</v>
      </c>
      <c r="B85" s="17" t="inlineStr">
        <is>
          <t>UICI</t>
        </is>
      </c>
      <c r="C85" s="17" t="inlineStr">
        <is>
          <t>Abidjan - Cocody Angre</t>
        </is>
      </c>
      <c r="D85" s="17" t="inlineStr">
        <is>
          <t>+225 27 22 42 10 15</t>
        </is>
      </c>
      <c r="E85" s="17" t="inlineStr">
        <is>
          <t>+225 07 07 31 43 14</t>
        </is>
      </c>
      <c r="F85" s="17" t="inlineStr"/>
      <c r="G85" s="18" t="inlineStr"/>
      <c r="H85" s="18" t="inlineStr"/>
      <c r="I85" s="18" t="inlineStr">
        <is>
          <t>A contacter</t>
        </is>
      </c>
      <c r="J85" s="19" t="n"/>
      <c r="K85" s="18" t="n"/>
      <c r="L85" s="18" t="n">
        <v>1</v>
      </c>
      <c r="M85" s="18" t="n"/>
      <c r="N85" s="18" t="inlineStr"/>
      <c r="O85" s="20">
        <f>IF(OR($J85="",$K85="",$M85=""),"",($J85+IF(AND($L85&gt;=2,$J85=5000),3000,0))*$K85*$M85)</f>
        <v/>
      </c>
      <c r="P85" s="18" t="inlineStr"/>
    </row>
    <row r="86">
      <c r="A86" s="17" t="n">
        <v>2</v>
      </c>
      <c r="B86" s="17" t="inlineStr">
        <is>
          <t>Universite Charles Louis de Montesquieu (UCLM)</t>
        </is>
      </c>
      <c r="C86" s="17" t="inlineStr">
        <is>
          <t>Abidjan Cocody</t>
        </is>
      </c>
      <c r="D86" s="17" t="inlineStr">
        <is>
          <t>+225 07 07 87 25 41</t>
        </is>
      </c>
      <c r="E86" s="17" t="inlineStr">
        <is>
          <t>+225 01 42 97 21 65</t>
        </is>
      </c>
      <c r="F86" s="17" t="inlineStr"/>
      <c r="G86" s="18" t="inlineStr"/>
      <c r="H86" s="18" t="inlineStr"/>
      <c r="I86" s="18" t="inlineStr">
        <is>
          <t>A contacter</t>
        </is>
      </c>
      <c r="J86" s="19" t="n"/>
      <c r="K86" s="18" t="n"/>
      <c r="L86" s="18" t="n">
        <v>1</v>
      </c>
      <c r="M86" s="18" t="n"/>
      <c r="N86" s="18" t="inlineStr"/>
      <c r="O86" s="20">
        <f>IF(OR($J86="",$K86="",$M86=""),"",($J86+IF(AND($L86&gt;=2,$J86=5000),3000,0))*$K86*$M86)</f>
        <v/>
      </c>
      <c r="P86" s="18" t="inlineStr"/>
    </row>
    <row r="87">
      <c r="A87" s="17" t="n">
        <v>2</v>
      </c>
      <c r="B87" s="17" t="inlineStr">
        <is>
          <t>Universite de l'Atlantique</t>
        </is>
      </c>
      <c r="C87" s="17" t="inlineStr">
        <is>
          <t>Abidjan - Cocody Rue des Jardins</t>
        </is>
      </c>
      <c r="D87" s="17" t="inlineStr">
        <is>
          <t>+225 01 40 06 92 92</t>
        </is>
      </c>
      <c r="E87" s="17" t="inlineStr">
        <is>
          <t>+225 01 40 06 93 93</t>
        </is>
      </c>
      <c r="F87" s="17" t="inlineStr">
        <is>
          <t>uatl@aviso.ci</t>
        </is>
      </c>
      <c r="G87" s="18" t="inlineStr"/>
      <c r="H87" s="18" t="inlineStr"/>
      <c r="I87" s="18" t="inlineStr">
        <is>
          <t>A contacter</t>
        </is>
      </c>
      <c r="J87" s="19" t="n"/>
      <c r="K87" s="18" t="n"/>
      <c r="L87" s="18" t="n">
        <v>1</v>
      </c>
      <c r="M87" s="18" t="n"/>
      <c r="N87" s="18" t="inlineStr"/>
      <c r="O87" s="20">
        <f>IF(OR($J87="",$K87="",$M87=""),"",($J87+IF(AND($L87&gt;=2,$J87=5000),3000,0))*$K87*$M87)</f>
        <v/>
      </c>
      <c r="P87" s="18" t="inlineStr"/>
    </row>
    <row r="88">
      <c r="A88" s="17" t="n">
        <v>2</v>
      </c>
      <c r="B88" s="17" t="inlineStr">
        <is>
          <t>Universite Internationale de Grand-Bassam (UIGB/IUGB)</t>
        </is>
      </c>
      <c r="C88" s="17" t="inlineStr">
        <is>
          <t>Grand-Bassam (+ bureau Abidjan Deux Plateaux)</t>
        </is>
      </c>
      <c r="D88" s="17" t="inlineStr">
        <is>
          <t>+225 27 21 30 34 57</t>
        </is>
      </c>
      <c r="E88" s="17" t="inlineStr">
        <is>
          <t>+225 27 22 41 30 41</t>
        </is>
      </c>
      <c r="F88" s="17" t="inlineStr">
        <is>
          <t>admissions@iugb.edu.ci</t>
        </is>
      </c>
      <c r="G88" s="18" t="inlineStr"/>
      <c r="H88" s="18" t="inlineStr"/>
      <c r="I88" s="18" t="inlineStr">
        <is>
          <t>A contacter</t>
        </is>
      </c>
      <c r="J88" s="19" t="n"/>
      <c r="K88" s="18" t="n"/>
      <c r="L88" s="18" t="n">
        <v>1</v>
      </c>
      <c r="M88" s="18" t="n"/>
      <c r="N88" s="18" t="inlineStr"/>
      <c r="O88" s="20">
        <f>IF(OR($J88="",$K88="",$M88=""),"",($J88+IF(AND($L88&gt;=2,$J88=5000),3000,0))*$K88*$M88)</f>
        <v/>
      </c>
      <c r="P88" s="18" t="inlineStr"/>
    </row>
    <row r="89">
      <c r="A89" s="17" t="n">
        <v>3</v>
      </c>
      <c r="B89" s="17" t="inlineStr">
        <is>
          <t>AGEFOP - Agence Nationale de la Formation Professionnelle</t>
        </is>
      </c>
      <c r="C89" s="17" t="inlineStr">
        <is>
          <t>Abidjan Marcory Zone 4</t>
        </is>
      </c>
      <c r="D89" s="17" t="inlineStr">
        <is>
          <t>+225 07 77 74 93 80</t>
        </is>
      </c>
      <c r="E89" s="17" t="inlineStr"/>
      <c r="F89" s="17" t="inlineStr"/>
      <c r="G89" s="18" t="inlineStr"/>
      <c r="H89" s="18" t="inlineStr"/>
      <c r="I89" s="18" t="inlineStr">
        <is>
          <t>A contacter</t>
        </is>
      </c>
      <c r="J89" s="19" t="n"/>
      <c r="K89" s="18" t="n"/>
      <c r="L89" s="18" t="n">
        <v>1</v>
      </c>
      <c r="M89" s="18" t="n"/>
      <c r="N89" s="18" t="inlineStr"/>
      <c r="O89" s="20">
        <f>IF(OR($J89="",$K89="",$M89=""),"",($J89+IF(AND($L89&gt;=2,$J89=5000),3000,0))*$K89*$M89)</f>
        <v/>
      </c>
      <c r="P89" s="18" t="inlineStr"/>
    </row>
    <row r="90">
      <c r="A90" s="17" t="n">
        <v>3</v>
      </c>
      <c r="B90" s="17" t="inlineStr">
        <is>
          <t>ARSTM Academie Regionale des Sciences et Techniques de la Mer</t>
        </is>
      </c>
      <c r="C90" s="17" t="inlineStr">
        <is>
          <t>Abidjan Yopougon</t>
        </is>
      </c>
      <c r="D90" s="17" t="inlineStr">
        <is>
          <t>+225 27 23 46 08 08</t>
        </is>
      </c>
      <c r="E90" s="17" t="inlineStr">
        <is>
          <t>+225 01 01 08 08 02</t>
        </is>
      </c>
      <c r="F90" s="17" t="inlineStr">
        <is>
          <t>arstminfo@arstm.net</t>
        </is>
      </c>
      <c r="G90" s="18" t="inlineStr"/>
      <c r="H90" s="18" t="inlineStr"/>
      <c r="I90" s="18" t="inlineStr">
        <is>
          <t>A contacter</t>
        </is>
      </c>
      <c r="J90" s="19" t="n"/>
      <c r="K90" s="18" t="n"/>
      <c r="L90" s="18" t="n">
        <v>1</v>
      </c>
      <c r="M90" s="18" t="n"/>
      <c r="N90" s="18" t="inlineStr"/>
      <c r="O90" s="20">
        <f>IF(OR($J90="",$K90="",$M90=""),"",($J90+IF(AND($L90&gt;=2,$J90=5000),3000,0))*$K90*$M90)</f>
        <v/>
      </c>
      <c r="P90" s="18" t="inlineStr"/>
    </row>
    <row r="91">
      <c r="A91" s="17" t="n">
        <v>3</v>
      </c>
      <c r="B91" s="17" t="inlineStr">
        <is>
          <t>ESATIC (Ecole Superieure Africaine des TIC)</t>
        </is>
      </c>
      <c r="C91" s="17" t="inlineStr">
        <is>
          <t>Abidjan - Treichville</t>
        </is>
      </c>
      <c r="D91" s="17" t="inlineStr">
        <is>
          <t>+225 27 21 21 81 00</t>
        </is>
      </c>
      <c r="E91" s="17" t="inlineStr">
        <is>
          <t>+225 01 03 10 81 81</t>
        </is>
      </c>
      <c r="F91" s="17" t="inlineStr"/>
      <c r="G91" s="18" t="inlineStr"/>
      <c r="H91" s="18" t="inlineStr"/>
      <c r="I91" s="18" t="inlineStr">
        <is>
          <t>A contacter</t>
        </is>
      </c>
      <c r="J91" s="19" t="n"/>
      <c r="K91" s="18" t="n"/>
      <c r="L91" s="18" t="n">
        <v>1</v>
      </c>
      <c r="M91" s="18" t="n"/>
      <c r="N91" s="18" t="inlineStr"/>
      <c r="O91" s="20">
        <f>IF(OR($J91="",$K91="",$M91=""),"",($J91+IF(AND($L91&gt;=2,$J91=5000),3000,0))*$K91*$M91)</f>
        <v/>
      </c>
      <c r="P91" s="18" t="inlineStr"/>
    </row>
    <row r="92">
      <c r="A92" s="17" t="n">
        <v>3</v>
      </c>
      <c r="B92" s="17" t="inlineStr">
        <is>
          <t>INFAS Institut National de Formation des Agents de Sante</t>
        </is>
      </c>
      <c r="C92" s="17" t="inlineStr">
        <is>
          <t>Abidjan</t>
        </is>
      </c>
      <c r="D92" s="17" t="inlineStr">
        <is>
          <t>+225 07 87 88 99 02</t>
        </is>
      </c>
      <c r="E92" s="17" t="inlineStr">
        <is>
          <t>+225 05 64 87 80 70</t>
        </is>
      </c>
      <c r="F92" s="17" t="inlineStr"/>
      <c r="G92" s="18" t="inlineStr"/>
      <c r="H92" s="18" t="inlineStr"/>
      <c r="I92" s="18" t="inlineStr">
        <is>
          <t>A contacter</t>
        </is>
      </c>
      <c r="J92" s="19" t="n"/>
      <c r="K92" s="18" t="n"/>
      <c r="L92" s="18" t="n">
        <v>1</v>
      </c>
      <c r="M92" s="18" t="n"/>
      <c r="N92" s="18" t="inlineStr"/>
      <c r="O92" s="20">
        <f>IF(OR($J92="",$K92="",$M92=""),"",($J92+IF(AND($L92&gt;=2,$J92=5000),3000,0))*$K92*$M92)</f>
        <v/>
      </c>
      <c r="P92" s="18" t="inlineStr"/>
    </row>
    <row r="93">
      <c r="A93" s="17" t="n">
        <v>3</v>
      </c>
      <c r="B93" s="17" t="inlineStr">
        <is>
          <t>INP-HB (Institut National Polytechnique Felix Houphouet-Boigny)</t>
        </is>
      </c>
      <c r="C93" s="17" t="inlineStr">
        <is>
          <t>Yamoussoukro (+ antenne Abidjan)</t>
        </is>
      </c>
      <c r="D93" s="17" t="inlineStr">
        <is>
          <t>+225 27 30 64 66 61</t>
        </is>
      </c>
      <c r="E93" s="17" t="inlineStr">
        <is>
          <t>+225 05 01 80 00 19</t>
        </is>
      </c>
      <c r="F93" s="17" t="inlineStr">
        <is>
          <t>secretariatdg@inphb.ci</t>
        </is>
      </c>
      <c r="G93" s="18" t="inlineStr"/>
      <c r="H93" s="18" t="inlineStr"/>
      <c r="I93" s="18" t="inlineStr">
        <is>
          <t>A contacter</t>
        </is>
      </c>
      <c r="J93" s="19" t="n"/>
      <c r="K93" s="18" t="n"/>
      <c r="L93" s="18" t="n">
        <v>1</v>
      </c>
      <c r="M93" s="18" t="n"/>
      <c r="N93" s="18" t="inlineStr"/>
      <c r="O93" s="20">
        <f>IF(OR($J93="",$K93="",$M93=""),"",($J93+IF(AND($L93&gt;=2,$J93=5000),3000,0))*$K93*$M93)</f>
        <v/>
      </c>
      <c r="P93" s="18" t="inlineStr"/>
    </row>
    <row r="94">
      <c r="A94" s="17" t="n">
        <v>3</v>
      </c>
      <c r="B94" s="17" t="inlineStr">
        <is>
          <t>INSAAC (Institut National Superieur des Arts et de l'Action Culturelle)</t>
        </is>
      </c>
      <c r="C94" s="17" t="inlineStr">
        <is>
          <t>Abidjan - Cocody</t>
        </is>
      </c>
      <c r="D94" s="17" t="inlineStr">
        <is>
          <t>+225 27 22 44 26 73</t>
        </is>
      </c>
      <c r="E94" s="17" t="inlineStr"/>
      <c r="F94" s="17" t="inlineStr">
        <is>
          <t>contact@insaac.edu.ci</t>
        </is>
      </c>
      <c r="G94" s="18" t="inlineStr"/>
      <c r="H94" s="18" t="inlineStr"/>
      <c r="I94" s="18" t="inlineStr">
        <is>
          <t>A contacter</t>
        </is>
      </c>
      <c r="J94" s="19" t="n"/>
      <c r="K94" s="18" t="n"/>
      <c r="L94" s="18" t="n">
        <v>1</v>
      </c>
      <c r="M94" s="18" t="n"/>
      <c r="N94" s="18" t="inlineStr"/>
      <c r="O94" s="20">
        <f>IF(OR($J94="",$K94="",$M94=""),"",($J94+IF(AND($L94&gt;=2,$J94=5000),3000,0))*$K94*$M94)</f>
        <v/>
      </c>
      <c r="P94" s="18" t="inlineStr"/>
    </row>
    <row r="95">
      <c r="A95" s="17" t="n">
        <v>3</v>
      </c>
      <c r="B95" s="17" t="inlineStr">
        <is>
          <t>IPNETP (Institut Pedagogique National de l'Enseignement Technique et Professionnel)</t>
        </is>
      </c>
      <c r="C95" s="17" t="inlineStr">
        <is>
          <t>Abidjan - Cocody</t>
        </is>
      </c>
      <c r="D95" s="17" t="inlineStr">
        <is>
          <t>+225 27 22 44 67 69</t>
        </is>
      </c>
      <c r="E95" s="17" t="inlineStr">
        <is>
          <t>+225 27 22 48 50 35</t>
        </is>
      </c>
      <c r="F95" s="17" t="inlineStr">
        <is>
          <t>infos@ipnetp.ci</t>
        </is>
      </c>
      <c r="G95" s="18" t="inlineStr"/>
      <c r="H95" s="18" t="inlineStr"/>
      <c r="I95" s="18" t="inlineStr">
        <is>
          <t>A contacter</t>
        </is>
      </c>
      <c r="J95" s="19" t="n"/>
      <c r="K95" s="18" t="n"/>
      <c r="L95" s="18" t="n">
        <v>1</v>
      </c>
      <c r="M95" s="18" t="n"/>
      <c r="N95" s="18" t="inlineStr"/>
      <c r="O95" s="20">
        <f>IF(OR($J95="",$K95="",$M95=""),"",($J95+IF(AND($L95&gt;=2,$J95=5000),3000,0))*$K95*$M95)</f>
        <v/>
      </c>
      <c r="P95" s="18" t="inlineStr"/>
    </row>
    <row r="96">
      <c r="A96" s="17" t="n">
        <v>3</v>
      </c>
      <c r="B96" s="17" t="inlineStr">
        <is>
          <t>ISTC Polytechnique</t>
        </is>
      </c>
      <c r="C96" s="17" t="inlineStr">
        <is>
          <t>Abidjan - Cocody</t>
        </is>
      </c>
      <c r="D96" s="17" t="inlineStr">
        <is>
          <t>+225 27 22 44 88 58</t>
        </is>
      </c>
      <c r="E96" s="17" t="inlineStr">
        <is>
          <t>+225 27 22 44 84 33</t>
        </is>
      </c>
      <c r="F96" s="17" t="inlineStr">
        <is>
          <t>istc@istcpolytechnique.ci</t>
        </is>
      </c>
      <c r="G96" s="18" t="inlineStr"/>
      <c r="H96" s="18" t="inlineStr"/>
      <c r="I96" s="18" t="inlineStr">
        <is>
          <t>A contacter</t>
        </is>
      </c>
      <c r="J96" s="19" t="n"/>
      <c r="K96" s="18" t="n"/>
      <c r="L96" s="18" t="n">
        <v>1</v>
      </c>
      <c r="M96" s="18" t="n"/>
      <c r="N96" s="18" t="inlineStr"/>
      <c r="O96" s="20">
        <f>IF(OR($J96="",$K96="",$M96=""),"",($J96+IF(AND($L96&gt;=2,$J96=5000),3000,0))*$K96*$M96)</f>
        <v/>
      </c>
      <c r="P96" s="18" t="inlineStr"/>
    </row>
    <row r="97">
      <c r="A97" s="17" t="n">
        <v>3</v>
      </c>
      <c r="B97" s="17" t="inlineStr">
        <is>
          <t>Lycee Municipal d'Abobo</t>
        </is>
      </c>
      <c r="C97" s="17" t="inlineStr">
        <is>
          <t>Abidjan Abobo</t>
        </is>
      </c>
      <c r="D97" s="17" t="inlineStr">
        <is>
          <t>+225 05 06 80 53 60</t>
        </is>
      </c>
      <c r="E97" s="17" t="inlineStr"/>
      <c r="F97" s="17" t="inlineStr"/>
      <c r="G97" s="18" t="inlineStr"/>
      <c r="H97" s="18" t="inlineStr"/>
      <c r="I97" s="18" t="inlineStr">
        <is>
          <t>A contacter</t>
        </is>
      </c>
      <c r="J97" s="19" t="n"/>
      <c r="K97" s="18" t="n"/>
      <c r="L97" s="18" t="n">
        <v>1</v>
      </c>
      <c r="M97" s="18" t="n"/>
      <c r="N97" s="18" t="inlineStr"/>
      <c r="O97" s="20">
        <f>IF(OR($J97="",$K97="",$M97=""),"",($J97+IF(AND($L97&gt;=2,$J97=5000),3000,0))*$K97*$M97)</f>
        <v/>
      </c>
      <c r="P97" s="18" t="inlineStr"/>
    </row>
    <row r="98">
      <c r="A98" s="17" t="n">
        <v>3</v>
      </c>
      <c r="B98" s="17" t="inlineStr">
        <is>
          <t>Lycee Professionnel Commercial de Yopougon (LPCY)</t>
        </is>
      </c>
      <c r="C98" s="17" t="inlineStr">
        <is>
          <t>Abidjan Yopougon</t>
        </is>
      </c>
      <c r="D98" s="17" t="inlineStr">
        <is>
          <t>+225 01 73 56 01 01</t>
        </is>
      </c>
      <c r="E98" s="17" t="inlineStr"/>
      <c r="F98" s="17" t="inlineStr">
        <is>
          <t>lpcyop@gmail.com</t>
        </is>
      </c>
      <c r="G98" s="18" t="inlineStr"/>
      <c r="H98" s="18" t="inlineStr"/>
      <c r="I98" s="18" t="inlineStr">
        <is>
          <t>A contacter</t>
        </is>
      </c>
      <c r="J98" s="19" t="n"/>
      <c r="K98" s="18" t="n"/>
      <c r="L98" s="18" t="n">
        <v>1</v>
      </c>
      <c r="M98" s="18" t="n"/>
      <c r="N98" s="18" t="inlineStr"/>
      <c r="O98" s="20">
        <f>IF(OR($J98="",$K98="",$M98=""),"",($J98+IF(AND($L98&gt;=2,$J98=5000),3000,0))*$K98*$M98)</f>
        <v/>
      </c>
      <c r="P98" s="18" t="inlineStr"/>
    </row>
    <row r="99">
      <c r="A99" s="17" t="n">
        <v>3</v>
      </c>
      <c r="B99" s="17" t="inlineStr">
        <is>
          <t>Lycee Professionnel Hotelier d'Abidjan (LPHA Riviera)</t>
        </is>
      </c>
      <c r="C99" s="17" t="inlineStr">
        <is>
          <t>Abidjan Cocody Riviera Golf</t>
        </is>
      </c>
      <c r="D99" s="17" t="inlineStr">
        <is>
          <t>+225 27 22 43 00 73</t>
        </is>
      </c>
      <c r="E99" s="17" t="inlineStr">
        <is>
          <t>+225 27 22 43 25 88</t>
        </is>
      </c>
      <c r="F99" s="17" t="inlineStr">
        <is>
          <t>lyceeprofhotelier@yahoo.fr</t>
        </is>
      </c>
      <c r="G99" s="18" t="inlineStr"/>
      <c r="H99" s="18" t="inlineStr"/>
      <c r="I99" s="18" t="inlineStr">
        <is>
          <t>A contacter</t>
        </is>
      </c>
      <c r="J99" s="19" t="n"/>
      <c r="K99" s="18" t="n"/>
      <c r="L99" s="18" t="n">
        <v>1</v>
      </c>
      <c r="M99" s="18" t="n"/>
      <c r="N99" s="18" t="inlineStr"/>
      <c r="O99" s="20">
        <f>IF(OR($J99="",$K99="",$M99=""),"",($J99+IF(AND($L99&gt;=2,$J99=5000),3000,0))*$K99*$M99)</f>
        <v/>
      </c>
      <c r="P99" s="18" t="inlineStr"/>
    </row>
    <row r="100">
      <c r="A100" s="17" t="n">
        <v>3</v>
      </c>
      <c r="B100" s="17" t="inlineStr">
        <is>
          <t>Lycee Scientifique de Yamoussoukro</t>
        </is>
      </c>
      <c r="C100" s="17" t="inlineStr">
        <is>
          <t>Yamoussoukro</t>
        </is>
      </c>
      <c r="D100" s="17" t="inlineStr">
        <is>
          <t>+225 27 30 64 07 88</t>
        </is>
      </c>
      <c r="E100" s="17" t="inlineStr"/>
      <c r="F100" s="17" t="inlineStr">
        <is>
          <t>lyceescientifiqueyakro@gmail.com</t>
        </is>
      </c>
      <c r="G100" s="18" t="inlineStr"/>
      <c r="H100" s="18" t="inlineStr"/>
      <c r="I100" s="18" t="inlineStr">
        <is>
          <t>A contacter</t>
        </is>
      </c>
      <c r="J100" s="19" t="n"/>
      <c r="K100" s="18" t="n"/>
      <c r="L100" s="18" t="n">
        <v>1</v>
      </c>
      <c r="M100" s="18" t="n"/>
      <c r="N100" s="18" t="inlineStr"/>
      <c r="O100" s="20">
        <f>IF(OR($J100="",$K100="",$M100=""),"",($J100+IF(AND($L100&gt;=2,$J100=5000),3000,0))*$K100*$M100)</f>
        <v/>
      </c>
      <c r="P100" s="18" t="inlineStr"/>
    </row>
    <row r="101">
      <c r="A101" s="17" t="n">
        <v>3</v>
      </c>
      <c r="B101" s="17" t="inlineStr">
        <is>
          <t>Lycee Technique d'Abidjan (LTA Cocody)</t>
        </is>
      </c>
      <c r="C101" s="17" t="inlineStr">
        <is>
          <t>Abidjan Cocody</t>
        </is>
      </c>
      <c r="D101" s="17" t="inlineStr">
        <is>
          <t>+225 27 22 40 60 87</t>
        </is>
      </c>
      <c r="E101" s="17" t="inlineStr"/>
      <c r="F101" s="17" t="inlineStr"/>
      <c r="G101" s="18" t="inlineStr"/>
      <c r="H101" s="18" t="inlineStr"/>
      <c r="I101" s="18" t="inlineStr">
        <is>
          <t>A contacter</t>
        </is>
      </c>
      <c r="J101" s="19" t="n"/>
      <c r="K101" s="18" t="n"/>
      <c r="L101" s="18" t="n">
        <v>1</v>
      </c>
      <c r="M101" s="18" t="n"/>
      <c r="N101" s="18" t="inlineStr"/>
      <c r="O101" s="20">
        <f>IF(OR($J101="",$K101="",$M101=""),"",($J101+IF(AND($L101&gt;=2,$J101=5000),3000,0))*$K101*$M101)</f>
        <v/>
      </c>
      <c r="P101" s="18" t="inlineStr"/>
    </row>
    <row r="102">
      <c r="A102" s="17" t="n">
        <v>3</v>
      </c>
      <c r="B102" s="17" t="inlineStr">
        <is>
          <t>Universite Alassane Ouattara (UAO)</t>
        </is>
      </c>
      <c r="C102" s="17" t="inlineStr">
        <is>
          <t>Bouake</t>
        </is>
      </c>
      <c r="D102" s="17" t="inlineStr">
        <is>
          <t>+225 27 31 60 50 24</t>
        </is>
      </c>
      <c r="E102" s="17" t="inlineStr"/>
      <c r="F102" s="17" t="inlineStr">
        <is>
          <t>infoline@uao.edu.ci</t>
        </is>
      </c>
      <c r="G102" s="18" t="inlineStr"/>
      <c r="H102" s="18" t="inlineStr"/>
      <c r="I102" s="18" t="inlineStr">
        <is>
          <t>A contacter</t>
        </is>
      </c>
      <c r="J102" s="19" t="n"/>
      <c r="K102" s="18" t="n"/>
      <c r="L102" s="18" t="n">
        <v>1</v>
      </c>
      <c r="M102" s="18" t="n"/>
      <c r="N102" s="18" t="inlineStr"/>
      <c r="O102" s="20">
        <f>IF(OR($J102="",$K102="",$M102=""),"",($J102+IF(AND($L102&gt;=2,$J102=5000),3000,0))*$K102*$M102)</f>
        <v/>
      </c>
      <c r="P102" s="18" t="inlineStr"/>
    </row>
    <row r="103">
      <c r="A103" s="17" t="n">
        <v>3</v>
      </c>
      <c r="B103" s="17" t="inlineStr">
        <is>
          <t>Universite Jean Lorougnon Guede (UJLoG)</t>
        </is>
      </c>
      <c r="C103" s="17" t="inlineStr">
        <is>
          <t>Daloa</t>
        </is>
      </c>
      <c r="D103" s="17" t="inlineStr">
        <is>
          <t>+225 27 32 78 75 83</t>
        </is>
      </c>
      <c r="E103" s="17" t="inlineStr"/>
      <c r="F103" s="17" t="inlineStr">
        <is>
          <t>sercom@ujlg.edu.ci</t>
        </is>
      </c>
      <c r="G103" s="18" t="inlineStr"/>
      <c r="H103" s="18" t="inlineStr"/>
      <c r="I103" s="18" t="inlineStr">
        <is>
          <t>A contacter</t>
        </is>
      </c>
      <c r="J103" s="19" t="n"/>
      <c r="K103" s="18" t="n"/>
      <c r="L103" s="18" t="n">
        <v>1</v>
      </c>
      <c r="M103" s="18" t="n"/>
      <c r="N103" s="18" t="inlineStr"/>
      <c r="O103" s="20">
        <f>IF(OR($J103="",$K103="",$M103=""),"",($J103+IF(AND($L103&gt;=2,$J103=5000),3000,0))*$K103*$M103)</f>
        <v/>
      </c>
      <c r="P103" s="18" t="inlineStr"/>
    </row>
    <row r="104">
      <c r="A104" s="17" t="n">
        <v>3</v>
      </c>
      <c r="B104" s="17" t="inlineStr">
        <is>
          <t>Universite Nangui Abrogoua (UNA)</t>
        </is>
      </c>
      <c r="C104" s="17" t="inlineStr">
        <is>
          <t>Abidjan Abobo-Adjame</t>
        </is>
      </c>
      <c r="D104" s="17" t="inlineStr">
        <is>
          <t>+225 05 85 07 58 05</t>
        </is>
      </c>
      <c r="E104" s="17" t="inlineStr"/>
      <c r="F104" s="17" t="inlineStr">
        <is>
          <t>info@univ-na.ci</t>
        </is>
      </c>
      <c r="G104" s="18" t="inlineStr"/>
      <c r="H104" s="18" t="inlineStr"/>
      <c r="I104" s="18" t="inlineStr">
        <is>
          <t>A contacter</t>
        </is>
      </c>
      <c r="J104" s="19" t="n"/>
      <c r="K104" s="18" t="n"/>
      <c r="L104" s="18" t="n">
        <v>1</v>
      </c>
      <c r="M104" s="18" t="n"/>
      <c r="N104" s="18" t="inlineStr"/>
      <c r="O104" s="20">
        <f>IF(OR($J104="",$K104="",$M104=""),"",($J104+IF(AND($L104&gt;=2,$J104=5000),3000,0))*$K104*$M104)</f>
        <v/>
      </c>
      <c r="P104" s="18" t="inlineStr"/>
    </row>
    <row r="105">
      <c r="A105" s="17" t="n">
        <v>3</v>
      </c>
      <c r="B105" s="17" t="inlineStr">
        <is>
          <t>Universite Peleforo Gon Coulibaly (UPGC)</t>
        </is>
      </c>
      <c r="C105" s="17" t="inlineStr">
        <is>
          <t>Korhogo</t>
        </is>
      </c>
      <c r="D105" s="17" t="inlineStr">
        <is>
          <t>+225 07 48 61 71 14</t>
        </is>
      </c>
      <c r="E105" s="17" t="inlineStr">
        <is>
          <t>+225 01 51 21 56 05</t>
        </is>
      </c>
      <c r="F105" s="17" t="inlineStr"/>
      <c r="G105" s="18" t="inlineStr"/>
      <c r="H105" s="18" t="inlineStr"/>
      <c r="I105" s="18" t="inlineStr">
        <is>
          <t>A contacter</t>
        </is>
      </c>
      <c r="J105" s="19" t="n"/>
      <c r="K105" s="18" t="n"/>
      <c r="L105" s="18" t="n">
        <v>1</v>
      </c>
      <c r="M105" s="18" t="n"/>
      <c r="N105" s="18" t="inlineStr"/>
      <c r="O105" s="20">
        <f>IF(OR($J105="",$K105="",$M105=""),"",($J105+IF(AND($L105&gt;=2,$J105=5000),3000,0))*$K105*$M105)</f>
        <v/>
      </c>
      <c r="P105" s="18" t="inlineStr"/>
    </row>
    <row r="106">
      <c r="A106" s="17" t="n">
        <v>3</v>
      </c>
      <c r="B106" s="17" t="inlineStr">
        <is>
          <t>Universite Polytechnique de San-Pedro (USP)</t>
        </is>
      </c>
      <c r="C106" s="17" t="inlineStr">
        <is>
          <t>San-Pedro</t>
        </is>
      </c>
      <c r="D106" s="17" t="inlineStr">
        <is>
          <t>+225 05 06 88 56 46</t>
        </is>
      </c>
      <c r="E106" s="17" t="inlineStr">
        <is>
          <t>+225 27 34 70 12 84</t>
        </is>
      </c>
      <c r="F106" s="17" t="inlineStr">
        <is>
          <t>informations@usp.edu.ci</t>
        </is>
      </c>
      <c r="G106" s="18" t="inlineStr"/>
      <c r="H106" s="18" t="inlineStr"/>
      <c r="I106" s="18" t="inlineStr">
        <is>
          <t>A contacter</t>
        </is>
      </c>
      <c r="J106" s="19" t="n"/>
      <c r="K106" s="18" t="n"/>
      <c r="L106" s="18" t="n">
        <v>1</v>
      </c>
      <c r="M106" s="18" t="n"/>
      <c r="N106" s="18" t="inlineStr"/>
      <c r="O106" s="20">
        <f>IF(OR($J106="",$K106="",$M106=""),"",($J106+IF(AND($L106&gt;=2,$J106=5000),3000,0))*$K106*$M106)</f>
        <v/>
      </c>
      <c r="P106" s="18" t="inlineStr"/>
    </row>
    <row r="107">
      <c r="A107" s="17" t="n">
        <v>3</v>
      </c>
      <c r="B107" s="17" t="inlineStr">
        <is>
          <t>Universite Virtuelle de Cote d'Ivoire (UVCI)</t>
        </is>
      </c>
      <c r="C107" s="17" t="inlineStr">
        <is>
          <t>Abidjan Cocody</t>
        </is>
      </c>
      <c r="D107" s="17" t="inlineStr"/>
      <c r="E107" s="17" t="inlineStr"/>
      <c r="F107" s="17" t="inlineStr">
        <is>
          <t>secretariat@uvci.edu.ci</t>
        </is>
      </c>
      <c r="G107" s="18" t="inlineStr"/>
      <c r="H107" s="18" t="inlineStr"/>
      <c r="I107" s="18" t="inlineStr">
        <is>
          <t>A contacter</t>
        </is>
      </c>
      <c r="J107" s="19" t="n"/>
      <c r="K107" s="18" t="n"/>
      <c r="L107" s="18" t="n">
        <v>1</v>
      </c>
      <c r="M107" s="18" t="n"/>
      <c r="N107" s="18" t="inlineStr"/>
      <c r="O107" s="20">
        <f>IF(OR($J107="",$K107="",$M107=""),"",($J107+IF(AND($L107&gt;=2,$J107=5000),3000,0))*$K107*$M107)</f>
        <v/>
      </c>
      <c r="P107" s="18" t="inlineStr"/>
    </row>
  </sheetData>
  <autoFilter ref="A1:P107"/>
  <dataValidations count="3">
    <dataValidation sqref="I2:I107" showDropDown="0" showInputMessage="0" showErrorMessage="0" allowBlank="1" type="list">
      <formula1>"A contacter,Contacte,Relance,RDV fixe,En negociation,Signe,Refuse,Injoignable"</formula1>
    </dataValidation>
    <dataValidation sqref="J2:J107" showDropDown="0" showInputMessage="0" showErrorMessage="0" allowBlank="1" type="list">
      <formula1>"5000,10000"</formula1>
    </dataValidation>
    <dataValidation sqref="L2:L107" showDropDown="0" showInputMessage="0" showErrorMessage="0" allowBlank="1" type="list">
      <formula1>"1,2"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42" customWidth="1" min="2" max="2"/>
    <col width="18" customWidth="1" min="3" max="3"/>
    <col width="30" customWidth="1" min="4" max="4"/>
    <col width="56" customWidth="1" min="5" max="5"/>
    <col width="19" customWidth="1" min="6" max="6"/>
    <col width="19" customWidth="1" min="7" max="7"/>
    <col width="19" customWidth="1" min="8" max="8"/>
    <col width="30" customWidth="1" min="9" max="9"/>
    <col width="28" customWidth="1" min="10" max="10"/>
    <col width="32" customWidth="1" min="11" max="11"/>
    <col width="11" customWidth="1" min="12" max="12"/>
    <col width="32" customWidth="1" min="13" max="13"/>
    <col width="15" customWidth="1" min="14" max="14"/>
    <col width="13" customWidth="1" min="15" max="15"/>
  </cols>
  <sheetData>
    <row r="1" ht="30" customHeight="1">
      <c r="A1" s="12" t="inlineStr">
        <is>
          <t>Ecole</t>
        </is>
      </c>
      <c r="B1" s="12" t="inlineStr">
        <is>
          <t>Type</t>
        </is>
      </c>
      <c r="C1" s="12" t="inlineStr">
        <is>
          <t>Statut</t>
        </is>
      </c>
      <c r="D1" s="12" t="inlineStr">
        <is>
          <t>Ville / Commune</t>
        </is>
      </c>
      <c r="E1" s="12" t="inlineStr">
        <is>
          <t>Adresse</t>
        </is>
      </c>
      <c r="F1" s="12" t="inlineStr">
        <is>
          <t>Telephone 1</t>
        </is>
      </c>
      <c r="G1" s="12" t="inlineStr">
        <is>
          <t>Telephone 2</t>
        </is>
      </c>
      <c r="H1" s="12" t="inlineStr">
        <is>
          <t>WhatsApp</t>
        </is>
      </c>
      <c r="I1" s="12" t="inlineStr">
        <is>
          <t>Email</t>
        </is>
      </c>
      <c r="J1" s="12" t="inlineStr">
        <is>
          <t>Site web</t>
        </is>
      </c>
      <c r="K1" s="12" t="inlineStr">
        <is>
          <t>Interlocuteur cible</t>
        </is>
      </c>
      <c r="L1" s="12" t="inlineStr">
        <is>
          <t>Fiabilite</t>
        </is>
      </c>
      <c r="M1" s="12" t="inlineStr">
        <is>
          <t>Source</t>
        </is>
      </c>
      <c r="N1" s="12" t="inlineStr">
        <is>
          <t>Type email</t>
        </is>
      </c>
      <c r="O1" s="12" t="inlineStr">
        <is>
          <t>Etat email</t>
        </is>
      </c>
    </row>
    <row r="2">
      <c r="A2" s="21" t="inlineStr">
        <is>
          <t>ESTEAI - Ecole Superieure des Techniques Electroniques Audiovisuelles et Informatiques</t>
        </is>
      </c>
      <c r="B2" s="21" t="inlineStr">
        <is>
          <t>Ecole superieure - electronique et informatique</t>
        </is>
      </c>
      <c r="C2" s="21" t="inlineStr">
        <is>
          <t>Prive</t>
        </is>
      </c>
      <c r="D2" s="21" t="inlineStr">
        <is>
          <t>Abidjan</t>
        </is>
      </c>
      <c r="E2" s="21" t="inlineStr">
        <is>
          <t>Abidjan</t>
        </is>
      </c>
      <c r="F2" s="21" t="inlineStr">
        <is>
          <t>+225 05 75 26 03 53</t>
        </is>
      </c>
      <c r="G2" s="21" t="inlineStr"/>
      <c r="H2" s="21" t="inlineStr"/>
      <c r="I2" s="21" t="inlineStr"/>
      <c r="J2" s="21" t="inlineStr"/>
      <c r="K2" s="21" t="inlineStr">
        <is>
          <t>Directeur des Etudes</t>
        </is>
      </c>
      <c r="L2" s="21" t="inlineStr">
        <is>
          <t>Moyenne</t>
        </is>
      </c>
      <c r="M2" s="21" t="inlineStr">
        <is>
          <t>AnnuaireCI</t>
        </is>
      </c>
      <c r="N2" s="21" t="inlineStr"/>
      <c r="O2" s="22" t="inlineStr">
        <is>
          <t>sans email</t>
        </is>
      </c>
    </row>
    <row r="3">
      <c r="A3" s="21" t="inlineStr">
        <is>
          <t>INFAS Institut National de Formation des Agents de Sante</t>
        </is>
      </c>
      <c r="B3" s="21" t="inlineStr">
        <is>
          <t>Institut national - sante paramedical infirmiers sages-femmes</t>
        </is>
      </c>
      <c r="C3" s="21" t="inlineStr">
        <is>
          <t>Public</t>
        </is>
      </c>
      <c r="D3" s="21" t="inlineStr">
        <is>
          <t>Abidjan</t>
        </is>
      </c>
      <c r="E3" s="21" t="inlineStr"/>
      <c r="F3" s="21" t="inlineStr">
        <is>
          <t>+225 07 87 88 99 02</t>
        </is>
      </c>
      <c r="G3" s="21" t="inlineStr">
        <is>
          <t>+225 05 64 87 80 70</t>
        </is>
      </c>
      <c r="H3" s="21" t="inlineStr"/>
      <c r="I3" s="21" t="inlineStr"/>
      <c r="J3" s="21" t="inlineStr">
        <is>
          <t>https://infas.ci</t>
        </is>
      </c>
      <c r="K3" s="21" t="inlineStr">
        <is>
          <t>Directeur des Etudes</t>
        </is>
      </c>
      <c r="L3" s="21" t="inlineStr">
        <is>
          <t>Moyenne</t>
        </is>
      </c>
      <c r="M3" s="21" t="inlineStr">
        <is>
          <t>edukiya.com</t>
        </is>
      </c>
      <c r="N3" s="21" t="inlineStr"/>
      <c r="O3" s="22" t="inlineStr">
        <is>
          <t>sans email</t>
        </is>
      </c>
    </row>
    <row r="4">
      <c r="A4" s="21" t="inlineStr">
        <is>
          <t>ETEP Abobo - Ecole Technique et Professionnelle</t>
        </is>
      </c>
      <c r="B4" s="21" t="inlineStr">
        <is>
          <t>Grande ecole - BTS tertiaire et industriel</t>
        </is>
      </c>
      <c r="C4" s="21" t="inlineStr">
        <is>
          <t>Prive</t>
        </is>
      </c>
      <c r="D4" s="21" t="inlineStr">
        <is>
          <t>Abidjan - Abobo</t>
        </is>
      </c>
      <c r="E4" s="21" t="inlineStr">
        <is>
          <t>Autoroute Banco entre la Coopec et le College Saint Joseph Abobo</t>
        </is>
      </c>
      <c r="F4" s="21" t="inlineStr">
        <is>
          <t>+225 27 20 21 35 23</t>
        </is>
      </c>
      <c r="G4" s="21" t="inlineStr">
        <is>
          <t>+225 01 02 20 59 34</t>
        </is>
      </c>
      <c r="H4" s="21" t="inlineStr"/>
      <c r="I4" s="21" t="inlineStr"/>
      <c r="J4" s="21" t="inlineStr"/>
      <c r="K4" s="21" t="inlineStr">
        <is>
          <t>Directeur des Etudes (par campus)</t>
        </is>
      </c>
      <c r="L4" s="21" t="inlineStr">
        <is>
          <t>Moyenne</t>
        </is>
      </c>
      <c r="M4" s="21" t="inlineStr">
        <is>
          <t>UPESUP</t>
        </is>
      </c>
      <c r="N4" s="21" t="inlineStr"/>
      <c r="O4" s="22" t="inlineStr">
        <is>
          <t>sans email</t>
        </is>
      </c>
    </row>
    <row r="5">
      <c r="A5" s="21" t="inlineStr">
        <is>
          <t>ETIC Abobo - Ecole Technique Informatique et Commerciale</t>
        </is>
      </c>
      <c r="B5" s="21" t="inlineStr">
        <is>
          <t>Ecole superieure technique - informatique et commerce</t>
        </is>
      </c>
      <c r="C5" s="21" t="inlineStr">
        <is>
          <t>Prive</t>
        </is>
      </c>
      <c r="D5" s="21" t="inlineStr">
        <is>
          <t>Abidjan - Abobo</t>
        </is>
      </c>
      <c r="E5" s="21" t="inlineStr"/>
      <c r="F5" s="21" t="inlineStr">
        <is>
          <t>+225 07 07 24 63 15</t>
        </is>
      </c>
      <c r="G5" s="21" t="inlineStr"/>
      <c r="H5" s="21" t="inlineStr">
        <is>
          <t>+225 07 07 24 63 15</t>
        </is>
      </c>
      <c r="I5" s="21" t="inlineStr"/>
      <c r="J5" s="21" t="inlineStr">
        <is>
          <t>eticecole.com</t>
        </is>
      </c>
      <c r="K5" s="21" t="inlineStr">
        <is>
          <t>Directeur des Etudes (par campus)</t>
        </is>
      </c>
      <c r="L5" s="21" t="inlineStr">
        <is>
          <t>Moyenne</t>
        </is>
      </c>
      <c r="M5" s="21" t="inlineStr">
        <is>
          <t>Le Grand Frere</t>
        </is>
      </c>
      <c r="N5" s="21" t="inlineStr"/>
      <c r="O5" s="22" t="inlineStr">
        <is>
          <t>sans email</t>
        </is>
      </c>
    </row>
    <row r="6">
      <c r="A6" s="21" t="inlineStr">
        <is>
          <t>GESTPCI - Groupe d'Enseignement Superieur Technique et Professionnel de Cote d'Ivoire</t>
        </is>
      </c>
      <c r="B6" s="21" t="inlineStr">
        <is>
          <t>Grande ecole - tertiaire et industriel</t>
        </is>
      </c>
      <c r="C6" s="21" t="inlineStr">
        <is>
          <t>Prive</t>
        </is>
      </c>
      <c r="D6" s="21" t="inlineStr">
        <is>
          <t>Abidjan - Abobo</t>
        </is>
      </c>
      <c r="E6" s="21" t="inlineStr">
        <is>
          <t>Abobo-Anador Cocoteraie</t>
        </is>
      </c>
      <c r="F6" s="21" t="inlineStr">
        <is>
          <t>+225 07 59 74 39 10</t>
        </is>
      </c>
      <c r="G6" s="21" t="inlineStr">
        <is>
          <t>+225 07 08 34 14 67</t>
        </is>
      </c>
      <c r="H6" s="21" t="inlineStr">
        <is>
          <t>+225 07 59 74 39 10</t>
        </is>
      </c>
      <c r="I6" s="21" t="inlineStr"/>
      <c r="J6" s="21" t="inlineStr">
        <is>
          <t>gestpci.com</t>
        </is>
      </c>
      <c r="K6" s="21" t="inlineStr">
        <is>
          <t>Directeur des Etudes</t>
        </is>
      </c>
      <c r="L6" s="23" t="inlineStr">
        <is>
          <t>Haute</t>
        </is>
      </c>
      <c r="M6" s="21" t="inlineStr">
        <is>
          <t>Site officiel gestpci.com</t>
        </is>
      </c>
      <c r="N6" s="21" t="inlineStr"/>
      <c r="O6" s="22" t="inlineStr">
        <is>
          <t>sans email</t>
        </is>
      </c>
    </row>
    <row r="7">
      <c r="A7" s="21" t="inlineStr">
        <is>
          <t>Groupe HETEC</t>
        </is>
      </c>
      <c r="B7" s="21" t="inlineStr">
        <is>
          <t>Grande ecole - technologie / commerce</t>
        </is>
      </c>
      <c r="C7" s="21" t="inlineStr">
        <is>
          <t>Prive</t>
        </is>
      </c>
      <c r="D7" s="21" t="inlineStr">
        <is>
          <t>Abidjan - Abobo Plateau Dokui</t>
        </is>
      </c>
      <c r="E7" s="21" t="inlineStr">
        <is>
          <t>01 BP 4389 Abidjan 01, derriere la Cite Forest</t>
        </is>
      </c>
      <c r="F7" s="21" t="inlineStr">
        <is>
          <t>+225 25 24 01 00 82</t>
        </is>
      </c>
      <c r="G7" s="21" t="inlineStr">
        <is>
          <t>+225 07 48 55 43 36</t>
        </is>
      </c>
      <c r="H7" s="21" t="inlineStr">
        <is>
          <t>+225 01 03 51 70 89</t>
        </is>
      </c>
      <c r="I7" s="21" t="inlineStr">
        <is>
          <t>info@groupehetec.net</t>
        </is>
      </c>
      <c r="J7" s="21" t="inlineStr">
        <is>
          <t>www.hetec.ci</t>
        </is>
      </c>
      <c r="K7" s="21" t="inlineStr">
        <is>
          <t>Directeur des Etudes</t>
        </is>
      </c>
      <c r="L7" s="21" t="inlineStr">
        <is>
          <t>Moyenne</t>
        </is>
      </c>
      <c r="M7" s="21" t="inlineStr">
        <is>
          <t>Le Grand Frere + Annuaire Pratik | email : Le Grand Frere + Edukiya - domaine .net en service</t>
        </is>
      </c>
      <c r="N7" s="21" t="inlineStr">
        <is>
          <t>domaine propre</t>
        </is>
      </c>
      <c r="O7" s="24" t="inlineStr">
        <is>
          <t>a verifier</t>
        </is>
      </c>
    </row>
    <row r="8">
      <c r="A8" s="21" t="inlineStr">
        <is>
          <t>ISFCG - Institut Superieur de Formation en Commerce et Gestion d'Abidjan</t>
        </is>
      </c>
      <c r="B8" s="21" t="inlineStr">
        <is>
          <t>Institut superieur - commerce et gestion</t>
        </is>
      </c>
      <c r="C8" s="21" t="inlineStr">
        <is>
          <t>Prive</t>
        </is>
      </c>
      <c r="D8" s="21" t="inlineStr">
        <is>
          <t>Abidjan - Adjame</t>
        </is>
      </c>
      <c r="E8" s="21" t="inlineStr">
        <is>
          <t>Adjame quartier Saint-Michel</t>
        </is>
      </c>
      <c r="F8" s="21" t="inlineStr">
        <is>
          <t>+225 27 22 52 49 48</t>
        </is>
      </c>
      <c r="G8" s="21" t="inlineStr">
        <is>
          <t>+225 07 48 36 37 22</t>
        </is>
      </c>
      <c r="H8" s="21" t="inlineStr"/>
      <c r="I8" s="21" t="inlineStr"/>
      <c r="J8" s="21" t="inlineStr"/>
      <c r="K8" s="21" t="inlineStr">
        <is>
          <t>Directeur des Etudes</t>
        </is>
      </c>
      <c r="L8" s="21" t="inlineStr">
        <is>
          <t>Moyenne</t>
        </is>
      </c>
      <c r="M8" s="21" t="inlineStr">
        <is>
          <t>CiTrade</t>
        </is>
      </c>
      <c r="N8" s="21" t="inlineStr"/>
      <c r="O8" s="22" t="inlineStr">
        <is>
          <t>sans email</t>
        </is>
      </c>
    </row>
    <row r="9">
      <c r="A9" s="21" t="inlineStr">
        <is>
          <t>ISFMI - Institut Superieur de Formation aux Metiers de l'Informatique</t>
        </is>
      </c>
      <c r="B9" s="21" t="inlineStr">
        <is>
          <t>Institut informatique - BTS et Licence pro</t>
        </is>
      </c>
      <c r="C9" s="21" t="inlineStr">
        <is>
          <t>Prive</t>
        </is>
      </c>
      <c r="D9" s="21" t="inlineStr">
        <is>
          <t>Abidjan - Adjame Roxy</t>
        </is>
      </c>
      <c r="E9" s="21" t="inlineStr">
        <is>
          <t>Rue du Commerce Immeuble Kissimala face SIDAM - 20 BP 647 Abidjan 20</t>
        </is>
      </c>
      <c r="F9" s="21" t="inlineStr">
        <is>
          <t>+225 27 20 32 83 39</t>
        </is>
      </c>
      <c r="G9" s="21" t="inlineStr">
        <is>
          <t>+225 07 58 01 69 01</t>
        </is>
      </c>
      <c r="H9" s="21" t="inlineStr"/>
      <c r="I9" s="21" t="inlineStr">
        <is>
          <t>isfmiisfmi@yahoo.fr</t>
        </is>
      </c>
      <c r="J9" s="21" t="inlineStr">
        <is>
          <t>isfmi.net</t>
        </is>
      </c>
      <c r="K9" s="21" t="inlineStr">
        <is>
          <t>Directeur des Etudes</t>
        </is>
      </c>
      <c r="L9" s="23" t="inlineStr">
        <is>
          <t>Haute</t>
        </is>
      </c>
      <c r="M9" s="21" t="inlineStr">
        <is>
          <t>Site officiel isfmi.net | email : etudes.ci + Le Grand Frere</t>
        </is>
      </c>
      <c r="N9" s="21" t="inlineStr">
        <is>
          <t>gratuite</t>
        </is>
      </c>
      <c r="O9" s="24" t="inlineStr">
        <is>
          <t>a verifier</t>
        </is>
      </c>
    </row>
    <row r="10">
      <c r="A10" s="21" t="inlineStr">
        <is>
          <t>Groupe HEC Abidjan</t>
        </is>
      </c>
      <c r="B10" s="21" t="inlineStr">
        <is>
          <t>Business school</t>
        </is>
      </c>
      <c r="C10" s="21" t="inlineStr">
        <is>
          <t>Prive</t>
        </is>
      </c>
      <c r="D10" s="21" t="inlineStr">
        <is>
          <t>Abidjan - Cocody</t>
        </is>
      </c>
      <c r="E10" s="21" t="inlineStr">
        <is>
          <t>Bd F. Mitterrand, face ecole de gendarmerie, Cocody</t>
        </is>
      </c>
      <c r="F10" s="21" t="inlineStr">
        <is>
          <t>+225 07 88 01 01 01</t>
        </is>
      </c>
      <c r="G10" s="21" t="inlineStr">
        <is>
          <t>+225 01 73 99 90 25</t>
        </is>
      </c>
      <c r="H10" s="21" t="inlineStr">
        <is>
          <t>+225 07 88 01 01 01</t>
        </is>
      </c>
      <c r="I10" s="21" t="inlineStr">
        <is>
          <t>contact@hecabidjan.ci</t>
        </is>
      </c>
      <c r="J10" s="21" t="inlineStr">
        <is>
          <t>www.hecabidjan.ci</t>
        </is>
      </c>
      <c r="K10" s="21" t="inlineStr">
        <is>
          <t>Directeur des Etudes</t>
        </is>
      </c>
      <c r="L10" s="21" t="inlineStr">
        <is>
          <t>Moyenne</t>
        </is>
      </c>
      <c r="M10" s="21" t="inlineStr">
        <is>
          <t>Site officiel + AnnuaireCI</t>
        </is>
      </c>
      <c r="N10" s="21" t="inlineStr">
        <is>
          <t>domaine propre</t>
        </is>
      </c>
      <c r="O10" s="23" t="inlineStr">
        <is>
          <t>valide</t>
        </is>
      </c>
    </row>
    <row r="11">
      <c r="A11" s="21" t="inlineStr">
        <is>
          <t>INSAAC (Institut National Superieur des Arts et de l'Action Culturelle)</t>
        </is>
      </c>
      <c r="B11" s="21" t="inlineStr">
        <is>
          <t>Grande ecole publique - arts</t>
        </is>
      </c>
      <c r="C11" s="21" t="inlineStr">
        <is>
          <t>Public</t>
        </is>
      </c>
      <c r="D11" s="21" t="inlineStr">
        <is>
          <t>Abidjan - Cocody</t>
        </is>
      </c>
      <c r="E11" s="21" t="inlineStr">
        <is>
          <t>Bd Universite F. Houphouet-Boigny, 08 BP 49 Abidjan 08</t>
        </is>
      </c>
      <c r="F11" s="21" t="inlineStr">
        <is>
          <t>+225 27 22 44 26 73</t>
        </is>
      </c>
      <c r="G11" s="21" t="inlineStr"/>
      <c r="H11" s="21" t="inlineStr"/>
      <c r="I11" s="21" t="inlineStr">
        <is>
          <t>contact@insaac.edu.ci</t>
        </is>
      </c>
      <c r="J11" s="21" t="inlineStr">
        <is>
          <t>www.insaac.edu.ci</t>
        </is>
      </c>
      <c r="K11" s="21" t="inlineStr">
        <is>
          <t>Secretariat General / Directeur des Etudes</t>
        </is>
      </c>
      <c r="L11" s="21" t="inlineStr">
        <is>
          <t>Moyenne</t>
        </is>
      </c>
      <c r="M11" s="21" t="inlineStr">
        <is>
          <t>Page contact insaac.edu.ci</t>
        </is>
      </c>
      <c r="N11" s="21" t="inlineStr">
        <is>
          <t>domaine propre</t>
        </is>
      </c>
      <c r="O11" s="23" t="inlineStr">
        <is>
          <t>valide</t>
        </is>
      </c>
    </row>
    <row r="12">
      <c r="A12" s="21" t="inlineStr">
        <is>
          <t>IPNETP (Institut Pedagogique National de l'Enseignement Technique et Professionnel)</t>
        </is>
      </c>
      <c r="B12" s="21" t="inlineStr">
        <is>
          <t>Institut public - formation des formateurs</t>
        </is>
      </c>
      <c r="C12" s="21" t="inlineStr">
        <is>
          <t>Public</t>
        </is>
      </c>
      <c r="D12" s="21" t="inlineStr">
        <is>
          <t>Abidjan - Cocody</t>
        </is>
      </c>
      <c r="E12" s="21" t="inlineStr">
        <is>
          <t>Rue du Lycee Technique, face Lycee Technique Cocody, 08 BP 2098 Abidjan 08</t>
        </is>
      </c>
      <c r="F12" s="21" t="inlineStr">
        <is>
          <t>+225 27 22 44 67 69</t>
        </is>
      </c>
      <c r="G12" s="21" t="inlineStr">
        <is>
          <t>+225 27 22 48 50 35</t>
        </is>
      </c>
      <c r="H12" s="21" t="inlineStr"/>
      <c r="I12" s="21" t="inlineStr">
        <is>
          <t>infos@ipnetp.ci</t>
        </is>
      </c>
      <c r="J12" s="21" t="inlineStr">
        <is>
          <t>ipnetp.ci</t>
        </is>
      </c>
      <c r="K12" s="21" t="inlineStr">
        <is>
          <t>Directeur des Etudes</t>
        </is>
      </c>
      <c r="L12" s="21" t="inlineStr">
        <is>
          <t>Moyenne</t>
        </is>
      </c>
      <c r="M12" s="21" t="inlineStr">
        <is>
          <t>ipnetp.ci + AnnuaireCI</t>
        </is>
      </c>
      <c r="N12" s="21" t="inlineStr">
        <is>
          <t>domaine propre</t>
        </is>
      </c>
      <c r="O12" s="23" t="inlineStr">
        <is>
          <t>valide</t>
        </is>
      </c>
    </row>
    <row r="13">
      <c r="A13" s="21" t="inlineStr">
        <is>
          <t>ISTC Polytechnique</t>
        </is>
      </c>
      <c r="B13" s="21" t="inlineStr">
        <is>
          <t>Grande ecole publique - communication</t>
        </is>
      </c>
      <c r="C13" s="21" t="inlineStr">
        <is>
          <t>Public</t>
        </is>
      </c>
      <c r="D13" s="21" t="inlineStr">
        <is>
          <t>Abidjan - Cocody</t>
        </is>
      </c>
      <c r="E13" s="21" t="inlineStr">
        <is>
          <t>Bd de l'Universite, BPV 205 Abidjan-Cocody</t>
        </is>
      </c>
      <c r="F13" s="21" t="inlineStr">
        <is>
          <t>+225 27 22 44 88 58</t>
        </is>
      </c>
      <c r="G13" s="21" t="inlineStr">
        <is>
          <t>+225 27 22 44 84 33</t>
        </is>
      </c>
      <c r="H13" s="21" t="inlineStr"/>
      <c r="I13" s="21" t="inlineStr">
        <is>
          <t>istc@istcpolytechnique.ci</t>
        </is>
      </c>
      <c r="J13" s="21" t="inlineStr">
        <is>
          <t>www.istcpolytechnique.ci</t>
        </is>
      </c>
      <c r="K13" s="21" t="inlineStr">
        <is>
          <t>Directeur des Etudes</t>
        </is>
      </c>
      <c r="L13" s="21" t="inlineStr">
        <is>
          <t>Moyenne</t>
        </is>
      </c>
      <c r="M13" s="21" t="inlineStr">
        <is>
          <t>Site officiel istcpolytechnique.ci</t>
        </is>
      </c>
      <c r="N13" s="21" t="inlineStr">
        <is>
          <t>domaine propre</t>
        </is>
      </c>
      <c r="O13" s="23" t="inlineStr">
        <is>
          <t>valide</t>
        </is>
      </c>
    </row>
    <row r="14">
      <c r="A14" s="21" t="inlineStr">
        <is>
          <t>Simplon Cote d'Ivoire</t>
        </is>
      </c>
      <c r="B14" s="21" t="inlineStr">
        <is>
          <t>Academie de codage et fabrique numerique</t>
        </is>
      </c>
      <c r="C14" s="21" t="inlineStr">
        <is>
          <t>Prive</t>
        </is>
      </c>
      <c r="D14" s="21" t="inlineStr">
        <is>
          <t>Abidjan - Cocody</t>
        </is>
      </c>
      <c r="E14" s="21" t="inlineStr">
        <is>
          <t>Abidjan Cocody</t>
        </is>
      </c>
      <c r="F14" s="21" t="inlineStr">
        <is>
          <t>+225 05 44 03 45 45</t>
        </is>
      </c>
      <c r="G14" s="21" t="inlineStr">
        <is>
          <t>+225 05 03 38 21 55</t>
        </is>
      </c>
      <c r="H14" s="21" t="inlineStr"/>
      <c r="I14" s="21" t="inlineStr">
        <is>
          <t>simplonci@simplon.co</t>
        </is>
      </c>
      <c r="J14" s="21" t="inlineStr">
        <is>
          <t>simplon.ci</t>
        </is>
      </c>
      <c r="K14" s="21" t="inlineStr">
        <is>
          <t>Directeur des Etudes</t>
        </is>
      </c>
      <c r="L14" s="21" t="inlineStr">
        <is>
          <t>Moyenne</t>
        </is>
      </c>
      <c r="M14" s="21" t="inlineStr">
        <is>
          <t>simplon.ci</t>
        </is>
      </c>
      <c r="N14" s="21" t="inlineStr">
        <is>
          <t>domaine propre</t>
        </is>
      </c>
      <c r="O14" s="23" t="inlineStr">
        <is>
          <t>valide</t>
        </is>
      </c>
    </row>
    <row r="15">
      <c r="A15" s="21" t="inlineStr">
        <is>
          <t>UCAO-UUA - Universite Catholique de l'Afrique de l'Ouest</t>
        </is>
      </c>
      <c r="B15" s="21" t="inlineStr">
        <is>
          <t>Universite privee - pluridisciplinaire</t>
        </is>
      </c>
      <c r="C15" s="21" t="inlineStr">
        <is>
          <t>Prive confessionnel</t>
        </is>
      </c>
      <c r="D15" s="21" t="inlineStr">
        <is>
          <t>Abidjan - Cocody</t>
        </is>
      </c>
      <c r="E15" s="21" t="inlineStr">
        <is>
          <t>Rue Sainte Marie Cocody - 08 BP 22 Abidjan 08</t>
        </is>
      </c>
      <c r="F15" s="21" t="inlineStr">
        <is>
          <t>+225 27 22 40 06 50</t>
        </is>
      </c>
      <c r="G15" s="21" t="inlineStr">
        <is>
          <t>+225 05 46 01 92 70</t>
        </is>
      </c>
      <c r="H15" s="21" t="inlineStr"/>
      <c r="I15" s="21" t="inlineStr">
        <is>
          <t>info@ucaouua.com</t>
        </is>
      </c>
      <c r="J15" s="21" t="inlineStr">
        <is>
          <t>ucaouua.com</t>
        </is>
      </c>
      <c r="K15" s="21" t="inlineStr">
        <is>
          <t>Directeur des Etudes</t>
        </is>
      </c>
      <c r="L15" s="23" t="inlineStr">
        <is>
          <t>Haute</t>
        </is>
      </c>
      <c r="M15" s="21" t="inlineStr">
        <is>
          <t>Site officiel ucaouua.com</t>
        </is>
      </c>
      <c r="N15" s="21" t="inlineStr">
        <is>
          <t>domaine propre</t>
        </is>
      </c>
      <c r="O15" s="23" t="inlineStr">
        <is>
          <t>valide</t>
        </is>
      </c>
    </row>
    <row r="16">
      <c r="A16" s="21" t="inlineStr">
        <is>
          <t>Groupe ESC (Ecole Superieure de Commerce)</t>
        </is>
      </c>
      <c r="B16" s="21" t="inlineStr">
        <is>
          <t>Grande ecole - commerce / BTS</t>
        </is>
      </c>
      <c r="C16" s="21" t="inlineStr">
        <is>
          <t>Prive</t>
        </is>
      </c>
      <c r="D16" s="21" t="inlineStr">
        <is>
          <t>Abidjan - Cocody (pres INSAAC)</t>
        </is>
      </c>
      <c r="E16" s="21" t="inlineStr">
        <is>
          <t>Face Grand Mediateur de la Republique, 25 BP 726 Abidjan 25</t>
        </is>
      </c>
      <c r="F16" s="21" t="inlineStr">
        <is>
          <t>+225 27 22 48 89 95</t>
        </is>
      </c>
      <c r="G16" s="21" t="inlineStr">
        <is>
          <t>+225 01 40 66 57 22</t>
        </is>
      </c>
      <c r="H16" s="21" t="inlineStr">
        <is>
          <t>+225 01 40 66 57 22</t>
        </is>
      </c>
      <c r="I16" s="21" t="inlineStr">
        <is>
          <t>info@esc-abj-bke.net</t>
        </is>
      </c>
      <c r="J16" s="21" t="inlineStr">
        <is>
          <t>www.esc-abj-bke.com</t>
        </is>
      </c>
      <c r="K16" s="21" t="inlineStr">
        <is>
          <t>Directeur des Etudes</t>
        </is>
      </c>
      <c r="L16" s="21" t="inlineStr">
        <is>
          <t>Moyenne</t>
        </is>
      </c>
      <c r="M16" s="21" t="inlineStr">
        <is>
          <t>AnnuaireCI + alloecole.ci | email : AnnuaireCI</t>
        </is>
      </c>
      <c r="N16" s="21" t="inlineStr">
        <is>
          <t>domaine propre</t>
        </is>
      </c>
      <c r="O16" s="24" t="inlineStr">
        <is>
          <t>a verifier</t>
        </is>
      </c>
    </row>
    <row r="17">
      <c r="A17" s="21" t="inlineStr">
        <is>
          <t>EIT-NTIC Abidjan - Ecole Internationale Tertiaire et de Nouvelles Technologies</t>
        </is>
      </c>
      <c r="B17" s="21" t="inlineStr">
        <is>
          <t>Institut superieur - informatique et tertiaire</t>
        </is>
      </c>
      <c r="C17" s="21" t="inlineStr">
        <is>
          <t>Prive</t>
        </is>
      </c>
      <c r="D17" s="21" t="inlineStr">
        <is>
          <t>Abidjan - Cocody Angre</t>
        </is>
      </c>
      <c r="E17" s="21" t="inlineStr">
        <is>
          <t>Angre pres du nouveau pont et de la pharmacie de la 7eme tranche</t>
        </is>
      </c>
      <c r="F17" s="21" t="inlineStr">
        <is>
          <t>+225 27 22 45 06 19</t>
        </is>
      </c>
      <c r="G17" s="21" t="inlineStr">
        <is>
          <t>+225 05 05 45 71 21</t>
        </is>
      </c>
      <c r="H17" s="21" t="inlineStr"/>
      <c r="I17" s="21" t="inlineStr"/>
      <c r="J17" s="21" t="inlineStr"/>
      <c r="K17" s="21" t="inlineStr">
        <is>
          <t>Directeur des Etudes</t>
        </is>
      </c>
      <c r="L17" s="21" t="inlineStr">
        <is>
          <t>Moyenne</t>
        </is>
      </c>
      <c r="M17" s="21" t="inlineStr">
        <is>
          <t>UPESUP</t>
        </is>
      </c>
      <c r="N17" s="21" t="inlineStr"/>
      <c r="O17" s="22" t="inlineStr">
        <is>
          <t>sans email</t>
        </is>
      </c>
    </row>
    <row r="18">
      <c r="A18" s="21" t="inlineStr">
        <is>
          <t>UICI</t>
        </is>
      </c>
      <c r="B18" s="21" t="inlineStr">
        <is>
          <t>Etablissement superieur prive - pluridisciplinaire</t>
        </is>
      </c>
      <c r="C18" s="21" t="inlineStr">
        <is>
          <t>Prive</t>
        </is>
      </c>
      <c r="D18" s="21" t="inlineStr">
        <is>
          <t>Abidjan - Cocody Angre</t>
        </is>
      </c>
      <c r="E18" s="21" t="inlineStr">
        <is>
          <t>Angre 7eme tranche pres de la pharmacie de la 7eme - carrefour DJ Arafat</t>
        </is>
      </c>
      <c r="F18" s="21" t="inlineStr">
        <is>
          <t>+225 27 22 42 10 15</t>
        </is>
      </c>
      <c r="G18" s="21" t="inlineStr">
        <is>
          <t>+225 07 07 31 43 14</t>
        </is>
      </c>
      <c r="H18" s="21" t="inlineStr"/>
      <c r="I18" s="21" t="inlineStr"/>
      <c r="J18" s="21" t="inlineStr"/>
      <c r="K18" s="21" t="inlineStr">
        <is>
          <t>Directeur des Etudes</t>
        </is>
      </c>
      <c r="L18" s="21" t="inlineStr">
        <is>
          <t>Moyenne</t>
        </is>
      </c>
      <c r="M18" s="21" t="inlineStr">
        <is>
          <t>UPESUP</t>
        </is>
      </c>
      <c r="N18" s="21" t="inlineStr"/>
      <c r="O18" s="22" t="inlineStr">
        <is>
          <t>sans email</t>
        </is>
      </c>
    </row>
    <row r="19">
      <c r="A19" s="21" t="inlineStr">
        <is>
          <t>IISAN</t>
        </is>
      </c>
      <c r="B19" s="21" t="inlineStr">
        <is>
          <t>Ecole superieure - BTS Licence Master informatique et reseaux</t>
        </is>
      </c>
      <c r="C19" s="21" t="inlineStr">
        <is>
          <t>Prive</t>
        </is>
      </c>
      <c r="D19" s="21" t="inlineStr">
        <is>
          <t>Abidjan - Cocody Angre 8eme Tranche</t>
        </is>
      </c>
      <c r="E19" s="21" t="inlineStr">
        <is>
          <t>Angre 8eme tranche Cocody</t>
        </is>
      </c>
      <c r="F19" s="21" t="inlineStr">
        <is>
          <t>+225 07 00 00 97 98</t>
        </is>
      </c>
      <c r="G19" s="21" t="inlineStr"/>
      <c r="H19" s="21" t="inlineStr"/>
      <c r="I19" s="21" t="inlineStr">
        <is>
          <t>contact@iisan-abidjan.com</t>
        </is>
      </c>
      <c r="J19" s="21" t="inlineStr">
        <is>
          <t>iisan-abidjan.com</t>
        </is>
      </c>
      <c r="K19" s="21" t="inlineStr">
        <is>
          <t>Directeur des Etudes</t>
        </is>
      </c>
      <c r="L19" s="23" t="inlineStr">
        <is>
          <t>Haute</t>
        </is>
      </c>
      <c r="M19" s="21" t="inlineStr">
        <is>
          <t>Site officiel iisan-abidjan.com</t>
        </is>
      </c>
      <c r="N19" s="21" t="inlineStr">
        <is>
          <t>domaine propre</t>
        </is>
      </c>
      <c r="O19" s="23" t="inlineStr">
        <is>
          <t>valide</t>
        </is>
      </c>
    </row>
    <row r="20">
      <c r="A20" s="21" t="inlineStr">
        <is>
          <t>Neurones Academy</t>
        </is>
      </c>
      <c r="B20" s="21" t="inlineStr">
        <is>
          <t>Centre de formation - informatique et cybersecurite</t>
        </is>
      </c>
      <c r="C20" s="21" t="inlineStr">
        <is>
          <t>Prive</t>
        </is>
      </c>
      <c r="D20" s="21" t="inlineStr">
        <is>
          <t>Abidjan - Cocody Angre 8eme Tranche</t>
        </is>
      </c>
      <c r="E20" s="21" t="inlineStr">
        <is>
          <t>Angre 8eme Tranche Abidjan</t>
        </is>
      </c>
      <c r="F20" s="21" t="inlineStr">
        <is>
          <t>+225 27 22 42 90 90</t>
        </is>
      </c>
      <c r="G20" s="21" t="inlineStr">
        <is>
          <t>+225 07 88 88 61 61</t>
        </is>
      </c>
      <c r="H20" s="21" t="inlineStr"/>
      <c r="I20" s="21" t="inlineStr">
        <is>
          <t>contact@neurones-academy.com</t>
        </is>
      </c>
      <c r="J20" s="21" t="inlineStr">
        <is>
          <t>neurones-academy.com</t>
        </is>
      </c>
      <c r="K20" s="21" t="inlineStr">
        <is>
          <t>Directeur des Etudes</t>
        </is>
      </c>
      <c r="L20" s="23" t="inlineStr">
        <is>
          <t>Haute</t>
        </is>
      </c>
      <c r="M20" s="21" t="inlineStr">
        <is>
          <t>Site officiel neurones-academy.com</t>
        </is>
      </c>
      <c r="N20" s="21" t="inlineStr">
        <is>
          <t>domaine propre</t>
        </is>
      </c>
      <c r="O20" s="23" t="inlineStr">
        <is>
          <t>valide</t>
        </is>
      </c>
    </row>
    <row r="21">
      <c r="A21" s="21" t="inlineStr">
        <is>
          <t>Institut Booster Afrique</t>
        </is>
      </c>
      <c r="B21" s="21" t="inlineStr">
        <is>
          <t>Institut - BTS informatique reseaux et telecommunications</t>
        </is>
      </c>
      <c r="C21" s="21" t="inlineStr">
        <is>
          <t>Prive</t>
        </is>
      </c>
      <c r="D21" s="21" t="inlineStr">
        <is>
          <t>Abidjan - Cocody Angre Chateau</t>
        </is>
      </c>
      <c r="E21" s="21" t="inlineStr">
        <is>
          <t>Cocody Angre Chateau Rue L220</t>
        </is>
      </c>
      <c r="F21" s="21" t="inlineStr">
        <is>
          <t>+225 07 08 06 04 89</t>
        </is>
      </c>
      <c r="G21" s="21" t="inlineStr">
        <is>
          <t>+225 01 03 33 92 09</t>
        </is>
      </c>
      <c r="H21" s="21" t="inlineStr"/>
      <c r="I21" s="21" t="inlineStr"/>
      <c r="J21" s="21" t="inlineStr">
        <is>
          <t>institutboosterafrique.com</t>
        </is>
      </c>
      <c r="K21" s="21" t="inlineStr">
        <is>
          <t>Directeur des Etudes</t>
        </is>
      </c>
      <c r="L21" s="21" t="inlineStr">
        <is>
          <t>Moyenne</t>
        </is>
      </c>
      <c r="M21" s="21" t="inlineStr">
        <is>
          <t>institutboosterafrique.com</t>
        </is>
      </c>
      <c r="N21" s="21" t="inlineStr"/>
      <c r="O21" s="22" t="inlineStr">
        <is>
          <t>sans email</t>
        </is>
      </c>
    </row>
    <row r="22">
      <c r="A22" s="21" t="inlineStr">
        <is>
          <t>Groupe ESK - Ecole Superieure de Commerce et de Gestion</t>
        </is>
      </c>
      <c r="B22" s="21" t="inlineStr">
        <is>
          <t>Grande ecole - commerce / gestion</t>
        </is>
      </c>
      <c r="C22" s="21" t="inlineStr">
        <is>
          <t>Prive</t>
        </is>
      </c>
      <c r="D22" s="21" t="inlineStr">
        <is>
          <t>Abidjan - Cocody Angre Deux-Plateaux</t>
        </is>
      </c>
      <c r="E22" s="21" t="inlineStr">
        <is>
          <t>2 Plateaux Angre Route du Dokui - 06 BP 139 Abidjan 06</t>
        </is>
      </c>
      <c r="F22" s="21" t="inlineStr">
        <is>
          <t>+225 27 22 42 17 26</t>
        </is>
      </c>
      <c r="G22" s="21" t="inlineStr"/>
      <c r="H22" s="21" t="inlineStr"/>
      <c r="I22" s="21" t="inlineStr">
        <is>
          <t>groupeeskabidjan@yahoo.fr</t>
        </is>
      </c>
      <c r="J22" s="21" t="inlineStr">
        <is>
          <t>groupeesk.net</t>
        </is>
      </c>
      <c r="K22" s="21" t="inlineStr">
        <is>
          <t>Directeur des Etudes (par campus)</t>
        </is>
      </c>
      <c r="L22" s="21" t="inlineStr">
        <is>
          <t>Moyenne</t>
        </is>
      </c>
      <c r="M22" s="21" t="inlineStr">
        <is>
          <t>Le Grand Frere</t>
        </is>
      </c>
      <c r="N22" s="21" t="inlineStr">
        <is>
          <t>gratuite</t>
        </is>
      </c>
      <c r="O22" s="23" t="inlineStr">
        <is>
          <t>valide</t>
        </is>
      </c>
    </row>
    <row r="23">
      <c r="A23" s="21" t="inlineStr">
        <is>
          <t>EIPC-Abidjan - Ecole Internationale des Ponts et Chaussees</t>
        </is>
      </c>
      <c r="B23" s="21" t="inlineStr">
        <is>
          <t>Grande ecole - ingenierie / genie civil</t>
        </is>
      </c>
      <c r="C23" s="21" t="inlineStr">
        <is>
          <t>Prive</t>
        </is>
      </c>
      <c r="D23" s="21" t="inlineStr">
        <is>
          <t>Abidjan - Cocody Angre et Bingerville</t>
        </is>
      </c>
      <c r="E23" s="21" t="inlineStr">
        <is>
          <t>Cocody Angre Chateau Boulevard Latrille vers le chateau d eau - annexe Bingerville Adjin Palmeraie</t>
        </is>
      </c>
      <c r="F23" s="21" t="inlineStr">
        <is>
          <t>+225 27 22 29 03 55</t>
        </is>
      </c>
      <c r="G23" s="21" t="inlineStr">
        <is>
          <t>+225 07 59 06 33 01</t>
        </is>
      </c>
      <c r="H23" s="21" t="inlineStr"/>
      <c r="I23" s="21" t="inlineStr">
        <is>
          <t>secretariat@eipc-abidjan.ci</t>
        </is>
      </c>
      <c r="J23" s="21" t="inlineStr">
        <is>
          <t>eipc-abidjan.ci</t>
        </is>
      </c>
      <c r="K23" s="21" t="inlineStr">
        <is>
          <t>Directeur des Etudes (par campus)</t>
        </is>
      </c>
      <c r="L23" s="23" t="inlineStr">
        <is>
          <t>Haute</t>
        </is>
      </c>
      <c r="M23" s="21" t="inlineStr">
        <is>
          <t>Site officiel eipc-abidjan.ci</t>
        </is>
      </c>
      <c r="N23" s="21" t="inlineStr">
        <is>
          <t>domaine propre</t>
        </is>
      </c>
      <c r="O23" s="23" t="inlineStr">
        <is>
          <t>valide</t>
        </is>
      </c>
    </row>
    <row r="24">
      <c r="A24" s="21" t="inlineStr">
        <is>
          <t>IFSM (Institut de Formation Sainte Marie)</t>
        </is>
      </c>
      <c r="B24" s="21" t="inlineStr">
        <is>
          <t>Institut superieur et professionnel</t>
        </is>
      </c>
      <c r="C24" s="21" t="inlineStr">
        <is>
          <t>Prive</t>
        </is>
      </c>
      <c r="D24" s="21" t="inlineStr">
        <is>
          <t>Abidjan - Cocody Cite des Arts</t>
        </is>
      </c>
      <c r="E24" s="21" t="inlineStr">
        <is>
          <t>Boulevard Latrille, face Sodemi</t>
        </is>
      </c>
      <c r="F24" s="21" t="inlineStr">
        <is>
          <t>+225 07 57 25 15 42</t>
        </is>
      </c>
      <c r="G24" s="21" t="inlineStr">
        <is>
          <t>+225 05 94 55 09 17</t>
        </is>
      </c>
      <c r="H24" s="21" t="inlineStr">
        <is>
          <t>+225 07 57 25 15 42</t>
        </is>
      </c>
      <c r="I24" s="21" t="inlineStr">
        <is>
          <t>infos@ifsm.ci</t>
        </is>
      </c>
      <c r="J24" s="21" t="inlineStr">
        <is>
          <t>ifsm.ci</t>
        </is>
      </c>
      <c r="K24" s="21" t="inlineStr">
        <is>
          <t>Directeur des Etudes</t>
        </is>
      </c>
      <c r="L24" s="23" t="inlineStr">
        <is>
          <t>Haute</t>
        </is>
      </c>
      <c r="M24" s="21" t="inlineStr">
        <is>
          <t>Page contact ifsm.ci</t>
        </is>
      </c>
      <c r="N24" s="21" t="inlineStr">
        <is>
          <t>domaine propre</t>
        </is>
      </c>
      <c r="O24" s="23" t="inlineStr">
        <is>
          <t>valide</t>
        </is>
      </c>
    </row>
    <row r="25">
      <c r="A25" s="21" t="inlineStr">
        <is>
          <t>Africa Digital Academy</t>
        </is>
      </c>
      <c r="B25" s="21" t="inlineStr">
        <is>
          <t>Academie - metiers du numerique</t>
        </is>
      </c>
      <c r="C25" s="21" t="inlineStr">
        <is>
          <t>Prive</t>
        </is>
      </c>
      <c r="D25" s="21" t="inlineStr">
        <is>
          <t>Abidjan - Cocody Danga</t>
        </is>
      </c>
      <c r="E25" s="21" t="inlineStr">
        <is>
          <t>Rue du Lycee Technique Immeuble Fidelis 2eme etage</t>
        </is>
      </c>
      <c r="F25" s="21" t="inlineStr">
        <is>
          <t>+225 07 49 57 41 91</t>
        </is>
      </c>
      <c r="G25" s="21" t="inlineStr"/>
      <c r="H25" s="21" t="inlineStr"/>
      <c r="I25" s="21" t="inlineStr">
        <is>
          <t>contact@africadigital.academy</t>
        </is>
      </c>
      <c r="J25" s="21" t="inlineStr"/>
      <c r="K25" s="21" t="inlineStr">
        <is>
          <t>Directeur des Etudes</t>
        </is>
      </c>
      <c r="L25" s="21" t="inlineStr">
        <is>
          <t>Moyenne</t>
        </is>
      </c>
      <c r="M25" s="21" t="inlineStr">
        <is>
          <t>Page officielle Africa Digital Academy</t>
        </is>
      </c>
      <c r="N25" s="21" t="inlineStr">
        <is>
          <t>domaine propre</t>
        </is>
      </c>
      <c r="O25" s="23" t="inlineStr">
        <is>
          <t>valide</t>
        </is>
      </c>
    </row>
    <row r="26">
      <c r="A26" s="21" t="inlineStr">
        <is>
          <t>ENSIT - Ecole Nouvelle Superieure d'Ingenieurs et de Technologie</t>
        </is>
      </c>
      <c r="B26" s="21" t="inlineStr">
        <is>
          <t>Ecole d'ingenieurs - informatique et telecoms</t>
        </is>
      </c>
      <c r="C26" s="21" t="inlineStr">
        <is>
          <t>Prive</t>
        </is>
      </c>
      <c r="D26" s="21" t="inlineStr">
        <is>
          <t>Abidjan - Cocody Deux-Plateaux</t>
        </is>
      </c>
      <c r="E26" s="21" t="inlineStr">
        <is>
          <t>Rue Farandole K22 Boulevard des Martyrs pres de l'ENA - 01 BP 3114 Abidjan 01</t>
        </is>
      </c>
      <c r="F26" s="21" t="inlineStr">
        <is>
          <t>+225 01 01 53 30 36</t>
        </is>
      </c>
      <c r="G26" s="21" t="inlineStr">
        <is>
          <t>+225 27 22 41 65 63</t>
        </is>
      </c>
      <c r="H26" s="21" t="inlineStr"/>
      <c r="I26" s="21" t="inlineStr"/>
      <c r="J26" s="21" t="inlineStr">
        <is>
          <t>ensit.ci</t>
        </is>
      </c>
      <c r="K26" s="21" t="inlineStr">
        <is>
          <t>Directeur des Etudes</t>
        </is>
      </c>
      <c r="L26" s="21" t="inlineStr">
        <is>
          <t>Moyenne</t>
        </is>
      </c>
      <c r="M26" s="21" t="inlineStr">
        <is>
          <t>AnnuaireCI + ensit.ci</t>
        </is>
      </c>
      <c r="N26" s="21" t="inlineStr"/>
      <c r="O26" s="22" t="inlineStr">
        <is>
          <t>sans email</t>
        </is>
      </c>
    </row>
    <row r="27">
      <c r="A27" s="21" t="inlineStr">
        <is>
          <t>ESIA - Ecole Superieure d'Informatique Appliquee</t>
        </is>
      </c>
      <c r="B27" s="21" t="inlineStr">
        <is>
          <t>Institut superieur - informatique</t>
        </is>
      </c>
      <c r="C27" s="21" t="inlineStr">
        <is>
          <t>Prive</t>
        </is>
      </c>
      <c r="D27" s="21" t="inlineStr">
        <is>
          <t>Abidjan - Cocody Deux-Plateaux Vallon</t>
        </is>
      </c>
      <c r="E27" s="21" t="inlineStr">
        <is>
          <t>2 Plateaux Vallon Rue des Jardins pres de NSIA Banque - annexe Riviera Attoban</t>
        </is>
      </c>
      <c r="F27" s="21" t="inlineStr">
        <is>
          <t>+225 27 21 76 18 25</t>
        </is>
      </c>
      <c r="G27" s="21" t="inlineStr">
        <is>
          <t>+225 27 21 76 59 75</t>
        </is>
      </c>
      <c r="H27" s="21" t="inlineStr"/>
      <c r="I27" s="21" t="inlineStr"/>
      <c r="J27" s="21" t="inlineStr">
        <is>
          <t>esia-ci.com</t>
        </is>
      </c>
      <c r="K27" s="21" t="inlineStr">
        <is>
          <t>Directeur des Etudes</t>
        </is>
      </c>
      <c r="L27" s="21" t="inlineStr">
        <is>
          <t>Moyenne</t>
        </is>
      </c>
      <c r="M27" s="21" t="inlineStr">
        <is>
          <t>Le Grand Frere</t>
        </is>
      </c>
      <c r="N27" s="21" t="inlineStr"/>
      <c r="O27" s="22" t="inlineStr">
        <is>
          <t>sans email</t>
        </is>
      </c>
    </row>
    <row r="28">
      <c r="A28" s="21" t="inlineStr">
        <is>
          <t>GEIGE - Grande Ecole d'Informatique et de Gestion d'Entreprise</t>
        </is>
      </c>
      <c r="B28" s="21" t="inlineStr">
        <is>
          <t>Ecole d'informatique - reseaux telecoms et gestion</t>
        </is>
      </c>
      <c r="C28" s="21" t="inlineStr">
        <is>
          <t>Prive</t>
        </is>
      </c>
      <c r="D28" s="21" t="inlineStr">
        <is>
          <t>Abidjan - Cocody Deux-Plateaux Vallon</t>
        </is>
      </c>
      <c r="E28" s="21" t="inlineStr">
        <is>
          <t>Rue des Jardins face station Corlay</t>
        </is>
      </c>
      <c r="F28" s="21" t="inlineStr">
        <is>
          <t>+225 07 68 12 55 42</t>
        </is>
      </c>
      <c r="G28" s="21" t="inlineStr">
        <is>
          <t>+225 01 73 29 48 90</t>
        </is>
      </c>
      <c r="H28" s="21" t="inlineStr"/>
      <c r="I28" s="21" t="inlineStr"/>
      <c r="J28" s="21" t="inlineStr">
        <is>
          <t>geige.ci</t>
        </is>
      </c>
      <c r="K28" s="21" t="inlineStr">
        <is>
          <t>Directeur des Etudes</t>
        </is>
      </c>
      <c r="L28" s="23" t="inlineStr">
        <is>
          <t>Haute</t>
        </is>
      </c>
      <c r="M28" s="21" t="inlineStr">
        <is>
          <t>Site officiel geige.ci</t>
        </is>
      </c>
      <c r="N28" s="21" t="inlineStr"/>
      <c r="O28" s="22" t="inlineStr">
        <is>
          <t>sans email</t>
        </is>
      </c>
    </row>
    <row r="29">
      <c r="A29" s="21" t="inlineStr">
        <is>
          <t>IMS - Institut de Management Superieur (GEA)</t>
        </is>
      </c>
      <c r="B29" s="21" t="inlineStr">
        <is>
          <t>Institut superieur - gestion des entreprises</t>
        </is>
      </c>
      <c r="C29" s="21" t="inlineStr">
        <is>
          <t>Prive</t>
        </is>
      </c>
      <c r="D29" s="21" t="inlineStr">
        <is>
          <t>Abidjan - Cocody Deux-Plateaux Vallon</t>
        </is>
      </c>
      <c r="E29" s="21" t="inlineStr">
        <is>
          <t>7 Impasse le Chandelier Immeuble le Chandelier Cocody II Plateaux les Vallons</t>
        </is>
      </c>
      <c r="F29" s="21" t="inlineStr">
        <is>
          <t>+225 27 22 41 36 49</t>
        </is>
      </c>
      <c r="G29" s="21" t="inlineStr">
        <is>
          <t>+225 07 49 93 40 68</t>
        </is>
      </c>
      <c r="H29" s="21" t="inlineStr"/>
      <c r="I29" s="21" t="inlineStr"/>
      <c r="J29" s="21" t="inlineStr"/>
      <c r="K29" s="21" t="inlineStr">
        <is>
          <t>Directeur des Etudes</t>
        </is>
      </c>
      <c r="L29" s="21" t="inlineStr">
        <is>
          <t>Moyenne</t>
        </is>
      </c>
      <c r="M29" s="21" t="inlineStr">
        <is>
          <t>UPESUP</t>
        </is>
      </c>
      <c r="N29" s="21" t="inlineStr"/>
      <c r="O29" s="22" t="inlineStr">
        <is>
          <t>sans email</t>
        </is>
      </c>
    </row>
    <row r="30">
      <c r="A30" s="21" t="inlineStr">
        <is>
          <t>Sup'Management Cote d'Ivoire</t>
        </is>
      </c>
      <c r="B30" s="21" t="inlineStr">
        <is>
          <t>Ecole superieure - management et systemes d'information</t>
        </is>
      </c>
      <c r="C30" s="21" t="inlineStr">
        <is>
          <t>Prive</t>
        </is>
      </c>
      <c r="D30" s="21" t="inlineStr">
        <is>
          <t>Abidjan - Cocody Deux-Plateaux Vallon</t>
        </is>
      </c>
      <c r="E30" s="21" t="inlineStr">
        <is>
          <t>Rue des Jardins Deux Plateaux Vallon</t>
        </is>
      </c>
      <c r="F30" s="21" t="inlineStr">
        <is>
          <t>+225 27 22 41 22 67</t>
        </is>
      </c>
      <c r="G30" s="21" t="inlineStr"/>
      <c r="H30" s="21" t="inlineStr"/>
      <c r="I30" s="21" t="inlineStr">
        <is>
          <t>supmgtcivoire@supmanagement.ma</t>
        </is>
      </c>
      <c r="J30" s="21" t="inlineStr"/>
      <c r="K30" s="21" t="inlineStr">
        <is>
          <t>Directeur des Etudes</t>
        </is>
      </c>
      <c r="L30" s="21" t="inlineStr">
        <is>
          <t>Moyenne</t>
        </is>
      </c>
      <c r="M30" s="21" t="inlineStr">
        <is>
          <t>supmanagement.ma</t>
        </is>
      </c>
      <c r="N30" s="21" t="inlineStr">
        <is>
          <t>domaine propre</t>
        </is>
      </c>
      <c r="O30" s="23" t="inlineStr">
        <is>
          <t>valide</t>
        </is>
      </c>
    </row>
    <row r="31">
      <c r="A31" s="21" t="inlineStr">
        <is>
          <t>Groupe ESCAM - Ecole Superieure de Commerce d'Administration et de Management</t>
        </is>
      </c>
      <c r="B31" s="21" t="inlineStr">
        <is>
          <t>Grande ecole - commerce / gestion</t>
        </is>
      </c>
      <c r="C31" s="21" t="inlineStr">
        <is>
          <t>Prive</t>
        </is>
      </c>
      <c r="D31" s="21" t="inlineStr">
        <is>
          <t>Abidjan - Cocody et Bingerville</t>
        </is>
      </c>
      <c r="E31" s="21" t="inlineStr">
        <is>
          <t>Campus Cocody et annexe Bingerville</t>
        </is>
      </c>
      <c r="F31" s="21" t="inlineStr">
        <is>
          <t>+225 05 46 10 56 04</t>
        </is>
      </c>
      <c r="G31" s="21" t="inlineStr"/>
      <c r="H31" s="21" t="inlineStr"/>
      <c r="I31" s="21" t="inlineStr">
        <is>
          <t>groupeescam@gmail.com</t>
        </is>
      </c>
      <c r="J31" s="21" t="inlineStr">
        <is>
          <t>escamci.com</t>
        </is>
      </c>
      <c r="K31" s="21" t="inlineStr">
        <is>
          <t>Directeur des Etudes (par campus)</t>
        </is>
      </c>
      <c r="L31" s="21" t="inlineStr">
        <is>
          <t>Moyenne</t>
        </is>
      </c>
      <c r="M31" s="21" t="inlineStr">
        <is>
          <t>Le Grand Frere</t>
        </is>
      </c>
      <c r="N31" s="21" t="inlineStr">
        <is>
          <t>gratuite</t>
        </is>
      </c>
      <c r="O31" s="23" t="inlineStr">
        <is>
          <t>valide</t>
        </is>
      </c>
    </row>
    <row r="32">
      <c r="A32" s="21" t="inlineStr">
        <is>
          <t>Institut Universitaire d'Abidjan (IUA)</t>
        </is>
      </c>
      <c r="B32" s="21" t="inlineStr">
        <is>
          <t>Universite privee</t>
        </is>
      </c>
      <c r="C32" s="21" t="inlineStr">
        <is>
          <t>Prive</t>
        </is>
      </c>
      <c r="D32" s="21" t="inlineStr">
        <is>
          <t>Abidjan - Cocody II Plateaux 7e Tranche</t>
        </is>
      </c>
      <c r="E32" s="21" t="inlineStr">
        <is>
          <t>Rue L40, Carrefour Cascades, 01 BP 12159 Abidjan 01</t>
        </is>
      </c>
      <c r="F32" s="21" t="inlineStr">
        <is>
          <t>+225 27 22 42 22 65</t>
        </is>
      </c>
      <c r="G32" s="21" t="inlineStr">
        <is>
          <t>+225 07 07 23 18 62</t>
        </is>
      </c>
      <c r="H32" s="21" t="inlineStr">
        <is>
          <t>+225 07 07 23 18 62</t>
        </is>
      </c>
      <c r="I32" s="21" t="inlineStr">
        <is>
          <t>info@iua.org</t>
        </is>
      </c>
      <c r="J32" s="21" t="inlineStr">
        <is>
          <t>www.iuaci.org</t>
        </is>
      </c>
      <c r="K32" s="21" t="inlineStr">
        <is>
          <t>Directeur des Etudes</t>
        </is>
      </c>
      <c r="L32" s="23" t="inlineStr">
        <is>
          <t>Haute</t>
        </is>
      </c>
      <c r="M32" s="21" t="inlineStr">
        <is>
          <t>Page contact officielle iuaci.org</t>
        </is>
      </c>
      <c r="N32" s="21" t="inlineStr">
        <is>
          <t>domaine propre</t>
        </is>
      </c>
      <c r="O32" s="23" t="inlineStr">
        <is>
          <t>valide</t>
        </is>
      </c>
    </row>
    <row r="33">
      <c r="A33" s="21" t="inlineStr">
        <is>
          <t>ITES (Institut de Technologies et Specialites)</t>
        </is>
      </c>
      <c r="B33" s="21" t="inlineStr">
        <is>
          <t>Grande ecole - industriel / tertiaire</t>
        </is>
      </c>
      <c r="C33" s="21" t="inlineStr">
        <is>
          <t>Prive</t>
        </is>
      </c>
      <c r="D33" s="21" t="inlineStr">
        <is>
          <t>Abidjan - Cocody II Plateaux Sanon</t>
        </is>
      </c>
      <c r="E33" s="21" t="inlineStr">
        <is>
          <t>27 BP 498 Abidjan 27</t>
        </is>
      </c>
      <c r="F33" s="21" t="inlineStr">
        <is>
          <t>+225 27 22 52 20 84</t>
        </is>
      </c>
      <c r="G33" s="21" t="inlineStr"/>
      <c r="H33" s="21" t="inlineStr"/>
      <c r="I33" s="21" t="inlineStr"/>
      <c r="J33" s="21" t="inlineStr">
        <is>
          <t>www.ites.ci</t>
        </is>
      </c>
      <c r="K33" s="21" t="inlineStr">
        <is>
          <t>Directeur des Etudes</t>
        </is>
      </c>
      <c r="L33" s="21" t="inlineStr">
        <is>
          <t>Moyenne</t>
        </is>
      </c>
      <c r="M33" s="21" t="inlineStr">
        <is>
          <t>ites.ci + AnnuaireCI</t>
        </is>
      </c>
      <c r="N33" s="21" t="inlineStr"/>
      <c r="O33" s="22" t="inlineStr">
        <is>
          <t>sans email</t>
        </is>
      </c>
    </row>
    <row r="34">
      <c r="A34" s="21" t="inlineStr">
        <is>
          <t>ESMA - Ecole de Specialites Multimedia d'Abidjan</t>
        </is>
      </c>
      <c r="B34" s="21" t="inlineStr">
        <is>
          <t>Grande ecole - multimedia / communication</t>
        </is>
      </c>
      <c r="C34" s="21" t="inlineStr">
        <is>
          <t>Prive</t>
        </is>
      </c>
      <c r="D34" s="21" t="inlineStr">
        <is>
          <t>Abidjan - Cocody Riviera 2</t>
        </is>
      </c>
      <c r="E34" s="21" t="inlineStr">
        <is>
          <t>Riviera 2 Rue Alpha Blondy - BP 65 Riviera 2 Abidjan</t>
        </is>
      </c>
      <c r="F34" s="21" t="inlineStr">
        <is>
          <t>+225 27 22 47 11 12</t>
        </is>
      </c>
      <c r="G34" s="21" t="inlineStr">
        <is>
          <t>+225 07 02 77 66 31</t>
        </is>
      </c>
      <c r="H34" s="21" t="inlineStr"/>
      <c r="I34" s="21" t="inlineStr">
        <is>
          <t>infos@esma-edu.com</t>
        </is>
      </c>
      <c r="J34" s="21" t="inlineStr">
        <is>
          <t>esma-edu.com</t>
        </is>
      </c>
      <c r="K34" s="21" t="inlineStr">
        <is>
          <t>Directeur des Etudes (par campus)</t>
        </is>
      </c>
      <c r="L34" s="23" t="inlineStr">
        <is>
          <t>Haute</t>
        </is>
      </c>
      <c r="M34" s="21" t="inlineStr">
        <is>
          <t>Site officiel esma-edu.com</t>
        </is>
      </c>
      <c r="N34" s="21" t="inlineStr">
        <is>
          <t>domaine propre</t>
        </is>
      </c>
      <c r="O34" s="23" t="inlineStr">
        <is>
          <t>valide</t>
        </is>
      </c>
    </row>
    <row r="35">
      <c r="A35" s="21" t="inlineStr">
        <is>
          <t>IIPEA - Institut International Polytechnique des Elites d'Abidjan</t>
        </is>
      </c>
      <c r="B35" s="21" t="inlineStr">
        <is>
          <t>Institut superieur - polytechnique pluridisciplinaire</t>
        </is>
      </c>
      <c r="C35" s="21" t="inlineStr">
        <is>
          <t>Prive</t>
        </is>
      </c>
      <c r="D35" s="21" t="inlineStr">
        <is>
          <t>Abidjan - Cocody Riviera 2</t>
        </is>
      </c>
      <c r="E35" s="21" t="inlineStr">
        <is>
          <t>Riviera 2 pres du College Andre Malraux</t>
        </is>
      </c>
      <c r="F35" s="21" t="inlineStr">
        <is>
          <t>+225 07 08 08 87 87</t>
        </is>
      </c>
      <c r="G35" s="21" t="inlineStr">
        <is>
          <t>+225 07 69 36 08 57</t>
        </is>
      </c>
      <c r="H35" s="21" t="inlineStr"/>
      <c r="I35" s="21" t="inlineStr">
        <is>
          <t>secretariat@iipea.com</t>
        </is>
      </c>
      <c r="J35" s="21" t="inlineStr">
        <is>
          <t>iipea.com</t>
        </is>
      </c>
      <c r="K35" s="21" t="inlineStr">
        <is>
          <t>Directeur des Etudes (par campus)</t>
        </is>
      </c>
      <c r="L35" s="21" t="inlineStr">
        <is>
          <t>Moyenne</t>
        </is>
      </c>
      <c r="M35" s="21" t="inlineStr">
        <is>
          <t>AnnuaireCI</t>
        </is>
      </c>
      <c r="N35" s="21" t="inlineStr">
        <is>
          <t>domaine propre</t>
        </is>
      </c>
      <c r="O35" s="23" t="inlineStr">
        <is>
          <t>valide</t>
        </is>
      </c>
    </row>
    <row r="36">
      <c r="A36" s="21" t="inlineStr">
        <is>
          <t>CUP - Centre Universitaire Professionnalise d'Abidjan</t>
        </is>
      </c>
      <c r="B36" s="21" t="inlineStr">
        <is>
          <t>Centre universitaire - pluridisciplinaire</t>
        </is>
      </c>
      <c r="C36" s="21" t="inlineStr">
        <is>
          <t>Prive</t>
        </is>
      </c>
      <c r="D36" s="21" t="inlineStr">
        <is>
          <t>Abidjan - Cocody Riviera 3</t>
        </is>
      </c>
      <c r="E36" s="21" t="inlineStr">
        <is>
          <t>Cocody Riviera 3 Abidjan</t>
        </is>
      </c>
      <c r="F36" s="21" t="inlineStr">
        <is>
          <t>+225 27 22 48 64 27</t>
        </is>
      </c>
      <c r="G36" s="21" t="inlineStr">
        <is>
          <t>+225 07 07 98 50 00</t>
        </is>
      </c>
      <c r="H36" s="21" t="inlineStr"/>
      <c r="I36" s="21" t="inlineStr">
        <is>
          <t>infos@cup-ci.org</t>
        </is>
      </c>
      <c r="J36" s="21" t="inlineStr">
        <is>
          <t>cup-ci.org</t>
        </is>
      </c>
      <c r="K36" s="21" t="inlineStr">
        <is>
          <t>Directeur des Etudes</t>
        </is>
      </c>
      <c r="L36" s="23" t="inlineStr">
        <is>
          <t>Haute</t>
        </is>
      </c>
      <c r="M36" s="21" t="inlineStr">
        <is>
          <t>Site officiel cup-ci.org</t>
        </is>
      </c>
      <c r="N36" s="21" t="inlineStr">
        <is>
          <t>domaine propre</t>
        </is>
      </c>
      <c r="O36" s="23" t="inlineStr">
        <is>
          <t>valide</t>
        </is>
      </c>
    </row>
    <row r="37">
      <c r="A37" s="21" t="inlineStr">
        <is>
          <t>Groupe CSI Pole Polytechnique</t>
        </is>
      </c>
      <c r="B37" s="21" t="inlineStr">
        <is>
          <t>Grande ecole - ingenierie / gestion</t>
        </is>
      </c>
      <c r="C37" s="21" t="inlineStr">
        <is>
          <t>Prive</t>
        </is>
      </c>
      <c r="D37" s="21" t="inlineStr">
        <is>
          <t>Abidjan - Cocody Riviera Bonoumin</t>
        </is>
      </c>
      <c r="E37" s="21" t="inlineStr">
        <is>
          <t>Riviera Bonoumin, Cocody</t>
        </is>
      </c>
      <c r="F37" s="21" t="inlineStr">
        <is>
          <t>+225 27 22 49 49 39</t>
        </is>
      </c>
      <c r="G37" s="21" t="inlineStr">
        <is>
          <t>+225 07 07 98 15 82</t>
        </is>
      </c>
      <c r="H37" s="21" t="inlineStr">
        <is>
          <t>+225 05 05 75 39 45</t>
        </is>
      </c>
      <c r="I37" s="21" t="inlineStr">
        <is>
          <t>info@groupecsi-pp.com</t>
        </is>
      </c>
      <c r="J37" s="21" t="inlineStr">
        <is>
          <t>groupecsi-pp.com</t>
        </is>
      </c>
      <c r="K37" s="21" t="inlineStr">
        <is>
          <t>Directeur des Etudes</t>
        </is>
      </c>
      <c r="L37" s="23" t="inlineStr">
        <is>
          <t>Haute</t>
        </is>
      </c>
      <c r="M37" s="21" t="inlineStr">
        <is>
          <t>Page contact officielle groupecsi-pp.com</t>
        </is>
      </c>
      <c r="N37" s="21" t="inlineStr">
        <is>
          <t>domaine propre</t>
        </is>
      </c>
      <c r="O37" s="23" t="inlineStr">
        <is>
          <t>valide</t>
        </is>
      </c>
    </row>
    <row r="38">
      <c r="A38" s="21" t="inlineStr">
        <is>
          <t>IUPA Cocody - Institut Universitaire Polytechnique d'Abidjan</t>
        </is>
      </c>
      <c r="B38" s="21" t="inlineStr">
        <is>
          <t>Institut superieur - polytechnique</t>
        </is>
      </c>
      <c r="C38" s="21" t="inlineStr">
        <is>
          <t>Prive</t>
        </is>
      </c>
      <c r="D38" s="21" t="inlineStr">
        <is>
          <t>Abidjan - Cocody Riviera Bonoumin</t>
        </is>
      </c>
      <c r="E38" s="21" t="inlineStr">
        <is>
          <t>Carrefour Ahmed Ouattara Riviera Bonoumin Cocody - 01 BP 7762 Abidjan 01</t>
        </is>
      </c>
      <c r="F38" s="21" t="inlineStr"/>
      <c r="G38" s="21" t="inlineStr"/>
      <c r="H38" s="21" t="inlineStr"/>
      <c r="I38" s="21" t="inlineStr">
        <is>
          <t>groupeiupaismt@gmail.com</t>
        </is>
      </c>
      <c r="J38" s="21" t="inlineStr">
        <is>
          <t>iupa-ismt.ci</t>
        </is>
      </c>
      <c r="K38" s="21" t="inlineStr">
        <is>
          <t>Directeur des Etudes (par campus)</t>
        </is>
      </c>
      <c r="L38" s="23" t="inlineStr">
        <is>
          <t>Haute</t>
        </is>
      </c>
      <c r="M38" s="21" t="inlineStr">
        <is>
          <t>Site officiel iupa-ismt.ci | email : Page contact officielle iupa-ismt.ci</t>
        </is>
      </c>
      <c r="N38" s="21" t="inlineStr">
        <is>
          <t>gratuite</t>
        </is>
      </c>
      <c r="O38" s="24" t="inlineStr">
        <is>
          <t>a verifier</t>
        </is>
      </c>
    </row>
    <row r="39">
      <c r="A39" s="21" t="inlineStr">
        <is>
          <t>UIST - Universite Internationale des Sciences et Technologie</t>
        </is>
      </c>
      <c r="B39" s="21" t="inlineStr">
        <is>
          <t>Universite privee - sciences et technologies</t>
        </is>
      </c>
      <c r="C39" s="21" t="inlineStr">
        <is>
          <t>Prive</t>
        </is>
      </c>
      <c r="D39" s="21" t="inlineStr">
        <is>
          <t>Abidjan - Cocody Riviera Bonoumin</t>
        </is>
      </c>
      <c r="E39" s="21" t="inlineStr">
        <is>
          <t>Riviera Bonoumin Ouest Cite Zinzou Lot 1285 Ilot 21 - 12 BP 1811 Abidjan 12</t>
        </is>
      </c>
      <c r="F39" s="21" t="inlineStr">
        <is>
          <t>+225 07 09 47 87 16</t>
        </is>
      </c>
      <c r="G39" s="21" t="inlineStr">
        <is>
          <t>+225 07 78 46 60 78</t>
        </is>
      </c>
      <c r="H39" s="21" t="inlineStr"/>
      <c r="I39" s="21" t="inlineStr"/>
      <c r="J39" s="21" t="inlineStr">
        <is>
          <t>uist.ci</t>
        </is>
      </c>
      <c r="K39" s="21" t="inlineStr">
        <is>
          <t>Directeur des Etudes</t>
        </is>
      </c>
      <c r="L39" s="23" t="inlineStr">
        <is>
          <t>Haute</t>
        </is>
      </c>
      <c r="M39" s="21" t="inlineStr">
        <is>
          <t>Site officiel uist.ci</t>
        </is>
      </c>
      <c r="N39" s="21" t="inlineStr"/>
      <c r="O39" s="22" t="inlineStr">
        <is>
          <t>sans email</t>
        </is>
      </c>
    </row>
    <row r="40">
      <c r="A40" s="21" t="inlineStr">
        <is>
          <t>Epitech Cote d'Ivoire</t>
        </is>
      </c>
      <c r="B40" s="21" t="inlineStr">
        <is>
          <t>Ecole d'informatique - Grande Ecole 5 ans et MSc Pro</t>
        </is>
      </c>
      <c r="C40" s="21" t="inlineStr">
        <is>
          <t>Prive</t>
        </is>
      </c>
      <c r="D40" s="21" t="inlineStr">
        <is>
          <t>Abidjan - Cocody Riviera Faya</t>
        </is>
      </c>
      <c r="E40" s="21" t="inlineStr">
        <is>
          <t>Riviera Faya Abidjan</t>
        </is>
      </c>
      <c r="F40" s="21" t="inlineStr"/>
      <c r="G40" s="21" t="inlineStr"/>
      <c r="H40" s="21" t="inlineStr"/>
      <c r="I40" s="21" t="inlineStr">
        <is>
          <t>info@epitech.bj</t>
        </is>
      </c>
      <c r="J40" s="21" t="inlineStr">
        <is>
          <t>epitech.africa/abidjan</t>
        </is>
      </c>
      <c r="K40" s="21" t="inlineStr">
        <is>
          <t>Directeur des Etudes</t>
        </is>
      </c>
      <c r="L40" s="23" t="inlineStr">
        <is>
          <t>Haute</t>
        </is>
      </c>
      <c r="M40" s="21" t="inlineStr">
        <is>
          <t>Site officiel epitech.africa</t>
        </is>
      </c>
      <c r="N40" s="21" t="inlineStr">
        <is>
          <t>domaine propre</t>
        </is>
      </c>
      <c r="O40" s="23" t="inlineStr">
        <is>
          <t>valide</t>
        </is>
      </c>
    </row>
    <row r="41">
      <c r="A41" s="21" t="inlineStr">
        <is>
          <t>AGITEL-FORMATION</t>
        </is>
      </c>
      <c r="B41" s="21" t="inlineStr">
        <is>
          <t>Grande ecole - gestion / informatique</t>
        </is>
      </c>
      <c r="C41" s="21" t="inlineStr">
        <is>
          <t>Prive</t>
        </is>
      </c>
      <c r="D41" s="21" t="inlineStr">
        <is>
          <t>Abidjan - Cocody Riviera Palmeraie</t>
        </is>
      </c>
      <c r="E41" s="21" t="inlineStr">
        <is>
          <t>Rue Ministre, 03 BP 882 Abidjan 03</t>
        </is>
      </c>
      <c r="F41" s="21" t="inlineStr">
        <is>
          <t>+225 27 22 23 60 03</t>
        </is>
      </c>
      <c r="G41" s="21" t="inlineStr">
        <is>
          <t>+225 07 89 49 95 65</t>
        </is>
      </c>
      <c r="H41" s="21" t="inlineStr">
        <is>
          <t>+225 07 89 49 95 65</t>
        </is>
      </c>
      <c r="I41" s="21" t="inlineStr">
        <is>
          <t>infos@agitel-formation.net</t>
        </is>
      </c>
      <c r="J41" s="21" t="inlineStr">
        <is>
          <t>www.agitel-formation.net</t>
        </is>
      </c>
      <c r="K41" s="21" t="inlineStr">
        <is>
          <t>Directeur des Etudes / Directeur Pedagogique</t>
        </is>
      </c>
      <c r="L41" s="23" t="inlineStr">
        <is>
          <t>Haute</t>
        </is>
      </c>
      <c r="M41" s="21" t="inlineStr">
        <is>
          <t>Site officiel + AnnuaireCI</t>
        </is>
      </c>
      <c r="N41" s="21" t="inlineStr">
        <is>
          <t>domaine propre</t>
        </is>
      </c>
      <c r="O41" s="23" t="inlineStr">
        <is>
          <t>valide</t>
        </is>
      </c>
    </row>
    <row r="42">
      <c r="A42" s="21" t="inlineStr">
        <is>
          <t>GSM</t>
        </is>
      </c>
      <c r="B42" s="21" t="inlineStr">
        <is>
          <t>Etablissement superieur prive - gestion</t>
        </is>
      </c>
      <c r="C42" s="21" t="inlineStr">
        <is>
          <t>Prive</t>
        </is>
      </c>
      <c r="D42" s="21" t="inlineStr">
        <is>
          <t>Abidjan - Cocody Riviera Palmeraie</t>
        </is>
      </c>
      <c r="E42" s="21" t="inlineStr">
        <is>
          <t>Riviera Palmeraie pres de la Pharmacie Marie-Esther</t>
        </is>
      </c>
      <c r="F42" s="21" t="inlineStr">
        <is>
          <t>+225 05 54 27 28 75</t>
        </is>
      </c>
      <c r="G42" s="21" t="inlineStr"/>
      <c r="H42" s="21" t="inlineStr"/>
      <c r="I42" s="21" t="inlineStr"/>
      <c r="J42" s="21" t="inlineStr"/>
      <c r="K42" s="21" t="inlineStr">
        <is>
          <t>Directeur des Etudes</t>
        </is>
      </c>
      <c r="L42" s="21" t="inlineStr">
        <is>
          <t>Moyenne</t>
        </is>
      </c>
      <c r="M42" s="21" t="inlineStr">
        <is>
          <t>UPESUP</t>
        </is>
      </c>
      <c r="N42" s="21" t="inlineStr"/>
      <c r="O42" s="22" t="inlineStr">
        <is>
          <t>sans email</t>
        </is>
      </c>
    </row>
    <row r="43">
      <c r="A43" s="21" t="inlineStr">
        <is>
          <t>Universite de l'Atlantique</t>
        </is>
      </c>
      <c r="B43" s="21" t="inlineStr">
        <is>
          <t>Universite privee</t>
        </is>
      </c>
      <c r="C43" s="21" t="inlineStr">
        <is>
          <t>Prive</t>
        </is>
      </c>
      <c r="D43" s="21" t="inlineStr">
        <is>
          <t>Abidjan - Cocody Rue des Jardins</t>
        </is>
      </c>
      <c r="E43" s="21" t="inlineStr">
        <is>
          <t>Cite des Cadres n19, 06 BP 6631 Abidjan 06</t>
        </is>
      </c>
      <c r="F43" s="21" t="inlineStr">
        <is>
          <t>+225 01 40 06 92 92</t>
        </is>
      </c>
      <c r="G43" s="21" t="inlineStr">
        <is>
          <t>+225 01 40 06 93 93</t>
        </is>
      </c>
      <c r="H43" s="21" t="inlineStr"/>
      <c r="I43" s="21" t="inlineStr">
        <is>
          <t>uatl@aviso.ci</t>
        </is>
      </c>
      <c r="J43" s="21" t="inlineStr">
        <is>
          <t>www.uatlantique.org</t>
        </is>
      </c>
      <c r="K43" s="21" t="inlineStr">
        <is>
          <t>Directeur des Etudes</t>
        </is>
      </c>
      <c r="L43" s="21" t="inlineStr">
        <is>
          <t>Moyenne</t>
        </is>
      </c>
      <c r="M43" s="21" t="inlineStr">
        <is>
          <t>uatlantique.org + AnnuaireCI</t>
        </is>
      </c>
      <c r="N43" s="21" t="inlineStr">
        <is>
          <t>gratuite</t>
        </is>
      </c>
      <c r="O43" s="23" t="inlineStr">
        <is>
          <t>valide</t>
        </is>
      </c>
    </row>
    <row r="44">
      <c r="A44" s="21" t="inlineStr">
        <is>
          <t>Groupe CERCO Cote d'Ivoire</t>
        </is>
      </c>
      <c r="B44" s="21" t="inlineStr">
        <is>
          <t>Grande ecole - informatique / IA</t>
        </is>
      </c>
      <c r="C44" s="21" t="inlineStr">
        <is>
          <t>Prive</t>
        </is>
      </c>
      <c r="D44" s="21" t="inlineStr">
        <is>
          <t>Abidjan - Deux Plateaux Vallon</t>
        </is>
      </c>
      <c r="E44" s="21" t="inlineStr">
        <is>
          <t>07 BP 1092 Abidjan, Deux Plateaux Vallon</t>
        </is>
      </c>
      <c r="F44" s="21" t="inlineStr">
        <is>
          <t>+225 07 07 10 55 63</t>
        </is>
      </c>
      <c r="G44" s="21" t="inlineStr">
        <is>
          <t>+225 07 77 65 65 02</t>
        </is>
      </c>
      <c r="H44" s="21" t="inlineStr">
        <is>
          <t>+225 07 58 27 08 27</t>
        </is>
      </c>
      <c r="I44" s="21" t="inlineStr">
        <is>
          <t>cerco@groupecerco.com</t>
        </is>
      </c>
      <c r="J44" s="21" t="inlineStr">
        <is>
          <t>groupecerco.com</t>
        </is>
      </c>
      <c r="K44" s="21" t="inlineStr">
        <is>
          <t>Directeur des Etudes</t>
        </is>
      </c>
      <c r="L44" s="21" t="inlineStr">
        <is>
          <t>Moyenne</t>
        </is>
      </c>
      <c r="M44" s="21" t="inlineStr">
        <is>
          <t>groupecerco.com + AnnuaireCI</t>
        </is>
      </c>
      <c r="N44" s="21" t="inlineStr">
        <is>
          <t>domaine propre</t>
        </is>
      </c>
      <c r="O44" s="23" t="inlineStr">
        <is>
          <t>valide</t>
        </is>
      </c>
    </row>
    <row r="45">
      <c r="A45" s="21" t="inlineStr">
        <is>
          <t>CESA Koumassi - Centre d Etudes Superieures des Affaires d Abidjan</t>
        </is>
      </c>
      <c r="B45" s="21" t="inlineStr">
        <is>
          <t>Ecole superieure privee - BTS Licence Master</t>
        </is>
      </c>
      <c r="C45" s="21" t="inlineStr">
        <is>
          <t>Prive</t>
        </is>
      </c>
      <c r="D45" s="21" t="inlineStr">
        <is>
          <t>Abidjan - Koumassi</t>
        </is>
      </c>
      <c r="E45" s="21" t="inlineStr">
        <is>
          <t>Koumassi Nord-Est quartier residentiel derriere le centre de sante</t>
        </is>
      </c>
      <c r="F45" s="21" t="inlineStr">
        <is>
          <t>+225 27 21 56 31 74</t>
        </is>
      </c>
      <c r="G45" s="21" t="inlineStr">
        <is>
          <t>+225 07 57 82 11 81</t>
        </is>
      </c>
      <c r="H45" s="21" t="inlineStr"/>
      <c r="I45" s="21" t="inlineStr"/>
      <c r="J45" s="21" t="inlineStr">
        <is>
          <t>cofecesa.net</t>
        </is>
      </c>
      <c r="K45" s="21" t="inlineStr">
        <is>
          <t>Directeur des Etudes</t>
        </is>
      </c>
      <c r="L45" s="21" t="inlineStr">
        <is>
          <t>Moyenne</t>
        </is>
      </c>
      <c r="M45" s="21" t="inlineStr">
        <is>
          <t>Le Grand Frere + UPESUP</t>
        </is>
      </c>
      <c r="N45" s="21" t="inlineStr"/>
      <c r="O45" s="22" t="inlineStr">
        <is>
          <t>sans email</t>
        </is>
      </c>
    </row>
    <row r="46">
      <c r="A46" s="21" t="inlineStr">
        <is>
          <t>ESTC Marcory - Ecole Superieure Technique et Commerciale</t>
        </is>
      </c>
      <c r="B46" s="21" t="inlineStr">
        <is>
          <t>Ecole superieure privee - technique et commerciale</t>
        </is>
      </c>
      <c r="C46" s="21" t="inlineStr">
        <is>
          <t>Prive</t>
        </is>
      </c>
      <c r="D46" s="21" t="inlineStr">
        <is>
          <t>Abidjan - Marcory</t>
        </is>
      </c>
      <c r="E46" s="21" t="inlineStr"/>
      <c r="F46" s="21" t="inlineStr">
        <is>
          <t>+225 05 55 55 86 55</t>
        </is>
      </c>
      <c r="G46" s="21" t="inlineStr"/>
      <c r="H46" s="21" t="inlineStr"/>
      <c r="I46" s="21" t="inlineStr"/>
      <c r="J46" s="21" t="inlineStr"/>
      <c r="K46" s="21" t="inlineStr">
        <is>
          <t>Directeur des Etudes</t>
        </is>
      </c>
      <c r="L46" s="21" t="inlineStr">
        <is>
          <t>Moyenne</t>
        </is>
      </c>
      <c r="M46" s="21" t="inlineStr">
        <is>
          <t>AnnuaireCI</t>
        </is>
      </c>
      <c r="N46" s="21" t="inlineStr"/>
      <c r="O46" s="22" t="inlineStr">
        <is>
          <t>sans email</t>
        </is>
      </c>
    </row>
    <row r="47">
      <c r="A47" s="21" t="inlineStr">
        <is>
          <t>ECG - Ecole de Commerce et de Gestion</t>
        </is>
      </c>
      <c r="B47" s="21" t="inlineStr">
        <is>
          <t>Ecole superieure - BTS gestion et commerce</t>
        </is>
      </c>
      <c r="C47" s="21" t="inlineStr">
        <is>
          <t>Prive</t>
        </is>
      </c>
      <c r="D47" s="21" t="inlineStr">
        <is>
          <t>Abidjan - Marcory Zone 4</t>
        </is>
      </c>
      <c r="E47" s="21" t="inlineStr">
        <is>
          <t>20 rue Thomas Edison Marcory Zone 4C - 07 BP 42 Abidjan 07</t>
        </is>
      </c>
      <c r="F47" s="21" t="inlineStr">
        <is>
          <t>+225 27 21 24 42 23</t>
        </is>
      </c>
      <c r="G47" s="21" t="inlineStr">
        <is>
          <t>+225 27 21 35 59 80</t>
        </is>
      </c>
      <c r="H47" s="21" t="inlineStr"/>
      <c r="I47" s="21" t="inlineStr">
        <is>
          <t>infos@ecgecole.com</t>
        </is>
      </c>
      <c r="J47" s="21" t="inlineStr">
        <is>
          <t>ecgecole.com</t>
        </is>
      </c>
      <c r="K47" s="21" t="inlineStr">
        <is>
          <t>Directeur des Etudes</t>
        </is>
      </c>
      <c r="L47" s="23" t="inlineStr">
        <is>
          <t>Haute</t>
        </is>
      </c>
      <c r="M47" s="21" t="inlineStr">
        <is>
          <t>Site officiel ecg.ci</t>
        </is>
      </c>
      <c r="N47" s="21" t="inlineStr">
        <is>
          <t>domaine propre</t>
        </is>
      </c>
      <c r="O47" s="23" t="inlineStr">
        <is>
          <t>valide</t>
        </is>
      </c>
    </row>
    <row r="48">
      <c r="A48" s="21" t="inlineStr">
        <is>
          <t>EURO FORMATION Marcory</t>
        </is>
      </c>
      <c r="B48" s="21" t="inlineStr">
        <is>
          <t>Centre de formation professionnelle et BTS</t>
        </is>
      </c>
      <c r="C48" s="21" t="inlineStr">
        <is>
          <t>Prive</t>
        </is>
      </c>
      <c r="D48" s="21" t="inlineStr">
        <is>
          <t>Abidjan - Marcory Zone 4</t>
        </is>
      </c>
      <c r="E48" s="21" t="inlineStr">
        <is>
          <t>Zone 4C Rue Fleming Marcory - 26 BP 211 Abidjan 26</t>
        </is>
      </c>
      <c r="F48" s="21" t="inlineStr">
        <is>
          <t>+225 27 21 25 45 15</t>
        </is>
      </c>
      <c r="G48" s="21" t="inlineStr">
        <is>
          <t>+225 05 05 08 84 10</t>
        </is>
      </c>
      <c r="H48" s="21" t="inlineStr"/>
      <c r="I48" s="21" t="inlineStr"/>
      <c r="J48" s="21" t="inlineStr">
        <is>
          <t>eurof.org</t>
        </is>
      </c>
      <c r="K48" s="21" t="inlineStr">
        <is>
          <t>Directeur des Etudes</t>
        </is>
      </c>
      <c r="L48" s="23" t="inlineStr">
        <is>
          <t>Haute</t>
        </is>
      </c>
      <c r="M48" s="21" t="inlineStr">
        <is>
          <t>Site officiel eurof.org</t>
        </is>
      </c>
      <c r="N48" s="21" t="inlineStr"/>
      <c r="O48" s="22" t="inlineStr">
        <is>
          <t>sans email</t>
        </is>
      </c>
    </row>
    <row r="49">
      <c r="A49" s="21" t="inlineStr">
        <is>
          <t>ITA - Institut des Technologies d'Abidjan</t>
        </is>
      </c>
      <c r="B49" s="21" t="inlineStr">
        <is>
          <t>Institut superieur prive - technologique</t>
        </is>
      </c>
      <c r="C49" s="21" t="inlineStr">
        <is>
          <t>Prive</t>
        </is>
      </c>
      <c r="D49" s="21" t="inlineStr">
        <is>
          <t>Abidjan - Marcory Zone 4</t>
        </is>
      </c>
      <c r="E49" s="21" t="inlineStr">
        <is>
          <t>Boulevard VGE face Immeuble KoZ Zone 4C Marcory - 20 BP 195 Abidjan 20</t>
        </is>
      </c>
      <c r="F49" s="21" t="inlineStr">
        <is>
          <t>+225 27 21 28 32 92</t>
        </is>
      </c>
      <c r="G49" s="21" t="inlineStr">
        <is>
          <t>+225 07 08 11 86 87</t>
        </is>
      </c>
      <c r="H49" s="21" t="inlineStr"/>
      <c r="I49" s="21" t="inlineStr"/>
      <c r="J49" s="21" t="inlineStr">
        <is>
          <t>ita-education.ci</t>
        </is>
      </c>
      <c r="K49" s="21" t="inlineStr">
        <is>
          <t>Directeur des Etudes</t>
        </is>
      </c>
      <c r="L49" s="21" t="inlineStr">
        <is>
          <t>Moyenne</t>
        </is>
      </c>
      <c r="M49" s="21" t="inlineStr">
        <is>
          <t>AnnuaireCI + Le Grand Frere</t>
        </is>
      </c>
      <c r="N49" s="21" t="inlineStr"/>
      <c r="O49" s="22" t="inlineStr">
        <is>
          <t>sans email</t>
        </is>
      </c>
    </row>
    <row r="50">
      <c r="A50" s="21" t="inlineStr">
        <is>
          <t>Groupe LOKO (UTT / ISTTA / EST-LOKO)</t>
        </is>
      </c>
      <c r="B50" s="21" t="inlineStr">
        <is>
          <t>Groupe scolaire et superieur (18 etablissements)</t>
        </is>
      </c>
      <c r="C50" s="21" t="inlineStr">
        <is>
          <t>Prive</t>
        </is>
      </c>
      <c r="D50" s="21" t="inlineStr">
        <is>
          <t>Abidjan - Marcory, Yopougon</t>
        </is>
      </c>
      <c r="E50" s="21" t="inlineStr">
        <is>
          <t>05 BP 671 Abidjan 05</t>
        </is>
      </c>
      <c r="F50" s="21" t="inlineStr">
        <is>
          <t>+225 27 21 75 29 90</t>
        </is>
      </c>
      <c r="G50" s="21" t="inlineStr">
        <is>
          <t>+225 27 21 21 19 20</t>
        </is>
      </c>
      <c r="H50" s="21" t="inlineStr"/>
      <c r="I50" s="21" t="inlineStr">
        <is>
          <t>infos@groupeloko.com</t>
        </is>
      </c>
      <c r="J50" s="21" t="inlineStr">
        <is>
          <t>www.groupeloko.com</t>
        </is>
      </c>
      <c r="K50" s="21" t="inlineStr">
        <is>
          <t>Directeur des Etudes (par etablissement)</t>
        </is>
      </c>
      <c r="L50" s="21" t="inlineStr">
        <is>
          <t>Moyenne</t>
        </is>
      </c>
      <c r="M50" s="21" t="inlineStr">
        <is>
          <t>groupeloko.online + AnnuaireCI</t>
        </is>
      </c>
      <c r="N50" s="21" t="inlineStr">
        <is>
          <t>domaine propre</t>
        </is>
      </c>
      <c r="O50" s="23" t="inlineStr">
        <is>
          <t>valide</t>
        </is>
      </c>
    </row>
    <row r="51">
      <c r="A51" s="21" t="inlineStr">
        <is>
          <t>AIB SARL - Afrique Informatique Bureautique</t>
        </is>
      </c>
      <c r="B51" s="21" t="inlineStr">
        <is>
          <t>Centre de formation professionnelle - informatique et bureautique</t>
        </is>
      </c>
      <c r="C51" s="21" t="inlineStr">
        <is>
          <t>Prive</t>
        </is>
      </c>
      <c r="D51" s="21" t="inlineStr">
        <is>
          <t>Abidjan - Plateau</t>
        </is>
      </c>
      <c r="E51" s="21" t="inlineStr">
        <is>
          <t>Rue du Commerce Plateau Abidjan</t>
        </is>
      </c>
      <c r="F51" s="21" t="inlineStr">
        <is>
          <t>+225 27 20 32 40 78</t>
        </is>
      </c>
      <c r="G51" s="21" t="inlineStr">
        <is>
          <t>+225 27 20 33 13 53</t>
        </is>
      </c>
      <c r="H51" s="21" t="inlineStr"/>
      <c r="I51" s="21" t="inlineStr"/>
      <c r="J51" s="21" t="inlineStr"/>
      <c r="K51" s="21" t="inlineStr">
        <is>
          <t>Directeur des Etudes</t>
        </is>
      </c>
      <c r="L51" s="21" t="inlineStr">
        <is>
          <t>Moyenne</t>
        </is>
      </c>
      <c r="M51" s="21" t="inlineStr">
        <is>
          <t>Annuaire Pratik</t>
        </is>
      </c>
      <c r="N51" s="21" t="inlineStr"/>
      <c r="O51" s="22" t="inlineStr">
        <is>
          <t>sans email</t>
        </is>
      </c>
    </row>
    <row r="52">
      <c r="A52" s="21" t="inlineStr">
        <is>
          <t>AIST Plateau - Academie Internationale des Sciences et Techniques</t>
        </is>
      </c>
      <c r="B52" s="21" t="inlineStr">
        <is>
          <t>Ecole superieure privee</t>
        </is>
      </c>
      <c r="C52" s="21" t="inlineStr">
        <is>
          <t>Prive</t>
        </is>
      </c>
      <c r="D52" s="21" t="inlineStr">
        <is>
          <t>Abidjan - Plateau</t>
        </is>
      </c>
      <c r="E52" s="21" t="inlineStr">
        <is>
          <t>SIPF Cercle du Rail derriere immeuble Tyrone Center Plateau</t>
        </is>
      </c>
      <c r="F52" s="21" t="inlineStr">
        <is>
          <t>+225 27 20 22 60 20</t>
        </is>
      </c>
      <c r="G52" s="21" t="inlineStr">
        <is>
          <t>+225 05 05 99 45 13</t>
        </is>
      </c>
      <c r="H52" s="21" t="inlineStr"/>
      <c r="I52" s="21" t="inlineStr">
        <is>
          <t>aistplateau@gmail.com</t>
        </is>
      </c>
      <c r="J52" s="21" t="inlineStr">
        <is>
          <t>groupeaist.com</t>
        </is>
      </c>
      <c r="K52" s="21" t="inlineStr">
        <is>
          <t>Directeur des Etudes</t>
        </is>
      </c>
      <c r="L52" s="21" t="inlineStr">
        <is>
          <t>Moyenne</t>
        </is>
      </c>
      <c r="M52" s="21" t="inlineStr">
        <is>
          <t>Le Grand Frere + UPESUP | email : Le Grand Frere + UPESUP</t>
        </is>
      </c>
      <c r="N52" s="21" t="inlineStr">
        <is>
          <t>gratuite</t>
        </is>
      </c>
      <c r="O52" s="24" t="inlineStr">
        <is>
          <t>a verifier</t>
        </is>
      </c>
    </row>
    <row r="53">
      <c r="A53" s="21" t="inlineStr">
        <is>
          <t>CESA Plateau - Centre d Etudes Superieures des Affaires d Abidjan</t>
        </is>
      </c>
      <c r="B53" s="21" t="inlineStr">
        <is>
          <t>Ecole superieure privee - BTS Licence Master</t>
        </is>
      </c>
      <c r="C53" s="21" t="inlineStr">
        <is>
          <t>Prive</t>
        </is>
      </c>
      <c r="D53" s="21" t="inlineStr">
        <is>
          <t>Abidjan - Plateau</t>
        </is>
      </c>
      <c r="E53" s="21" t="inlineStr">
        <is>
          <t>Cercle des Rails a 200m de la Direction Generale Sitarail - 01 BP 8596 Abidjan 01</t>
        </is>
      </c>
      <c r="F53" s="21" t="inlineStr">
        <is>
          <t>+225 27 20 21 97 56</t>
        </is>
      </c>
      <c r="G53" s="21" t="inlineStr">
        <is>
          <t>+225 27 21 56 31 74</t>
        </is>
      </c>
      <c r="H53" s="21" t="inlineStr"/>
      <c r="I53" s="21" t="inlineStr">
        <is>
          <t>cofecesa@cofecesa.net</t>
        </is>
      </c>
      <c r="J53" s="21" t="inlineStr">
        <is>
          <t>cofecesa.net</t>
        </is>
      </c>
      <c r="K53" s="21" t="inlineStr">
        <is>
          <t>Directeur des Etudes</t>
        </is>
      </c>
      <c r="L53" s="21" t="inlineStr">
        <is>
          <t>Moyenne</t>
        </is>
      </c>
      <c r="M53" s="21" t="inlineStr">
        <is>
          <t>AnnuaireCI + UPESUP | email : cofecesa.net - boite generale du groupe, repli alain_achi@yahoo.fr</t>
        </is>
      </c>
      <c r="N53" s="21" t="inlineStr">
        <is>
          <t>domaine propre</t>
        </is>
      </c>
      <c r="O53" s="24" t="inlineStr">
        <is>
          <t>a verifier</t>
        </is>
      </c>
    </row>
    <row r="54">
      <c r="A54" s="21" t="inlineStr">
        <is>
          <t>ESC Castaing - Ecole Superieure de Commerce Castaing</t>
        </is>
      </c>
      <c r="B54" s="21" t="inlineStr">
        <is>
          <t>Ecole superieure de commerce - logistique transport</t>
        </is>
      </c>
      <c r="C54" s="21" t="inlineStr">
        <is>
          <t>Prive</t>
        </is>
      </c>
      <c r="D54" s="21" t="inlineStr">
        <is>
          <t>Abidjan - Plateau</t>
        </is>
      </c>
      <c r="E54" s="21" t="inlineStr">
        <is>
          <t>Avenue Crousson Duplessis face a Tralala Plateau - 01 BP 2617 Abidjan 01</t>
        </is>
      </c>
      <c r="F54" s="21" t="inlineStr">
        <is>
          <t>+225 27 20 21 22 89</t>
        </is>
      </c>
      <c r="G54" s="21" t="inlineStr">
        <is>
          <t>+225 27 20 21 63 47</t>
        </is>
      </c>
      <c r="H54" s="21" t="inlineStr"/>
      <c r="I54" s="21" t="inlineStr">
        <is>
          <t>castaing@aviso.ci</t>
        </is>
      </c>
      <c r="J54" s="21" t="inlineStr">
        <is>
          <t>esccastaing.com</t>
        </is>
      </c>
      <c r="K54" s="21" t="inlineStr">
        <is>
          <t>Directeur des Etudes</t>
        </is>
      </c>
      <c r="L54" s="23" t="inlineStr">
        <is>
          <t>Haute</t>
        </is>
      </c>
      <c r="M54" s="21" t="inlineStr">
        <is>
          <t>Site officiel esccastaing.com</t>
        </is>
      </c>
      <c r="N54" s="21" t="inlineStr">
        <is>
          <t>gratuite</t>
        </is>
      </c>
      <c r="O54" s="23" t="inlineStr">
        <is>
          <t>valide</t>
        </is>
      </c>
    </row>
    <row r="55">
      <c r="A55" s="21" t="inlineStr">
        <is>
          <t>Groupe ESICOM (Ecole Superieure d'Informatique et de Commerce)</t>
        </is>
      </c>
      <c r="B55" s="21" t="inlineStr">
        <is>
          <t>Grande ecole - informatique / commerce</t>
        </is>
      </c>
      <c r="C55" s="21" t="inlineStr">
        <is>
          <t>Prive</t>
        </is>
      </c>
      <c r="D55" s="21" t="inlineStr">
        <is>
          <t>Abidjan - Plateau</t>
        </is>
      </c>
      <c r="E55" s="21" t="inlineStr">
        <is>
          <t>Bd Roume, entre Hotel Ibis et Saham Assurances, 04 BP 801 Abidjan 04</t>
        </is>
      </c>
      <c r="F55" s="21" t="inlineStr">
        <is>
          <t>+225 27 20 21 40 13</t>
        </is>
      </c>
      <c r="G55" s="21" t="inlineStr">
        <is>
          <t>+225 27 20 33 54 80</t>
        </is>
      </c>
      <c r="H55" s="21" t="inlineStr">
        <is>
          <t>+225 01 01 32 46 09</t>
        </is>
      </c>
      <c r="I55" s="21" t="inlineStr"/>
      <c r="J55" s="21" t="inlineStr">
        <is>
          <t>www.esicom.net</t>
        </is>
      </c>
      <c r="K55" s="21" t="inlineStr">
        <is>
          <t>Directeur des Etudes</t>
        </is>
      </c>
      <c r="L55" s="21" t="inlineStr">
        <is>
          <t>Moyenne</t>
        </is>
      </c>
      <c r="M55" s="21" t="inlineStr">
        <is>
          <t>AnnuaireCI + esicom.info</t>
        </is>
      </c>
      <c r="N55" s="21" t="inlineStr"/>
      <c r="O55" s="22" t="inlineStr">
        <is>
          <t>sans email</t>
        </is>
      </c>
    </row>
    <row r="56">
      <c r="A56" s="21" t="inlineStr">
        <is>
          <t>ESBTP (Ecole Speciale du Batiment et des Travaux Publics)</t>
        </is>
      </c>
      <c r="B56" s="21" t="inlineStr">
        <is>
          <t>Grande ecole - BTP</t>
        </is>
      </c>
      <c r="C56" s="21" t="inlineStr">
        <is>
          <t>Prive</t>
        </is>
      </c>
      <c r="D56" s="21" t="inlineStr">
        <is>
          <t>Abidjan - Plateau (+ Yopougon, Treichville, Riviera)</t>
        </is>
      </c>
      <c r="E56" s="21" t="inlineStr">
        <is>
          <t>Rue du Commerce, Imm. Nassar et Gaddar, Esc. B 3e etage, 01 BP 3694 Abidjan 01</t>
        </is>
      </c>
      <c r="F56" s="21" t="inlineStr">
        <is>
          <t>+225 27 20 32 80 01</t>
        </is>
      </c>
      <c r="G56" s="21" t="inlineStr">
        <is>
          <t>+225 07 07 00 48 18</t>
        </is>
      </c>
      <c r="H56" s="21" t="inlineStr">
        <is>
          <t>+225 05 05 30 88 40</t>
        </is>
      </c>
      <c r="I56" s="21" t="inlineStr">
        <is>
          <t>esbtpab@aviso.ci</t>
        </is>
      </c>
      <c r="J56" s="21" t="inlineStr">
        <is>
          <t>www.esbtp-ci.net</t>
        </is>
      </c>
      <c r="K56" s="21" t="inlineStr">
        <is>
          <t>Directeur des Etudes (par campus)</t>
        </is>
      </c>
      <c r="L56" s="23" t="inlineStr">
        <is>
          <t>Haute</t>
        </is>
      </c>
      <c r="M56" s="21" t="inlineStr">
        <is>
          <t>Page contact esbtp-ci.net</t>
        </is>
      </c>
      <c r="N56" s="21" t="inlineStr">
        <is>
          <t>gratuite</t>
        </is>
      </c>
      <c r="O56" s="23" t="inlineStr">
        <is>
          <t>valide</t>
        </is>
      </c>
    </row>
    <row r="57">
      <c r="A57" s="21" t="inlineStr">
        <is>
          <t>PIGIER Cote d'Ivoire</t>
        </is>
      </c>
      <c r="B57" s="21" t="inlineStr">
        <is>
          <t>Grande ecole - commerce / gestion</t>
        </is>
      </c>
      <c r="C57" s="21" t="inlineStr">
        <is>
          <t>Prive</t>
        </is>
      </c>
      <c r="D57" s="21" t="inlineStr">
        <is>
          <t>Abidjan - Plateau (+ Yopougon, Yamoussoukro)</t>
        </is>
      </c>
      <c r="E57" s="21" t="inlineStr">
        <is>
          <t>Boulevard de la Republique, face ex-Sorbonne, 01 BP 1585 Abidjan 01</t>
        </is>
      </c>
      <c r="F57" s="21" t="inlineStr">
        <is>
          <t>+225 27 20 30 35 00</t>
        </is>
      </c>
      <c r="G57" s="21" t="inlineStr">
        <is>
          <t>+225 07 07 05 78 18</t>
        </is>
      </c>
      <c r="H57" s="21" t="inlineStr">
        <is>
          <t>+225 07 08 33 45 39</t>
        </is>
      </c>
      <c r="I57" s="21" t="inlineStr">
        <is>
          <t>pigierci@pigierci.com</t>
        </is>
      </c>
      <c r="J57" s="21" t="inlineStr">
        <is>
          <t>www.pigierci.com</t>
        </is>
      </c>
      <c r="K57" s="21" t="inlineStr">
        <is>
          <t>Directeur des Etudes (par campus)</t>
        </is>
      </c>
      <c r="L57" s="23" t="inlineStr">
        <is>
          <t>Haute</t>
        </is>
      </c>
      <c r="M57" s="21" t="inlineStr">
        <is>
          <t>Site officiel pigierci.com</t>
        </is>
      </c>
      <c r="N57" s="21" t="inlineStr">
        <is>
          <t>domaine propre</t>
        </is>
      </c>
      <c r="O57" s="23" t="inlineStr">
        <is>
          <t>valide</t>
        </is>
      </c>
    </row>
    <row r="58">
      <c r="A58" s="21" t="inlineStr">
        <is>
          <t>ISTCI - Institut Superieur de Technologie de Cote d'Ivoire</t>
        </is>
      </c>
      <c r="B58" s="21" t="inlineStr">
        <is>
          <t>Institut de technologie - informatique appliquee</t>
        </is>
      </c>
      <c r="C58" s="21" t="inlineStr">
        <is>
          <t>Prive</t>
        </is>
      </c>
      <c r="D58" s="21" t="inlineStr">
        <is>
          <t>Abidjan - Plateau et Cocody</t>
        </is>
      </c>
      <c r="E58" s="21" t="inlineStr">
        <is>
          <t>5 Bd Angoulvant entre l'Alliance Biblique et l'Hotel Ibis Plateau - 01 BP 1482 Abidjan 01</t>
        </is>
      </c>
      <c r="F58" s="21" t="inlineStr">
        <is>
          <t>+225 27 20 22 70 82</t>
        </is>
      </c>
      <c r="G58" s="21" t="inlineStr">
        <is>
          <t>+225 27 20 22 69 22</t>
        </is>
      </c>
      <c r="H58" s="21" t="inlineStr"/>
      <c r="I58" s="21" t="inlineStr"/>
      <c r="J58" s="21" t="inlineStr"/>
      <c r="K58" s="21" t="inlineStr">
        <is>
          <t>Directeur des Etudes</t>
        </is>
      </c>
      <c r="L58" s="21" t="inlineStr">
        <is>
          <t>Moyenne</t>
        </is>
      </c>
      <c r="M58" s="21" t="inlineStr">
        <is>
          <t>AnnuaireCI + Le Grand Frere</t>
        </is>
      </c>
      <c r="N58" s="21" t="inlineStr"/>
      <c r="O58" s="22" t="inlineStr">
        <is>
          <t>sans email</t>
        </is>
      </c>
    </row>
    <row r="59">
      <c r="A59" s="21" t="inlineStr">
        <is>
          <t>Groupe ESCOGET - Ecole Superieure de Commerce de Gestion et de Technologie</t>
        </is>
      </c>
      <c r="B59" s="21" t="inlineStr">
        <is>
          <t>Ecole superieure privee - BTS</t>
        </is>
      </c>
      <c r="C59" s="21" t="inlineStr">
        <is>
          <t>Prive</t>
        </is>
      </c>
      <c r="D59" s="21" t="inlineStr">
        <is>
          <t>Abidjan - Plateau et Riviera Palmeraie</t>
        </is>
      </c>
      <c r="E59" s="21" t="inlineStr">
        <is>
          <t>Avenue Lamblin Residence 1er etage pres de la CNPS Plateau - 01 BP 1368 Abidjan 01</t>
        </is>
      </c>
      <c r="F59" s="21" t="inlineStr">
        <is>
          <t>+225 07 78 39 15 14</t>
        </is>
      </c>
      <c r="G59" s="21" t="inlineStr">
        <is>
          <t>+225 27 22 49 49 62</t>
        </is>
      </c>
      <c r="H59" s="21" t="inlineStr"/>
      <c r="I59" s="21" t="inlineStr">
        <is>
          <t>info@groupescoget.com</t>
        </is>
      </c>
      <c r="J59" s="21" t="inlineStr">
        <is>
          <t>groupescoget.com</t>
        </is>
      </c>
      <c r="K59" s="21" t="inlineStr">
        <is>
          <t>Directeur des Etudes (par campus)</t>
        </is>
      </c>
      <c r="L59" s="21" t="inlineStr">
        <is>
          <t>Moyenne</t>
        </is>
      </c>
      <c r="M59" s="21" t="inlineStr">
        <is>
          <t>AnnuaireCI + groupescoget.com</t>
        </is>
      </c>
      <c r="N59" s="21" t="inlineStr">
        <is>
          <t>domaine propre</t>
        </is>
      </c>
      <c r="O59" s="25" t="inlineStr">
        <is>
          <t>boite pleine</t>
        </is>
      </c>
    </row>
    <row r="60">
      <c r="A60" s="21" t="inlineStr">
        <is>
          <t>ESAM Vridi - Ecole Superieure des Affaires et du Management</t>
        </is>
      </c>
      <c r="B60" s="21" t="inlineStr">
        <is>
          <t>Ecole superieure privee - BTS Licence Master</t>
        </is>
      </c>
      <c r="C60" s="21" t="inlineStr">
        <is>
          <t>Prive</t>
        </is>
      </c>
      <c r="D60" s="21" t="inlineStr">
        <is>
          <t>Abidjan - Port-Bouet</t>
        </is>
      </c>
      <c r="E60" s="21" t="inlineStr">
        <is>
          <t>Zone industrielle de Vridi vers Tripostal Port-Bouet - 15 BP 576 Abidjan 15</t>
        </is>
      </c>
      <c r="F60" s="21" t="inlineStr">
        <is>
          <t>+225 27 21 27 42 00</t>
        </is>
      </c>
      <c r="G60" s="21" t="inlineStr">
        <is>
          <t>+225 27 21 27 42 42</t>
        </is>
      </c>
      <c r="H60" s="21" t="inlineStr"/>
      <c r="I60" s="21" t="inlineStr">
        <is>
          <t>groupeesam.ci.nv@gmail.com</t>
        </is>
      </c>
      <c r="J60" s="21" t="inlineStr"/>
      <c r="K60" s="21" t="inlineStr">
        <is>
          <t>Directeur des Etudes (par campus)</t>
        </is>
      </c>
      <c r="L60" s="21" t="inlineStr">
        <is>
          <t>Moyenne</t>
        </is>
      </c>
      <c r="M60" s="21" t="inlineStr">
        <is>
          <t>AnnuaireCI + Le Grand Frere</t>
        </is>
      </c>
      <c r="N60" s="21" t="inlineStr">
        <is>
          <t>gratuite</t>
        </is>
      </c>
      <c r="O60" s="23" t="inlineStr">
        <is>
          <t>valide</t>
        </is>
      </c>
    </row>
    <row r="61">
      <c r="A61" s="21" t="inlineStr">
        <is>
          <t>AIST Treichville - Academie Internationale des Sciences et Techniques</t>
        </is>
      </c>
      <c r="B61" s="21" t="inlineStr">
        <is>
          <t>Ecole superieure privee</t>
        </is>
      </c>
      <c r="C61" s="21" t="inlineStr">
        <is>
          <t>Prive</t>
        </is>
      </c>
      <c r="D61" s="21" t="inlineStr">
        <is>
          <t>Abidjan - Treichville</t>
        </is>
      </c>
      <c r="E61" s="21" t="inlineStr">
        <is>
          <t>Bd VGE face SOLIBRA Immeuble La Balance Zone 3 Treichville</t>
        </is>
      </c>
      <c r="F61" s="21" t="inlineStr">
        <is>
          <t>+225 01 02 10 68 29</t>
        </is>
      </c>
      <c r="G61" s="21" t="inlineStr">
        <is>
          <t>+225 27 21 24 12 18</t>
        </is>
      </c>
      <c r="H61" s="21" t="inlineStr"/>
      <c r="I61" s="21" t="inlineStr"/>
      <c r="J61" s="21" t="inlineStr">
        <is>
          <t>groupeaist.com</t>
        </is>
      </c>
      <c r="K61" s="21" t="inlineStr">
        <is>
          <t>Directeur des Etudes</t>
        </is>
      </c>
      <c r="L61" s="21" t="inlineStr">
        <is>
          <t>Moyenne</t>
        </is>
      </c>
      <c r="M61" s="21" t="inlineStr">
        <is>
          <t>AnnuaireCI + UPESUP</t>
        </is>
      </c>
      <c r="N61" s="21" t="inlineStr"/>
      <c r="O61" s="22" t="inlineStr">
        <is>
          <t>sans email</t>
        </is>
      </c>
    </row>
    <row r="62">
      <c r="A62" s="21" t="inlineStr">
        <is>
          <t>ESATIC (Ecole Superieure Africaine des TIC)</t>
        </is>
      </c>
      <c r="B62" s="21" t="inlineStr">
        <is>
          <t>Grande ecole publique - numerique</t>
        </is>
      </c>
      <c r="C62" s="21" t="inlineStr">
        <is>
          <t>Public</t>
        </is>
      </c>
      <c r="D62" s="21" t="inlineStr">
        <is>
          <t>Abidjan - Treichville</t>
        </is>
      </c>
      <c r="E62" s="21" t="inlineStr">
        <is>
          <t>KM4 Boulevard de Marseille, 18 BP 1501 Abidjan 18</t>
        </is>
      </c>
      <c r="F62" s="21" t="inlineStr">
        <is>
          <t>+225 27 21 21 81 00</t>
        </is>
      </c>
      <c r="G62" s="21" t="inlineStr">
        <is>
          <t>+225 01 03 10 81 81</t>
        </is>
      </c>
      <c r="H62" s="21" t="inlineStr"/>
      <c r="I62" s="21" t="inlineStr"/>
      <c r="J62" s="21" t="inlineStr">
        <is>
          <t>www.esatic.ci</t>
        </is>
      </c>
      <c r="K62" s="21" t="inlineStr">
        <is>
          <t>Directeur des Etudes / Directeur Pedagogique</t>
        </is>
      </c>
      <c r="L62" s="21" t="inlineStr">
        <is>
          <t>Moyenne</t>
        </is>
      </c>
      <c r="M62" s="21" t="inlineStr">
        <is>
          <t>Site officiel esatic.ci</t>
        </is>
      </c>
      <c r="N62" s="21" t="inlineStr"/>
      <c r="O62" s="22" t="inlineStr">
        <is>
          <t>sans email</t>
        </is>
      </c>
    </row>
    <row r="63">
      <c r="A63" s="21" t="inlineStr">
        <is>
          <t>ESIM Yopougon - Ecole Superieure d'Industrie et de Management</t>
        </is>
      </c>
      <c r="B63" s="21" t="inlineStr">
        <is>
          <t>Grande ecole - industrie et management</t>
        </is>
      </c>
      <c r="C63" s="21" t="inlineStr">
        <is>
          <t>Prive</t>
        </is>
      </c>
      <c r="D63" s="21" t="inlineStr">
        <is>
          <t>Abidjan - Yopougon</t>
        </is>
      </c>
      <c r="E63" s="21" t="inlineStr">
        <is>
          <t>Yopougon Maroc a 300 m du carrefour Anador</t>
        </is>
      </c>
      <c r="F63" s="21" t="inlineStr">
        <is>
          <t>+225 27 23 46 02 10</t>
        </is>
      </c>
      <c r="G63" s="21" t="inlineStr"/>
      <c r="H63" s="21" t="inlineStr"/>
      <c r="I63" s="21" t="inlineStr"/>
      <c r="J63" s="21" t="inlineStr"/>
      <c r="K63" s="21" t="inlineStr">
        <is>
          <t>Directeur des Etudes</t>
        </is>
      </c>
      <c r="L63" s="21" t="inlineStr">
        <is>
          <t>Moyenne</t>
        </is>
      </c>
      <c r="M63" s="21" t="inlineStr">
        <is>
          <t>Le Grand Frere</t>
        </is>
      </c>
      <c r="N63" s="21" t="inlineStr"/>
      <c r="O63" s="22" t="inlineStr">
        <is>
          <t>sans email</t>
        </is>
      </c>
    </row>
    <row r="64">
      <c r="A64" s="21" t="inlineStr">
        <is>
          <t>ESK Yopougon - Ecole Superieure de Commerce et de Gestion</t>
        </is>
      </c>
      <c r="B64" s="21" t="inlineStr">
        <is>
          <t>Grande ecole - commerce / gestion</t>
        </is>
      </c>
      <c r="C64" s="21" t="inlineStr">
        <is>
          <t>Prive</t>
        </is>
      </c>
      <c r="D64" s="21" t="inlineStr">
        <is>
          <t>Abidjan - Yopougon</t>
        </is>
      </c>
      <c r="E64" s="21" t="inlineStr">
        <is>
          <t>Entre la Poste et la Lonaci Toits Rouges Yopougon - 05 BP 2371 Abidjan 05</t>
        </is>
      </c>
      <c r="F64" s="21" t="inlineStr">
        <is>
          <t>+225 27 22 42 17 26</t>
        </is>
      </c>
      <c r="G64" s="21" t="inlineStr">
        <is>
          <t>+225 27 22 52 25 86</t>
        </is>
      </c>
      <c r="H64" s="21" t="inlineStr"/>
      <c r="I64" s="21" t="inlineStr"/>
      <c r="J64" s="21" t="inlineStr"/>
      <c r="K64" s="21" t="inlineStr">
        <is>
          <t>Directeur des Etudes (par campus)</t>
        </is>
      </c>
      <c r="L64" s="21" t="inlineStr">
        <is>
          <t>Moyenne</t>
        </is>
      </c>
      <c r="M64" s="21" t="inlineStr">
        <is>
          <t>GoAfricaOnline</t>
        </is>
      </c>
      <c r="N64" s="21" t="inlineStr"/>
      <c r="O64" s="22" t="inlineStr">
        <is>
          <t>sans email</t>
        </is>
      </c>
    </row>
    <row r="65">
      <c r="A65" s="21" t="inlineStr">
        <is>
          <t>ETIC Yopougon - Ecole Technique Informatique et Commerciale</t>
        </is>
      </c>
      <c r="B65" s="21" t="inlineStr">
        <is>
          <t>Ecole superieure technique - informatique et commerce</t>
        </is>
      </c>
      <c r="C65" s="21" t="inlineStr">
        <is>
          <t>Prive</t>
        </is>
      </c>
      <c r="D65" s="21" t="inlineStr">
        <is>
          <t>Abidjan - Yopougon</t>
        </is>
      </c>
      <c r="E65" s="21" t="inlineStr">
        <is>
          <t>Yopougon quartier Selmer</t>
        </is>
      </c>
      <c r="F65" s="21" t="inlineStr">
        <is>
          <t>+225 07 07 40 88 38</t>
        </is>
      </c>
      <c r="G65" s="21" t="inlineStr">
        <is>
          <t>+225 07 48 74 53 75</t>
        </is>
      </c>
      <c r="H65" s="21" t="inlineStr">
        <is>
          <t>+225 07 07 40 88 38</t>
        </is>
      </c>
      <c r="I65" s="21" t="inlineStr"/>
      <c r="J65" s="21" t="inlineStr">
        <is>
          <t>eticecole.com</t>
        </is>
      </c>
      <c r="K65" s="21" t="inlineStr">
        <is>
          <t>Directeur des Etudes (par campus)</t>
        </is>
      </c>
      <c r="L65" s="21" t="inlineStr">
        <is>
          <t>Moyenne</t>
        </is>
      </c>
      <c r="M65" s="21" t="inlineStr">
        <is>
          <t>Le Grand Frere</t>
        </is>
      </c>
      <c r="N65" s="21" t="inlineStr"/>
      <c r="O65" s="22" t="inlineStr">
        <is>
          <t>sans email</t>
        </is>
      </c>
    </row>
    <row r="66">
      <c r="A66" s="21" t="inlineStr">
        <is>
          <t>Institut LKM Yopougon</t>
        </is>
      </c>
      <c r="B66" s="21" t="inlineStr">
        <is>
          <t>Institut superieur - tertiaire</t>
        </is>
      </c>
      <c r="C66" s="21" t="inlineStr">
        <is>
          <t>Prive</t>
        </is>
      </c>
      <c r="D66" s="21" t="inlineStr">
        <is>
          <t>Abidjan - Yopougon</t>
        </is>
      </c>
      <c r="E66" s="21" t="inlineStr">
        <is>
          <t>Route de Dabou face Manutention Africaine apres le CHU de Yopougon</t>
        </is>
      </c>
      <c r="F66" s="21" t="inlineStr">
        <is>
          <t>+225 27 23 49 60 03</t>
        </is>
      </c>
      <c r="G66" s="21" t="inlineStr">
        <is>
          <t>+225 07 07 32 82 72</t>
        </is>
      </c>
      <c r="H66" s="21" t="inlineStr"/>
      <c r="I66" s="21" t="inlineStr"/>
      <c r="J66" s="21" t="inlineStr"/>
      <c r="K66" s="21" t="inlineStr">
        <is>
          <t>Directeur des Etudes</t>
        </is>
      </c>
      <c r="L66" s="21" t="inlineStr">
        <is>
          <t>Moyenne</t>
        </is>
      </c>
      <c r="M66" s="21" t="inlineStr">
        <is>
          <t>UPESUP</t>
        </is>
      </c>
      <c r="N66" s="21" t="inlineStr"/>
      <c r="O66" s="22" t="inlineStr">
        <is>
          <t>sans email</t>
        </is>
      </c>
    </row>
    <row r="67">
      <c r="A67" s="21" t="inlineStr">
        <is>
          <t>IUPA Yopougon - Institut Universitaire Polytechnique d'Abidjan</t>
        </is>
      </c>
      <c r="B67" s="21" t="inlineStr">
        <is>
          <t>Institut universitaire - polytechnique et tertiaire</t>
        </is>
      </c>
      <c r="C67" s="21" t="inlineStr">
        <is>
          <t>Prive</t>
        </is>
      </c>
      <c r="D67" s="21" t="inlineStr">
        <is>
          <t>Abidjan - Yopougon</t>
        </is>
      </c>
      <c r="E67" s="21" t="inlineStr">
        <is>
          <t>Yopougon Quartier Millionnaire rue des Universites</t>
        </is>
      </c>
      <c r="F67" s="21" t="inlineStr">
        <is>
          <t>+225 07 79 63 51 90</t>
        </is>
      </c>
      <c r="G67" s="21" t="inlineStr">
        <is>
          <t>+225 05 46 83 46 96</t>
        </is>
      </c>
      <c r="H67" s="21" t="inlineStr">
        <is>
          <t>+225 07 79 63 51 90</t>
        </is>
      </c>
      <c r="I67" s="21" t="inlineStr">
        <is>
          <t>groupeiupaismt@gmail.com</t>
        </is>
      </c>
      <c r="J67" s="21" t="inlineStr">
        <is>
          <t>iupa-ismt.ci</t>
        </is>
      </c>
      <c r="K67" s="21" t="inlineStr">
        <is>
          <t>Directeur des Etudes (par campus)</t>
        </is>
      </c>
      <c r="L67" s="23" t="inlineStr">
        <is>
          <t>Haute</t>
        </is>
      </c>
      <c r="M67" s="21" t="inlineStr">
        <is>
          <t>Site officiel iupa-ismt.ci | email : Page contact officielle iupa-ismt.ci</t>
        </is>
      </c>
      <c r="N67" s="21" t="inlineStr">
        <is>
          <t>gratuite</t>
        </is>
      </c>
      <c r="O67" s="24" t="inlineStr">
        <is>
          <t>a verifier</t>
        </is>
      </c>
    </row>
    <row r="68">
      <c r="A68" s="21" t="inlineStr">
        <is>
          <t>ESTP (Ecole Superieure Technique et Professionnelle)</t>
        </is>
      </c>
      <c r="B68" s="21" t="inlineStr">
        <is>
          <t>Ecole superieure technique - BTS</t>
        </is>
      </c>
      <c r="C68" s="21" t="inlineStr">
        <is>
          <t>Prive</t>
        </is>
      </c>
      <c r="D68" s="21" t="inlineStr">
        <is>
          <t>Abidjan - Yopougon Bel Air</t>
        </is>
      </c>
      <c r="E68" s="21" t="inlineStr">
        <is>
          <t>Derriere Station Royal, Bel Air Yopougon, 08 BP 2234 Abidjan 08</t>
        </is>
      </c>
      <c r="F68" s="21" t="inlineStr">
        <is>
          <t>+225 27 23 52 89 18</t>
        </is>
      </c>
      <c r="G68" s="21" t="inlineStr"/>
      <c r="H68" s="21" t="inlineStr"/>
      <c r="I68" s="21" t="inlineStr"/>
      <c r="J68" s="21" t="inlineStr"/>
      <c r="K68" s="21" t="inlineStr">
        <is>
          <t>Directeur des Etudes</t>
        </is>
      </c>
      <c r="L68" s="21" t="inlineStr">
        <is>
          <t>Moyenne</t>
        </is>
      </c>
      <c r="M68" s="21" t="inlineStr">
        <is>
          <t>AnnuaireCI + Abidjan.net Pages Jaunes</t>
        </is>
      </c>
      <c r="N68" s="21" t="inlineStr"/>
      <c r="O68" s="22" t="inlineStr">
        <is>
          <t>sans email</t>
        </is>
      </c>
    </row>
    <row r="69">
      <c r="A69" s="21" t="inlineStr">
        <is>
          <t>Lycee Municipal d'Abobo</t>
        </is>
      </c>
      <c r="B69" s="21" t="inlineStr">
        <is>
          <t>Lycee public</t>
        </is>
      </c>
      <c r="C69" s="21" t="inlineStr">
        <is>
          <t>Public</t>
        </is>
      </c>
      <c r="D69" s="21" t="inlineStr">
        <is>
          <t>Abidjan Abobo</t>
        </is>
      </c>
      <c r="E69" s="21" t="inlineStr">
        <is>
          <t>Commune d'Abobo quartier Avocatier Nguessankoi</t>
        </is>
      </c>
      <c r="F69" s="21" t="inlineStr">
        <is>
          <t>+225 05 06 80 53 60</t>
        </is>
      </c>
      <c r="G69" s="21" t="inlineStr"/>
      <c r="H69" s="21" t="inlineStr"/>
      <c r="I69" s="21" t="inlineStr"/>
      <c r="J69" s="21" t="inlineStr"/>
      <c r="K69" s="21" t="inlineStr">
        <is>
          <t>Proviseur / Censeur</t>
        </is>
      </c>
      <c r="L69" s="21" t="inlineStr">
        <is>
          <t>Moyenne</t>
        </is>
      </c>
      <c r="M69" s="21" t="inlineStr">
        <is>
          <t>annuaire cartographique en ligne</t>
        </is>
      </c>
      <c r="N69" s="21" t="inlineStr"/>
      <c r="O69" s="22" t="inlineStr">
        <is>
          <t>sans email</t>
        </is>
      </c>
    </row>
    <row r="70">
      <c r="A70" s="21" t="inlineStr">
        <is>
          <t>Universite Nangui Abrogoua (UNA)</t>
        </is>
      </c>
      <c r="B70" s="21" t="inlineStr">
        <is>
          <t>Universite publique</t>
        </is>
      </c>
      <c r="C70" s="21" t="inlineStr">
        <is>
          <t>Public</t>
        </is>
      </c>
      <c r="D70" s="21" t="inlineStr">
        <is>
          <t>Abidjan Abobo-Adjame</t>
        </is>
      </c>
      <c r="E70" s="21" t="inlineStr">
        <is>
          <t>02 BP 801 Abidjan 02</t>
        </is>
      </c>
      <c r="F70" s="21" t="inlineStr">
        <is>
          <t>+225 05 85 07 58 05</t>
        </is>
      </c>
      <c r="G70" s="21" t="inlineStr"/>
      <c r="H70" s="21" t="inlineStr"/>
      <c r="I70" s="21" t="inlineStr">
        <is>
          <t>info@univ-na.ci</t>
        </is>
      </c>
      <c r="J70" s="21" t="inlineStr">
        <is>
          <t>univ-na.ci</t>
        </is>
      </c>
      <c r="K70" s="21" t="inlineStr">
        <is>
          <t>Directeur des Etudes</t>
        </is>
      </c>
      <c r="L70" s="23" t="inlineStr">
        <is>
          <t>Haute</t>
        </is>
      </c>
      <c r="M70" s="21" t="inlineStr">
        <is>
          <t>univ-na.ci / alluniversity.info</t>
        </is>
      </c>
      <c r="N70" s="21" t="inlineStr">
        <is>
          <t>domaine propre</t>
        </is>
      </c>
      <c r="O70" s="23" t="inlineStr">
        <is>
          <t>valide</t>
        </is>
      </c>
    </row>
    <row r="71">
      <c r="A71" s="21" t="inlineStr">
        <is>
          <t>BEM Ecole de Banque et de Finance</t>
        </is>
      </c>
      <c r="B71" s="21" t="inlineStr">
        <is>
          <t>Ecole superieure - banque finance assurance</t>
        </is>
      </c>
      <c r="C71" s="21" t="inlineStr">
        <is>
          <t>Prive</t>
        </is>
      </c>
      <c r="D71" s="21" t="inlineStr">
        <is>
          <t>Abidjan Cocody</t>
        </is>
      </c>
      <c r="E71" s="21" t="inlineStr">
        <is>
          <t>Riviera Bonoumin face Abidjan Mall BP 2607 Abidjan</t>
        </is>
      </c>
      <c r="F71" s="21" t="inlineStr">
        <is>
          <t>+225 27 21 77 67 41</t>
        </is>
      </c>
      <c r="G71" s="21" t="inlineStr">
        <is>
          <t>+225 07 77 49 77 49</t>
        </is>
      </c>
      <c r="H71" s="21" t="inlineStr"/>
      <c r="I71" s="21" t="inlineStr">
        <is>
          <t>contact@bem.ci</t>
        </is>
      </c>
      <c r="J71" s="21" t="inlineStr">
        <is>
          <t>https://bem.ci</t>
        </is>
      </c>
      <c r="K71" s="21" t="inlineStr">
        <is>
          <t>Directeur des Etudes</t>
        </is>
      </c>
      <c r="L71" s="23" t="inlineStr">
        <is>
          <t>Haute</t>
        </is>
      </c>
      <c r="M71" s="21" t="inlineStr">
        <is>
          <t>bem.ci</t>
        </is>
      </c>
      <c r="N71" s="21" t="inlineStr">
        <is>
          <t>domaine propre</t>
        </is>
      </c>
      <c r="O71" s="23" t="inlineStr">
        <is>
          <t>valide</t>
        </is>
      </c>
    </row>
    <row r="72">
      <c r="A72" s="21" t="inlineStr">
        <is>
          <t>Ecole Superieure de Gestion (ESG)</t>
        </is>
      </c>
      <c r="B72" s="21" t="inlineStr">
        <is>
          <t>Grande ecole privee</t>
        </is>
      </c>
      <c r="C72" s="21" t="inlineStr">
        <is>
          <t>Prive</t>
        </is>
      </c>
      <c r="D72" s="21" t="inlineStr">
        <is>
          <t>Abidjan Cocody</t>
        </is>
      </c>
      <c r="E72" s="21" t="inlineStr">
        <is>
          <t>Cocody Abidjan</t>
        </is>
      </c>
      <c r="F72" s="21" t="inlineStr">
        <is>
          <t>+225 07 08 58 08 88</t>
        </is>
      </c>
      <c r="G72" s="21" t="inlineStr"/>
      <c r="H72" s="21" t="inlineStr"/>
      <c r="I72" s="21" t="inlineStr">
        <is>
          <t>infos@esg-ci.com</t>
        </is>
      </c>
      <c r="J72" s="21" t="inlineStr">
        <is>
          <t>esg-ci.com</t>
        </is>
      </c>
      <c r="K72" s="21" t="inlineStr">
        <is>
          <t>Directeur des Etudes</t>
        </is>
      </c>
      <c r="L72" s="21" t="inlineStr">
        <is>
          <t>Moyenne</t>
        </is>
      </c>
      <c r="M72" s="21" t="inlineStr">
        <is>
          <t>legrandfrere.africa</t>
        </is>
      </c>
      <c r="N72" s="21" t="inlineStr">
        <is>
          <t>domaine propre</t>
        </is>
      </c>
      <c r="O72" s="23" t="inlineStr">
        <is>
          <t>valide</t>
        </is>
      </c>
    </row>
    <row r="73">
      <c r="A73" s="21" t="inlineStr">
        <is>
          <t>EGT Ecole de la Geomatique et du Territoire</t>
        </is>
      </c>
      <c r="B73" s="21" t="inlineStr">
        <is>
          <t>Ecole superieure - topographie geometre geomatique</t>
        </is>
      </c>
      <c r="C73" s="21" t="inlineStr">
        <is>
          <t>Prive</t>
        </is>
      </c>
      <c r="D73" s="21" t="inlineStr">
        <is>
          <t>Abidjan Cocody</t>
        </is>
      </c>
      <c r="E73" s="21" t="inlineStr">
        <is>
          <t>Cocody Abatta 27 BP 753 Abidjan 27</t>
        </is>
      </c>
      <c r="F73" s="21" t="inlineStr">
        <is>
          <t>+225 07 05 20 74 85</t>
        </is>
      </c>
      <c r="G73" s="21" t="inlineStr"/>
      <c r="H73" s="21" t="inlineStr"/>
      <c r="I73" s="21" t="inlineStr">
        <is>
          <t>david.niamien@egt.ci</t>
        </is>
      </c>
      <c r="J73" s="21" t="inlineStr">
        <is>
          <t>https://egt.ci</t>
        </is>
      </c>
      <c r="K73" s="21" t="inlineStr">
        <is>
          <t>Directeur des Etudes</t>
        </is>
      </c>
      <c r="L73" s="23" t="inlineStr">
        <is>
          <t>Haute</t>
        </is>
      </c>
      <c r="M73" s="21" t="inlineStr">
        <is>
          <t>egt.ci</t>
        </is>
      </c>
      <c r="N73" s="21" t="inlineStr">
        <is>
          <t>domaine propre</t>
        </is>
      </c>
      <c r="O73" s="23" t="inlineStr">
        <is>
          <t>valide</t>
        </is>
      </c>
    </row>
    <row r="74">
      <c r="A74" s="21" t="inlineStr">
        <is>
          <t>GEA Groupe Ecoles Abidjan</t>
        </is>
      </c>
      <c r="B74" s="21" t="inlineStr">
        <is>
          <t>Groupe d ecoles - energie mines petrole et comptabilite finance</t>
        </is>
      </c>
      <c r="C74" s="21" t="inlineStr">
        <is>
          <t>Prive</t>
        </is>
      </c>
      <c r="D74" s="21" t="inlineStr">
        <is>
          <t>Abidjan Cocody</t>
        </is>
      </c>
      <c r="E74" s="21" t="inlineStr">
        <is>
          <t>Impasse le Chandelier derriere le BURIDA Deux-Plateaux Vallon 01 BP 3874 Abidjan 01</t>
        </is>
      </c>
      <c r="F74" s="21" t="inlineStr">
        <is>
          <t>+225 05 74 27 04 97</t>
        </is>
      </c>
      <c r="G74" s="21" t="inlineStr"/>
      <c r="H74" s="21" t="inlineStr"/>
      <c r="I74" s="21" t="inlineStr">
        <is>
          <t>info@gea-ci.com</t>
        </is>
      </c>
      <c r="J74" s="21" t="inlineStr">
        <is>
          <t>https://www.gea-ci.com</t>
        </is>
      </c>
      <c r="K74" s="21" t="inlineStr">
        <is>
          <t>Directeur des Etudes</t>
        </is>
      </c>
      <c r="L74" s="21" t="inlineStr">
        <is>
          <t>Moyenne</t>
        </is>
      </c>
      <c r="M74" s="21" t="inlineStr">
        <is>
          <t>annuaireci.com</t>
        </is>
      </c>
      <c r="N74" s="21" t="inlineStr">
        <is>
          <t>domaine propre</t>
        </is>
      </c>
      <c r="O74" s="25" t="inlineStr">
        <is>
          <t>boite pleine</t>
        </is>
      </c>
    </row>
    <row r="75">
      <c r="A75" s="21" t="inlineStr">
        <is>
          <t>ISAECI</t>
        </is>
      </c>
      <c r="B75" s="21" t="inlineStr">
        <is>
          <t>Institut superieur - finance comptabilite gestion</t>
        </is>
      </c>
      <c r="C75" s="21" t="inlineStr">
        <is>
          <t>Prive</t>
        </is>
      </c>
      <c r="D75" s="21" t="inlineStr">
        <is>
          <t>Abidjan Cocody</t>
        </is>
      </c>
      <c r="E75" s="21" t="inlineStr">
        <is>
          <t>Riviera 2 Carrefour Doraville</t>
        </is>
      </c>
      <c r="F75" s="21" t="inlineStr">
        <is>
          <t>+225 27 22 43 54 05</t>
        </is>
      </c>
      <c r="G75" s="21" t="inlineStr">
        <is>
          <t>+225 07 09 74 28 16</t>
        </is>
      </c>
      <c r="H75" s="21" t="inlineStr"/>
      <c r="I75" s="21" t="inlineStr">
        <is>
          <t>contact@isaeci.com</t>
        </is>
      </c>
      <c r="J75" s="21" t="inlineStr">
        <is>
          <t>https://isaeci.com</t>
        </is>
      </c>
      <c r="K75" s="21" t="inlineStr">
        <is>
          <t>Directeur des Etudes</t>
        </is>
      </c>
      <c r="L75" s="23" t="inlineStr">
        <is>
          <t>Haute</t>
        </is>
      </c>
      <c r="M75" s="21" t="inlineStr">
        <is>
          <t>isaeci.com</t>
        </is>
      </c>
      <c r="N75" s="21" t="inlineStr">
        <is>
          <t>domaine propre</t>
        </is>
      </c>
      <c r="O75" s="23" t="inlineStr">
        <is>
          <t>valide</t>
        </is>
      </c>
    </row>
    <row r="76">
      <c r="A76" s="21" t="inlineStr">
        <is>
          <t>IUSS Institut Universitaire des Sciences de la Sante de Cote d Ivoire</t>
        </is>
      </c>
      <c r="B76" s="21" t="inlineStr">
        <is>
          <t>Institut superieur - sante paramedical infirmiers sages-femmes</t>
        </is>
      </c>
      <c r="C76" s="21" t="inlineStr">
        <is>
          <t>Prive</t>
        </is>
      </c>
      <c r="D76" s="21" t="inlineStr">
        <is>
          <t>Abidjan Cocody</t>
        </is>
      </c>
      <c r="E76" s="21" t="inlineStr">
        <is>
          <t>Riviera Bonoumin 04 BP 1390 Abidjan</t>
        </is>
      </c>
      <c r="F76" s="21" t="inlineStr">
        <is>
          <t>+225 05 74 74 70 65</t>
        </is>
      </c>
      <c r="G76" s="21" t="inlineStr">
        <is>
          <t>+225 07 07 11 00 48</t>
        </is>
      </c>
      <c r="H76" s="21" t="inlineStr"/>
      <c r="I76" s="21" t="inlineStr"/>
      <c r="J76" s="21" t="inlineStr"/>
      <c r="K76" s="21" t="inlineStr">
        <is>
          <t>Directeur des Etudes</t>
        </is>
      </c>
      <c r="L76" s="21" t="inlineStr">
        <is>
          <t>Moyenne</t>
        </is>
      </c>
      <c r="M76" s="21" t="inlineStr">
        <is>
          <t>edukiya.com</t>
        </is>
      </c>
      <c r="N76" s="21" t="inlineStr"/>
      <c r="O76" s="22" t="inlineStr">
        <is>
          <t>sans email</t>
        </is>
      </c>
    </row>
    <row r="77">
      <c r="A77" s="21" t="inlineStr">
        <is>
          <t>Lycee Technique d'Abidjan (LTA Cocody)</t>
        </is>
      </c>
      <c r="B77" s="21" t="inlineStr">
        <is>
          <t>Lycee technique</t>
        </is>
      </c>
      <c r="C77" s="21" t="inlineStr">
        <is>
          <t>Public</t>
        </is>
      </c>
      <c r="D77" s="21" t="inlineStr">
        <is>
          <t>Abidjan Cocody</t>
        </is>
      </c>
      <c r="E77" s="21" t="inlineStr">
        <is>
          <t>Rue du Lycee Technique Cocody Abidjan</t>
        </is>
      </c>
      <c r="F77" s="21" t="inlineStr">
        <is>
          <t>+225 27 22 40 60 87</t>
        </is>
      </c>
      <c r="G77" s="21" t="inlineStr"/>
      <c r="H77" s="21" t="inlineStr"/>
      <c r="I77" s="21" t="inlineStr"/>
      <c r="J77" s="21" t="inlineStr">
        <is>
          <t>lta-ci.net</t>
        </is>
      </c>
      <c r="K77" s="21" t="inlineStr">
        <is>
          <t>Proviseur / Censeur</t>
        </is>
      </c>
      <c r="L77" s="23" t="inlineStr">
        <is>
          <t>Haute</t>
        </is>
      </c>
      <c r="M77" s="21" t="inlineStr">
        <is>
          <t>lta-ci.net</t>
        </is>
      </c>
      <c r="N77" s="21" t="inlineStr"/>
      <c r="O77" s="22" t="inlineStr">
        <is>
          <t>sans email</t>
        </is>
      </c>
    </row>
    <row r="78">
      <c r="A78" s="21" t="inlineStr">
        <is>
          <t>Universite Charles Louis de Montesquieu (UCLM)</t>
        </is>
      </c>
      <c r="B78" s="21" t="inlineStr">
        <is>
          <t>Universite privee</t>
        </is>
      </c>
      <c r="C78" s="21" t="inlineStr">
        <is>
          <t>Prive</t>
        </is>
      </c>
      <c r="D78" s="21" t="inlineStr">
        <is>
          <t>Abidjan Cocody</t>
        </is>
      </c>
      <c r="E78" s="21" t="inlineStr">
        <is>
          <t>Cocody Cite Mermoz</t>
        </is>
      </c>
      <c r="F78" s="21" t="inlineStr">
        <is>
          <t>+225 07 07 87 25 41</t>
        </is>
      </c>
      <c r="G78" s="21" t="inlineStr">
        <is>
          <t>+225 01 42 97 21 65</t>
        </is>
      </c>
      <c r="H78" s="21" t="inlineStr"/>
      <c r="I78" s="21" t="inlineStr"/>
      <c r="J78" s="21" t="inlineStr"/>
      <c r="K78" s="21" t="inlineStr">
        <is>
          <t>Directeur des Etudes</t>
        </is>
      </c>
      <c r="L78" s="21" t="inlineStr">
        <is>
          <t>Moyenne</t>
        </is>
      </c>
      <c r="M78" s="21" t="inlineStr">
        <is>
          <t>annuaireci.com / upesup.ci</t>
        </is>
      </c>
      <c r="N78" s="21" t="inlineStr"/>
      <c r="O78" s="22" t="inlineStr">
        <is>
          <t>sans email</t>
        </is>
      </c>
    </row>
    <row r="79">
      <c r="A79" s="21" t="inlineStr">
        <is>
          <t>Universite Methodiste de Cote d'Ivoire (UMECI)</t>
        </is>
      </c>
      <c r="B79" s="21" t="inlineStr">
        <is>
          <t>Universite privee</t>
        </is>
      </c>
      <c r="C79" s="21" t="inlineStr">
        <is>
          <t>Prive confessionnel</t>
        </is>
      </c>
      <c r="D79" s="21" t="inlineStr">
        <is>
          <t>Abidjan Cocody</t>
        </is>
      </c>
      <c r="E79" s="21" t="inlineStr">
        <is>
          <t>Boulevard de l'Universite face CHU de Cocody</t>
        </is>
      </c>
      <c r="F79" s="21" t="inlineStr">
        <is>
          <t>+225 27 22 44 66 68</t>
        </is>
      </c>
      <c r="G79" s="21" t="inlineStr">
        <is>
          <t>+225 27 22 44 90 77</t>
        </is>
      </c>
      <c r="H79" s="21" t="inlineStr"/>
      <c r="I79" s="21" t="inlineStr"/>
      <c r="J79" s="21" t="inlineStr">
        <is>
          <t>umeci.org.ci</t>
        </is>
      </c>
      <c r="K79" s="21" t="inlineStr">
        <is>
          <t>Directeur des Etudes</t>
        </is>
      </c>
      <c r="L79" s="23" t="inlineStr">
        <is>
          <t>Haute</t>
        </is>
      </c>
      <c r="M79" s="21" t="inlineStr">
        <is>
          <t>umeci.org.ci / upesup.ci</t>
        </is>
      </c>
      <c r="N79" s="21" t="inlineStr"/>
      <c r="O79" s="22" t="inlineStr">
        <is>
          <t>sans email</t>
        </is>
      </c>
    </row>
    <row r="80">
      <c r="A80" s="21" t="inlineStr">
        <is>
          <t>Universite Virtuelle de Cote d'Ivoire (UVCI)</t>
        </is>
      </c>
      <c r="B80" s="21" t="inlineStr">
        <is>
          <t>Universite publique</t>
        </is>
      </c>
      <c r="C80" s="21" t="inlineStr">
        <is>
          <t>Public</t>
        </is>
      </c>
      <c r="D80" s="21" t="inlineStr">
        <is>
          <t>Abidjan Cocody</t>
        </is>
      </c>
      <c r="E80" s="21" t="inlineStr">
        <is>
          <t>Cocody Deux-Plateaux rue K4 a 200 m apres le Tribunal du Commerce</t>
        </is>
      </c>
      <c r="F80" s="21" t="inlineStr"/>
      <c r="G80" s="21" t="inlineStr"/>
      <c r="H80" s="21" t="inlineStr"/>
      <c r="I80" s="21" t="inlineStr">
        <is>
          <t>secretariat@uvci.edu.ci</t>
        </is>
      </c>
      <c r="J80" s="21" t="inlineStr">
        <is>
          <t>uvci.edu.ci</t>
        </is>
      </c>
      <c r="K80" s="21" t="inlineStr">
        <is>
          <t>Directeur des Etudes</t>
        </is>
      </c>
      <c r="L80" s="23" t="inlineStr">
        <is>
          <t>Haute</t>
        </is>
      </c>
      <c r="M80" s="21" t="inlineStr">
        <is>
          <t>uvci.edu.ci</t>
        </is>
      </c>
      <c r="N80" s="21" t="inlineStr">
        <is>
          <t>domaine propre</t>
        </is>
      </c>
      <c r="O80" s="23" t="inlineStr">
        <is>
          <t>valide</t>
        </is>
      </c>
    </row>
    <row r="81">
      <c r="A81" s="21" t="inlineStr">
        <is>
          <t>Lycee Professionnel Hotelier d'Abidjan (LPHA Riviera)</t>
        </is>
      </c>
      <c r="B81" s="21" t="inlineStr">
        <is>
          <t>Lycee professionnel</t>
        </is>
      </c>
      <c r="C81" s="21" t="inlineStr">
        <is>
          <t>Public</t>
        </is>
      </c>
      <c r="D81" s="21" t="inlineStr">
        <is>
          <t>Abidjan Cocody Riviera Golf</t>
        </is>
      </c>
      <c r="E81" s="21" t="inlineStr">
        <is>
          <t>12 rue Martin Luther King derriere l'Ambassade des USA Riviera Golf Cocody</t>
        </is>
      </c>
      <c r="F81" s="21" t="inlineStr">
        <is>
          <t>+225 27 22 43 00 73</t>
        </is>
      </c>
      <c r="G81" s="21" t="inlineStr">
        <is>
          <t>+225 27 22 43 25 88</t>
        </is>
      </c>
      <c r="H81" s="21" t="inlineStr"/>
      <c r="I81" s="21" t="inlineStr">
        <is>
          <t>lyceeprofhotelier@yahoo.fr</t>
        </is>
      </c>
      <c r="J81" s="21" t="inlineStr">
        <is>
          <t>lphr.ci</t>
        </is>
      </c>
      <c r="K81" s="21" t="inlineStr">
        <is>
          <t>Proviseur / Censeur</t>
        </is>
      </c>
      <c r="L81" s="23" t="inlineStr">
        <is>
          <t>Haute</t>
        </is>
      </c>
      <c r="M81" s="21" t="inlineStr">
        <is>
          <t>lyceeprohotelier.sch-ci.org / lphr.ci</t>
        </is>
      </c>
      <c r="N81" s="21" t="inlineStr">
        <is>
          <t>gratuite</t>
        </is>
      </c>
      <c r="O81" s="23" t="inlineStr">
        <is>
          <t>valide</t>
        </is>
      </c>
    </row>
    <row r="82">
      <c r="A82" s="21" t="inlineStr">
        <is>
          <t>AGEFOP - Agence Nationale de la Formation Professionnelle</t>
        </is>
      </c>
      <c r="B82" s="21" t="inlineStr">
        <is>
          <t>Centre de formation professionnelle agree</t>
        </is>
      </c>
      <c r="C82" s="21" t="inlineStr">
        <is>
          <t>Public</t>
        </is>
      </c>
      <c r="D82" s="21" t="inlineStr">
        <is>
          <t>Abidjan Marcory Zone 4</t>
        </is>
      </c>
      <c r="E82" s="21" t="inlineStr">
        <is>
          <t>Angle rue Canal de Bietry et rue Pierre et Marie Curie Zone 4C Marcory</t>
        </is>
      </c>
      <c r="F82" s="21" t="inlineStr">
        <is>
          <t>+225 07 77 74 93 80</t>
        </is>
      </c>
      <c r="G82" s="21" t="inlineStr"/>
      <c r="H82" s="21" t="inlineStr"/>
      <c r="I82" s="21" t="inlineStr"/>
      <c r="J82" s="21" t="inlineStr">
        <is>
          <t>agefop.ci</t>
        </is>
      </c>
      <c r="K82" s="21" t="inlineStr">
        <is>
          <t>Responsable Formation / Directeur des Etudes</t>
        </is>
      </c>
      <c r="L82" s="21" t="inlineStr">
        <is>
          <t>Moyenne</t>
        </is>
      </c>
      <c r="M82" s="21" t="inlineStr">
        <is>
          <t>agefop.ci / annuaireci.com</t>
        </is>
      </c>
      <c r="N82" s="21" t="inlineStr"/>
      <c r="O82" s="22" t="inlineStr">
        <is>
          <t>sans email</t>
        </is>
      </c>
    </row>
    <row r="83">
      <c r="A83" s="21" t="inlineStr">
        <is>
          <t>Ecole Superieure des Affaires et de Management (ESAM)</t>
        </is>
      </c>
      <c r="B83" s="21" t="inlineStr">
        <is>
          <t>Grande ecole privee</t>
        </is>
      </c>
      <c r="C83" s="21" t="inlineStr">
        <is>
          <t>Prive</t>
        </is>
      </c>
      <c r="D83" s="21" t="inlineStr">
        <is>
          <t>Abidjan Treichville Zone 2</t>
        </is>
      </c>
      <c r="E83" s="21" t="inlineStr">
        <is>
          <t>Zone 2 Immeuble Roche 4eme etage face Gare de Bassam Boulevard VGE 15 BP 576 Abidjan 15</t>
        </is>
      </c>
      <c r="F83" s="21" t="inlineStr">
        <is>
          <t>+225 27 21 25 46 00</t>
        </is>
      </c>
      <c r="G83" s="21" t="inlineStr">
        <is>
          <t>+225 27 21 25 64 00</t>
        </is>
      </c>
      <c r="H83" s="21" t="inlineStr"/>
      <c r="I83" s="21" t="inlineStr"/>
      <c r="J83" s="21" t="inlineStr"/>
      <c r="K83" s="21" t="inlineStr">
        <is>
          <t>Directeur des Etudes</t>
        </is>
      </c>
      <c r="L83" s="21" t="inlineStr">
        <is>
          <t>Moyenne</t>
        </is>
      </c>
      <c r="M83" s="21" t="inlineStr">
        <is>
          <t>emploi.ci / excelafrica.com</t>
        </is>
      </c>
      <c r="N83" s="21" t="inlineStr"/>
      <c r="O83" s="22" t="inlineStr">
        <is>
          <t>sans email</t>
        </is>
      </c>
    </row>
    <row r="84">
      <c r="A84" s="21" t="inlineStr">
        <is>
          <t>ARSTM Academie Regionale des Sciences et Techniques de la Mer</t>
        </is>
      </c>
      <c r="B84" s="21" t="inlineStr">
        <is>
          <t>Academie maritime - transport maritime et navigation</t>
        </is>
      </c>
      <c r="C84" s="21" t="inlineStr">
        <is>
          <t>Public</t>
        </is>
      </c>
      <c r="D84" s="21" t="inlineStr">
        <is>
          <t>Abidjan Yopougon</t>
        </is>
      </c>
      <c r="E84" s="21" t="inlineStr">
        <is>
          <t>V 158 Abidjan Republique de Cote d Ivoire</t>
        </is>
      </c>
      <c r="F84" s="21" t="inlineStr">
        <is>
          <t>+225 27 23 46 08 08</t>
        </is>
      </c>
      <c r="G84" s="21" t="inlineStr">
        <is>
          <t>+225 01 01 08 08 02</t>
        </is>
      </c>
      <c r="H84" s="21" t="inlineStr"/>
      <c r="I84" s="21" t="inlineStr">
        <is>
          <t>arstminfo@arstm.net</t>
        </is>
      </c>
      <c r="J84" s="21" t="inlineStr">
        <is>
          <t>https://arstm.net</t>
        </is>
      </c>
      <c r="K84" s="21" t="inlineStr">
        <is>
          <t>Directeur des Etudes</t>
        </is>
      </c>
      <c r="L84" s="23" t="inlineStr">
        <is>
          <t>Haute</t>
        </is>
      </c>
      <c r="M84" s="21" t="inlineStr">
        <is>
          <t>arstm.net</t>
        </is>
      </c>
      <c r="N84" s="21" t="inlineStr">
        <is>
          <t>domaine propre</t>
        </is>
      </c>
      <c r="O84" s="23" t="inlineStr">
        <is>
          <t>valide</t>
        </is>
      </c>
    </row>
    <row r="85">
      <c r="A85" s="21" t="inlineStr">
        <is>
          <t>CFOMIS</t>
        </is>
      </c>
      <c r="B85" s="21" t="inlineStr">
        <is>
          <t>Ecole de sante - infirmiers sages-femmes auxiliaires de soins</t>
        </is>
      </c>
      <c r="C85" s="21" t="inlineStr">
        <is>
          <t>Prive</t>
        </is>
      </c>
      <c r="D85" s="21" t="inlineStr">
        <is>
          <t>Abidjan Yopougon</t>
        </is>
      </c>
      <c r="E85" s="21" t="inlineStr">
        <is>
          <t>Yopougon quartier Millionnaire carrefour Antenne apres le lycee de jeunes filles</t>
        </is>
      </c>
      <c r="F85" s="21" t="inlineStr">
        <is>
          <t>+225 27 23 48 90 95</t>
        </is>
      </c>
      <c r="G85" s="21" t="inlineStr">
        <is>
          <t>+225 07 67 65 17 67</t>
        </is>
      </c>
      <c r="H85" s="21" t="inlineStr"/>
      <c r="I85" s="21" t="inlineStr">
        <is>
          <t>infos@cfomis-ci.com</t>
        </is>
      </c>
      <c r="J85" s="21" t="inlineStr">
        <is>
          <t>https://cfomis-ci.com</t>
        </is>
      </c>
      <c r="K85" s="21" t="inlineStr">
        <is>
          <t>Directeur des Etudes</t>
        </is>
      </c>
      <c r="L85" s="23" t="inlineStr">
        <is>
          <t>Haute</t>
        </is>
      </c>
      <c r="M85" s="21" t="inlineStr">
        <is>
          <t>cfomis-ci.com</t>
        </is>
      </c>
      <c r="N85" s="21" t="inlineStr">
        <is>
          <t>domaine propre</t>
        </is>
      </c>
      <c r="O85" s="25" t="inlineStr">
        <is>
          <t>boite pleine</t>
        </is>
      </c>
    </row>
    <row r="86">
      <c r="A86" s="21" t="inlineStr">
        <is>
          <t>ESCG La Sorbonne - Groupe La Sorbonne</t>
        </is>
      </c>
      <c r="B86" s="21" t="inlineStr">
        <is>
          <t>Grande ecole privee</t>
        </is>
      </c>
      <c r="C86" s="21" t="inlineStr">
        <is>
          <t>Prive</t>
        </is>
      </c>
      <c r="D86" s="21" t="inlineStr">
        <is>
          <t>Abidjan Yopougon</t>
        </is>
      </c>
      <c r="E86" s="21" t="inlineStr">
        <is>
          <t>20 BP 105 Abidjan 20 Yopougon Ananeraie Carrefour de la Sorbonne derriere Eglise Ste Elisabeth</t>
        </is>
      </c>
      <c r="F86" s="21" t="inlineStr">
        <is>
          <t>+225 27 23 46 85 82</t>
        </is>
      </c>
      <c r="G86" s="21" t="inlineStr">
        <is>
          <t>+225 07 08 91 46 30</t>
        </is>
      </c>
      <c r="H86" s="21" t="inlineStr"/>
      <c r="I86" s="21" t="inlineStr"/>
      <c r="J86" s="21" t="inlineStr">
        <is>
          <t>groupelasorbonne.ci</t>
        </is>
      </c>
      <c r="K86" s="21" t="inlineStr">
        <is>
          <t>Directeur des Etudes</t>
        </is>
      </c>
      <c r="L86" s="23" t="inlineStr">
        <is>
          <t>Haute</t>
        </is>
      </c>
      <c r="M86" s="21" t="inlineStr">
        <is>
          <t>groupelasorbonne.ci / annuaireci.com</t>
        </is>
      </c>
      <c r="N86" s="21" t="inlineStr"/>
      <c r="O86" s="22" t="inlineStr">
        <is>
          <t>sans email</t>
        </is>
      </c>
    </row>
    <row r="87">
      <c r="A87" s="21" t="inlineStr">
        <is>
          <t>Groupe ETP-ESMIT</t>
        </is>
      </c>
      <c r="B87" s="21" t="inlineStr">
        <is>
          <t>Ecole superieure - transit logistique transport</t>
        </is>
      </c>
      <c r="C87" s="21" t="inlineStr">
        <is>
          <t>Prive</t>
        </is>
      </c>
      <c r="D87" s="21" t="inlineStr">
        <is>
          <t>Abidjan Yopougon</t>
        </is>
      </c>
      <c r="E87" s="21" t="inlineStr">
        <is>
          <t>Carrefour Ancien Bel Air a 100 metres de JD Edition</t>
        </is>
      </c>
      <c r="F87" s="21" t="inlineStr">
        <is>
          <t>+225 07 08 08 89 80</t>
        </is>
      </c>
      <c r="G87" s="21" t="inlineStr">
        <is>
          <t>+225 01 40 19 53 30</t>
        </is>
      </c>
      <c r="H87" s="21" t="inlineStr"/>
      <c r="I87" s="21" t="inlineStr">
        <is>
          <t>groupe.esmit@gmail.com</t>
        </is>
      </c>
      <c r="J87" s="21" t="inlineStr">
        <is>
          <t>https://www.esmit-ci.com</t>
        </is>
      </c>
      <c r="K87" s="21" t="inlineStr">
        <is>
          <t>Directeur des Etudes</t>
        </is>
      </c>
      <c r="L87" s="23" t="inlineStr">
        <is>
          <t>Haute</t>
        </is>
      </c>
      <c r="M87" s="21" t="inlineStr">
        <is>
          <t>esmit-ci.com</t>
        </is>
      </c>
      <c r="N87" s="21" t="inlineStr">
        <is>
          <t>gratuite</t>
        </is>
      </c>
      <c r="O87" s="23" t="inlineStr">
        <is>
          <t>valide</t>
        </is>
      </c>
    </row>
    <row r="88">
      <c r="A88" s="21" t="inlineStr">
        <is>
          <t>IMGH Institut de Management de Gestion et d Hotellerie</t>
        </is>
      </c>
      <c r="B88" s="21" t="inlineStr">
        <is>
          <t>Institut superieur - hotellerie restauration tourisme</t>
        </is>
      </c>
      <c r="C88" s="21" t="inlineStr">
        <is>
          <t>Prive</t>
        </is>
      </c>
      <c r="D88" s="21" t="inlineStr">
        <is>
          <t>Abidjan Yopougon</t>
        </is>
      </c>
      <c r="E88" s="21" t="inlineStr">
        <is>
          <t>Yopougon Bel Air 21 BP 3437 Abidjan 21</t>
        </is>
      </c>
      <c r="F88" s="21" t="inlineStr">
        <is>
          <t>+225 07 48 09 09 29</t>
        </is>
      </c>
      <c r="G88" s="21" t="inlineStr">
        <is>
          <t>+225 01 02 63 56 58</t>
        </is>
      </c>
      <c r="H88" s="21" t="inlineStr"/>
      <c r="I88" s="21" t="inlineStr"/>
      <c r="J88" s="21" t="inlineStr">
        <is>
          <t>https://imghcotedivoire.ci</t>
        </is>
      </c>
      <c r="K88" s="21" t="inlineStr">
        <is>
          <t>Directeur des Etudes</t>
        </is>
      </c>
      <c r="L88" s="23" t="inlineStr">
        <is>
          <t>Haute</t>
        </is>
      </c>
      <c r="M88" s="21" t="inlineStr">
        <is>
          <t>imghcotedivoire.ci</t>
        </is>
      </c>
      <c r="N88" s="21" t="inlineStr"/>
      <c r="O88" s="22" t="inlineStr">
        <is>
          <t>sans email</t>
        </is>
      </c>
    </row>
    <row r="89">
      <c r="A89" s="21" t="inlineStr">
        <is>
          <t>Lycee Professionnel Commercial de Yopougon (LPCY)</t>
        </is>
      </c>
      <c r="B89" s="21" t="inlineStr">
        <is>
          <t>Lycee professionnel</t>
        </is>
      </c>
      <c r="C89" s="21" t="inlineStr">
        <is>
          <t>Public</t>
        </is>
      </c>
      <c r="D89" s="21" t="inlineStr">
        <is>
          <t>Abidjan Yopougon</t>
        </is>
      </c>
      <c r="E89" s="21" t="inlineStr">
        <is>
          <t>BP V 170 Abidjan Yopougon</t>
        </is>
      </c>
      <c r="F89" s="21" t="inlineStr">
        <is>
          <t>+225 01 73 56 01 01</t>
        </is>
      </c>
      <c r="G89" s="21" t="inlineStr"/>
      <c r="H89" s="21" t="inlineStr"/>
      <c r="I89" s="21" t="inlineStr">
        <is>
          <t>lpcyop@gmail.com</t>
        </is>
      </c>
      <c r="J89" s="21" t="inlineStr">
        <is>
          <t>lpcy.sch-ci.org</t>
        </is>
      </c>
      <c r="K89" s="21" t="inlineStr">
        <is>
          <t>Proviseur / Censeur</t>
        </is>
      </c>
      <c r="L89" s="23" t="inlineStr">
        <is>
          <t>Haute</t>
        </is>
      </c>
      <c r="M89" s="21" t="inlineStr">
        <is>
          <t>lpcy.sch-ci.org / edukiya.com</t>
        </is>
      </c>
      <c r="N89" s="21" t="inlineStr">
        <is>
          <t>gratuite</t>
        </is>
      </c>
      <c r="O89" s="23" t="inlineStr">
        <is>
          <t>valide</t>
        </is>
      </c>
    </row>
    <row r="90">
      <c r="A90" s="21" t="inlineStr">
        <is>
          <t>Universite Alassane Ouattara (UAO)</t>
        </is>
      </c>
      <c r="B90" s="21" t="inlineStr">
        <is>
          <t>Universite publique</t>
        </is>
      </c>
      <c r="C90" s="21" t="inlineStr">
        <is>
          <t>Public</t>
        </is>
      </c>
      <c r="D90" s="21" t="inlineStr">
        <is>
          <t>Bouake</t>
        </is>
      </c>
      <c r="E90" s="21" t="inlineStr">
        <is>
          <t>BP V 18 Bouake 01 Ahougnassou route de Beoumi</t>
        </is>
      </c>
      <c r="F90" s="21" t="inlineStr">
        <is>
          <t>+225 27 31 60 50 24</t>
        </is>
      </c>
      <c r="G90" s="21" t="inlineStr"/>
      <c r="H90" s="21" t="inlineStr"/>
      <c r="I90" s="21" t="inlineStr">
        <is>
          <t>infoline@uao.edu.ci</t>
        </is>
      </c>
      <c r="J90" s="21" t="inlineStr">
        <is>
          <t>univ-ao.edu.ci</t>
        </is>
      </c>
      <c r="K90" s="21" t="inlineStr">
        <is>
          <t>Directeur des Etudes</t>
        </is>
      </c>
      <c r="L90" s="23" t="inlineStr">
        <is>
          <t>Haute</t>
        </is>
      </c>
      <c r="M90" s="21" t="inlineStr">
        <is>
          <t>univ-ao.edu.ci</t>
        </is>
      </c>
      <c r="N90" s="21" t="inlineStr">
        <is>
          <t>domaine propre</t>
        </is>
      </c>
      <c r="O90" s="23" t="inlineStr">
        <is>
          <t>valide</t>
        </is>
      </c>
    </row>
    <row r="91">
      <c r="A91" s="21" t="inlineStr">
        <is>
          <t>IFED - Institut de Formation et d'Education de Daloa</t>
        </is>
      </c>
      <c r="B91" s="21" t="inlineStr">
        <is>
          <t>Institut de formation</t>
        </is>
      </c>
      <c r="C91" s="21" t="inlineStr">
        <is>
          <t>Prive</t>
        </is>
      </c>
      <c r="D91" s="21" t="inlineStr">
        <is>
          <t>Daloa</t>
        </is>
      </c>
      <c r="E91" s="21" t="inlineStr">
        <is>
          <t>Abattoir 2 BP 2350 Daloa</t>
        </is>
      </c>
      <c r="F91" s="21" t="inlineStr">
        <is>
          <t>+225 27 32 78 09 88</t>
        </is>
      </c>
      <c r="G91" s="21" t="inlineStr"/>
      <c r="H91" s="21" t="inlineStr"/>
      <c r="I91" s="21" t="inlineStr"/>
      <c r="J91" s="21" t="inlineStr"/>
      <c r="K91" s="21" t="inlineStr">
        <is>
          <t>Directeur des Etudes</t>
        </is>
      </c>
      <c r="L91" s="21" t="inlineStr">
        <is>
          <t>Moyenne</t>
        </is>
      </c>
      <c r="M91" s="21" t="inlineStr">
        <is>
          <t>AnnuaireCI + CiTrade</t>
        </is>
      </c>
      <c r="N91" s="21" t="inlineStr"/>
      <c r="O91" s="22" t="inlineStr">
        <is>
          <t>sans email</t>
        </is>
      </c>
    </row>
    <row r="92">
      <c r="A92" s="21" t="inlineStr">
        <is>
          <t>Universite Jean Lorougnon Guede (UJLoG)</t>
        </is>
      </c>
      <c r="B92" s="21" t="inlineStr">
        <is>
          <t>Universite publique</t>
        </is>
      </c>
      <c r="C92" s="21" t="inlineStr">
        <is>
          <t>Public</t>
        </is>
      </c>
      <c r="D92" s="21" t="inlineStr">
        <is>
          <t>Daloa</t>
        </is>
      </c>
      <c r="E92" s="21" t="inlineStr">
        <is>
          <t>Quartier Lobia BP 150 Daloa</t>
        </is>
      </c>
      <c r="F92" s="21" t="inlineStr">
        <is>
          <t>+225 27 32 78 75 83</t>
        </is>
      </c>
      <c r="G92" s="21" t="inlineStr"/>
      <c r="H92" s="21" t="inlineStr"/>
      <c r="I92" s="21" t="inlineStr">
        <is>
          <t>sercom@ujlg.edu.ci</t>
        </is>
      </c>
      <c r="J92" s="21" t="inlineStr">
        <is>
          <t>ujlog.edu.ci</t>
        </is>
      </c>
      <c r="K92" s="21" t="inlineStr">
        <is>
          <t>Directeur des Etudes</t>
        </is>
      </c>
      <c r="L92" s="23" t="inlineStr">
        <is>
          <t>Haute</t>
        </is>
      </c>
      <c r="M92" s="21" t="inlineStr">
        <is>
          <t>ujlog.edu.ci</t>
        </is>
      </c>
      <c r="N92" s="21" t="inlineStr">
        <is>
          <t>domaine propre</t>
        </is>
      </c>
      <c r="O92" s="23" t="inlineStr">
        <is>
          <t>valide</t>
        </is>
      </c>
    </row>
    <row r="93">
      <c r="A93" s="21" t="inlineStr">
        <is>
          <t>Ecole Hoteliere de Grand-Bassam EHB</t>
        </is>
      </c>
      <c r="B93" s="21" t="inlineStr">
        <is>
          <t>Ecole hoteliere - hotellerie restauration tourisme</t>
        </is>
      </c>
      <c r="C93" s="21" t="inlineStr">
        <is>
          <t>Prive</t>
        </is>
      </c>
      <c r="D93" s="21" t="inlineStr">
        <is>
          <t>Grand-Bassam</t>
        </is>
      </c>
      <c r="E93" s="21" t="inlineStr"/>
      <c r="F93" s="21" t="inlineStr">
        <is>
          <t>+225 07 77 24 39 70</t>
        </is>
      </c>
      <c r="G93" s="21" t="inlineStr">
        <is>
          <t>+225 27 21 00 09 69</t>
        </is>
      </c>
      <c r="H93" s="21" t="inlineStr"/>
      <c r="I93" s="21" t="inlineStr"/>
      <c r="J93" s="21" t="inlineStr">
        <is>
          <t>https://www.ecolehotelieredegrandbassam.com</t>
        </is>
      </c>
      <c r="K93" s="21" t="inlineStr">
        <is>
          <t>Directeur des Etudes</t>
        </is>
      </c>
      <c r="L93" s="21" t="inlineStr">
        <is>
          <t>Moyenne</t>
        </is>
      </c>
      <c r="M93" s="21" t="inlineStr">
        <is>
          <t>edukiya.com</t>
        </is>
      </c>
      <c r="N93" s="21" t="inlineStr"/>
      <c r="O93" s="22" t="inlineStr">
        <is>
          <t>sans email</t>
        </is>
      </c>
    </row>
    <row r="94">
      <c r="A94" s="21" t="inlineStr">
        <is>
          <t>IIT - Institut Ivoirien de Technologie</t>
        </is>
      </c>
      <c r="B94" s="21" t="inlineStr">
        <is>
          <t>Ecole d'ingenieurs - informatique reseaux cybersecurite</t>
        </is>
      </c>
      <c r="C94" s="21" t="inlineStr">
        <is>
          <t>Prive</t>
        </is>
      </c>
      <c r="D94" s="21" t="inlineStr">
        <is>
          <t>Grand-Bassam</t>
        </is>
      </c>
      <c r="E94" s="21" t="inlineStr">
        <is>
          <t>VITIB Zone Franche Village des Technologies - 06 BP 6248 Abidjan 06</t>
        </is>
      </c>
      <c r="F94" s="21" t="inlineStr">
        <is>
          <t>+225 01 53 15 15 15</t>
        </is>
      </c>
      <c r="G94" s="21" t="inlineStr"/>
      <c r="H94" s="21" t="inlineStr"/>
      <c r="I94" s="21" t="inlineStr">
        <is>
          <t>contact@iit.ci</t>
        </is>
      </c>
      <c r="J94" s="21" t="inlineStr">
        <is>
          <t>iit.ci</t>
        </is>
      </c>
      <c r="K94" s="21" t="inlineStr">
        <is>
          <t>Directeur des Etudes</t>
        </is>
      </c>
      <c r="L94" s="23" t="inlineStr">
        <is>
          <t>Haute</t>
        </is>
      </c>
      <c r="M94" s="21" t="inlineStr">
        <is>
          <t>Site officiel iit.ci</t>
        </is>
      </c>
      <c r="N94" s="21" t="inlineStr">
        <is>
          <t>domaine propre</t>
        </is>
      </c>
      <c r="O94" s="23" t="inlineStr">
        <is>
          <t>valide</t>
        </is>
      </c>
    </row>
    <row r="95">
      <c r="A95" s="21" t="inlineStr">
        <is>
          <t>Universite Internationale de Grand-Bassam (UIGB/IUGB)</t>
        </is>
      </c>
      <c r="B95" s="21" t="inlineStr">
        <is>
          <t>Universite internationale</t>
        </is>
      </c>
      <c r="C95" s="21" t="inlineStr">
        <is>
          <t>Prive</t>
        </is>
      </c>
      <c r="D95" s="21" t="inlineStr">
        <is>
          <t>Grand-Bassam (+ bureau Abidjan Deux Plateaux)</t>
        </is>
      </c>
      <c r="E95" s="21" t="inlineStr">
        <is>
          <t>Route de Bonoua, Grand-Bassam / Bd des Martyrs Rue K12 Villa 175, 04 BP 1062 Abidjan</t>
        </is>
      </c>
      <c r="F95" s="21" t="inlineStr">
        <is>
          <t>+225 27 21 30 34 57</t>
        </is>
      </c>
      <c r="G95" s="21" t="inlineStr">
        <is>
          <t>+225 27 22 41 30 41</t>
        </is>
      </c>
      <c r="H95" s="21" t="inlineStr"/>
      <c r="I95" s="21" t="inlineStr">
        <is>
          <t>admissions@iugb.edu.ci</t>
        </is>
      </c>
      <c r="J95" s="21" t="inlineStr">
        <is>
          <t>www.uigb.net</t>
        </is>
      </c>
      <c r="K95" s="21" t="inlineStr">
        <is>
          <t>Dean / Directeur des Etudes</t>
        </is>
      </c>
      <c r="L95" s="21" t="inlineStr">
        <is>
          <t>Moyenne</t>
        </is>
      </c>
      <c r="M95" s="21" t="inlineStr">
        <is>
          <t>uigb.net + AnnuaireCI | email : iugb.edu.ci - domaine actif, uigb.org etant l'ancien</t>
        </is>
      </c>
      <c r="N95" s="21" t="inlineStr">
        <is>
          <t>domaine propre</t>
        </is>
      </c>
      <c r="O95" s="24" t="inlineStr">
        <is>
          <t>a verifier</t>
        </is>
      </c>
    </row>
    <row r="96">
      <c r="A96" s="21" t="inlineStr">
        <is>
          <t>ISACM - Institut Superieur des Arts et du Commerce Management</t>
        </is>
      </c>
      <c r="B96" s="21" t="inlineStr">
        <is>
          <t>Ecole superieure</t>
        </is>
      </c>
      <c r="C96" s="21" t="inlineStr">
        <is>
          <t>Prive</t>
        </is>
      </c>
      <c r="D96" s="21" t="inlineStr">
        <is>
          <t>Korhogo</t>
        </is>
      </c>
      <c r="E96" s="21" t="inlineStr"/>
      <c r="F96" s="21" t="inlineStr"/>
      <c r="G96" s="21" t="inlineStr"/>
      <c r="H96" s="21" t="inlineStr"/>
      <c r="I96" s="21" t="inlineStr"/>
      <c r="J96" s="21" t="inlineStr">
        <is>
          <t>isacm-educ.com</t>
        </is>
      </c>
      <c r="K96" s="21" t="inlineStr">
        <is>
          <t>Directeur des Etudes</t>
        </is>
      </c>
      <c r="L96" s="23" t="inlineStr">
        <is>
          <t>Haute</t>
        </is>
      </c>
      <c r="M96" s="21" t="inlineStr">
        <is>
          <t>Site officiel isacm-educ.com</t>
        </is>
      </c>
      <c r="N96" s="21" t="inlineStr"/>
      <c r="O96" s="22" t="inlineStr">
        <is>
          <t>sans email</t>
        </is>
      </c>
    </row>
    <row r="97">
      <c r="A97" s="21" t="inlineStr">
        <is>
          <t>Universite Peleforo Gon Coulibaly (UPGC)</t>
        </is>
      </c>
      <c r="B97" s="21" t="inlineStr">
        <is>
          <t>Universite publique</t>
        </is>
      </c>
      <c r="C97" s="21" t="inlineStr">
        <is>
          <t>Public</t>
        </is>
      </c>
      <c r="D97" s="21" t="inlineStr">
        <is>
          <t>Korhogo</t>
        </is>
      </c>
      <c r="E97" s="21" t="inlineStr">
        <is>
          <t>Korhogo</t>
        </is>
      </c>
      <c r="F97" s="21" t="inlineStr">
        <is>
          <t>+225 07 48 61 71 14</t>
        </is>
      </c>
      <c r="G97" s="21" t="inlineStr">
        <is>
          <t>+225 01 51 21 56 05</t>
        </is>
      </c>
      <c r="H97" s="21" t="inlineStr"/>
      <c r="I97" s="21" t="inlineStr"/>
      <c r="J97" s="21" t="inlineStr">
        <is>
          <t>univ-pgc.edu.ci</t>
        </is>
      </c>
      <c r="K97" s="21" t="inlineStr">
        <is>
          <t>Directeur des Etudes</t>
        </is>
      </c>
      <c r="L97" s="21" t="inlineStr">
        <is>
          <t>Moyenne</t>
        </is>
      </c>
      <c r="M97" s="21" t="inlineStr">
        <is>
          <t>facebook.com/upgc.edu</t>
        </is>
      </c>
      <c r="N97" s="21" t="inlineStr"/>
      <c r="O97" s="22" t="inlineStr">
        <is>
          <t>sans email</t>
        </is>
      </c>
    </row>
    <row r="98">
      <c r="A98" s="21" t="inlineStr">
        <is>
          <t>ESGS San-Pedro - Ecole Superieure de Gestion et des Specialites</t>
        </is>
      </c>
      <c r="B98" s="21" t="inlineStr">
        <is>
          <t>Ecole superieure</t>
        </is>
      </c>
      <c r="C98" s="21" t="inlineStr">
        <is>
          <t>Prive</t>
        </is>
      </c>
      <c r="D98" s="21" t="inlineStr">
        <is>
          <t>San-Pedro</t>
        </is>
      </c>
      <c r="E98" s="21" t="inlineStr">
        <is>
          <t>Quartier Balmer Lot 125 Ilot 9</t>
        </is>
      </c>
      <c r="F98" s="21" t="inlineStr">
        <is>
          <t>+225 07 89 07 07 01</t>
        </is>
      </c>
      <c r="G98" s="21" t="inlineStr"/>
      <c r="H98" s="21" t="inlineStr"/>
      <c r="I98" s="21" t="inlineStr">
        <is>
          <t>esgs.sp.ci@gmail.com</t>
        </is>
      </c>
      <c r="J98" s="21" t="inlineStr">
        <is>
          <t>esgs-ci.com</t>
        </is>
      </c>
      <c r="K98" s="21" t="inlineStr">
        <is>
          <t>Directeur des Etudes</t>
        </is>
      </c>
      <c r="L98" s="21" t="inlineStr">
        <is>
          <t>Moyenne</t>
        </is>
      </c>
      <c r="M98" s="21" t="inlineStr">
        <is>
          <t>esgs-ci.com</t>
        </is>
      </c>
      <c r="N98" s="21" t="inlineStr">
        <is>
          <t>gratuite</t>
        </is>
      </c>
      <c r="O98" s="23" t="inlineStr">
        <is>
          <t>valide</t>
        </is>
      </c>
    </row>
    <row r="99">
      <c r="A99" s="21" t="inlineStr">
        <is>
          <t>Universite Polytechnique de San-Pedro (USP)</t>
        </is>
      </c>
      <c r="B99" s="21" t="inlineStr">
        <is>
          <t>Universite publique</t>
        </is>
      </c>
      <c r="C99" s="21" t="inlineStr">
        <is>
          <t>Public</t>
        </is>
      </c>
      <c r="D99" s="21" t="inlineStr">
        <is>
          <t>San-Pedro</t>
        </is>
      </c>
      <c r="E99" s="21" t="inlineStr">
        <is>
          <t>BP 1800 San-Pedro</t>
        </is>
      </c>
      <c r="F99" s="21" t="inlineStr">
        <is>
          <t>+225 05 06 88 56 46</t>
        </is>
      </c>
      <c r="G99" s="21" t="inlineStr">
        <is>
          <t>+225 27 34 70 12 84</t>
        </is>
      </c>
      <c r="H99" s="21" t="inlineStr"/>
      <c r="I99" s="21" t="inlineStr">
        <is>
          <t>informations@usp.edu.ci</t>
        </is>
      </c>
      <c r="J99" s="21" t="inlineStr">
        <is>
          <t>usp.edu.ci</t>
        </is>
      </c>
      <c r="K99" s="21" t="inlineStr">
        <is>
          <t>Directeur des Etudes</t>
        </is>
      </c>
      <c r="L99" s="23" t="inlineStr">
        <is>
          <t>Haute</t>
        </is>
      </c>
      <c r="M99" s="21" t="inlineStr">
        <is>
          <t>Site officiel usp.edu.ci</t>
        </is>
      </c>
      <c r="N99" s="21" t="inlineStr">
        <is>
          <t>domaine propre</t>
        </is>
      </c>
      <c r="O99" s="23" t="inlineStr">
        <is>
          <t>valide</t>
        </is>
      </c>
    </row>
    <row r="100">
      <c r="A100" s="21" t="inlineStr">
        <is>
          <t>College Heleis Yamoussoukro</t>
        </is>
      </c>
      <c r="B100" s="21" t="inlineStr">
        <is>
          <t>College-lycee prive avec filieres techniques</t>
        </is>
      </c>
      <c r="C100" s="21" t="inlineStr">
        <is>
          <t>Prive</t>
        </is>
      </c>
      <c r="D100" s="21" t="inlineStr">
        <is>
          <t>Yamoussoukro</t>
        </is>
      </c>
      <c r="E100" s="21" t="inlineStr">
        <is>
          <t>Yamoussoukro</t>
        </is>
      </c>
      <c r="F100" s="21" t="inlineStr">
        <is>
          <t>+225 27 30 64 77 33</t>
        </is>
      </c>
      <c r="G100" s="21" t="inlineStr"/>
      <c r="H100" s="21" t="inlineStr"/>
      <c r="I100" s="21" t="inlineStr">
        <is>
          <t>collegeheleis@hotmail.fr</t>
        </is>
      </c>
      <c r="J100" s="21" t="inlineStr">
        <is>
          <t>collegeheleis.com</t>
        </is>
      </c>
      <c r="K100" s="21" t="inlineStr">
        <is>
          <t>Proviseur / Censeur</t>
        </is>
      </c>
      <c r="L100" s="21" t="inlineStr">
        <is>
          <t>Moyenne</t>
        </is>
      </c>
      <c r="M100" s="21" t="inlineStr">
        <is>
          <t>collegeheleis.com</t>
        </is>
      </c>
      <c r="N100" s="21" t="inlineStr">
        <is>
          <t>gratuite</t>
        </is>
      </c>
      <c r="O100" s="23" t="inlineStr">
        <is>
          <t>valide</t>
        </is>
      </c>
    </row>
    <row r="101">
      <c r="A101" s="21" t="inlineStr">
        <is>
          <t>ESAM Yamoussoukro - Ecole Superieure des Affaires et du Management</t>
        </is>
      </c>
      <c r="B101" s="21" t="inlineStr">
        <is>
          <t>Ecole superieure</t>
        </is>
      </c>
      <c r="C101" s="21" t="inlineStr">
        <is>
          <t>Prive</t>
        </is>
      </c>
      <c r="D101" s="21" t="inlineStr">
        <is>
          <t>Yamoussoukro</t>
        </is>
      </c>
      <c r="E101" s="21" t="inlineStr">
        <is>
          <t>BP 2581 Yamoussoukro</t>
        </is>
      </c>
      <c r="F101" s="21" t="inlineStr">
        <is>
          <t>+225 27 30 64 20 42</t>
        </is>
      </c>
      <c r="G101" s="21" t="inlineStr">
        <is>
          <t>+225 27 30 64 27 64</t>
        </is>
      </c>
      <c r="H101" s="21" t="inlineStr"/>
      <c r="I101" s="21" t="inlineStr"/>
      <c r="J101" s="21" t="inlineStr"/>
      <c r="K101" s="21" t="inlineStr">
        <is>
          <t>Directeur des Etudes (par campus)</t>
        </is>
      </c>
      <c r="L101" s="21" t="inlineStr">
        <is>
          <t>Moyenne</t>
        </is>
      </c>
      <c r="M101" s="21" t="inlineStr">
        <is>
          <t>AnnuaireCI</t>
        </is>
      </c>
      <c r="N101" s="21" t="inlineStr"/>
      <c r="O101" s="22" t="inlineStr">
        <is>
          <t>sans email</t>
        </is>
      </c>
    </row>
    <row r="102">
      <c r="A102" s="21" t="inlineStr">
        <is>
          <t>ESETEC - Ecole Superieure de l'Enseignement Technique et Commercial</t>
        </is>
      </c>
      <c r="B102" s="21" t="inlineStr">
        <is>
          <t>Ecole superieure technique et commerciale</t>
        </is>
      </c>
      <c r="C102" s="21" t="inlineStr">
        <is>
          <t>Prive</t>
        </is>
      </c>
      <c r="D102" s="21" t="inlineStr">
        <is>
          <t>Yamoussoukro</t>
        </is>
      </c>
      <c r="E102" s="21" t="inlineStr">
        <is>
          <t>Quartier Habitat pres de la PMI BP 2464</t>
        </is>
      </c>
      <c r="F102" s="21" t="inlineStr">
        <is>
          <t>+225 07 07 86 73 38</t>
        </is>
      </c>
      <c r="G102" s="21" t="inlineStr">
        <is>
          <t>+225 07 07 03 70 04</t>
        </is>
      </c>
      <c r="H102" s="21" t="inlineStr"/>
      <c r="I102" s="21" t="inlineStr"/>
      <c r="J102" s="21" t="inlineStr">
        <is>
          <t>esetec.ci</t>
        </is>
      </c>
      <c r="K102" s="21" t="inlineStr">
        <is>
          <t>Directeur des Etudes</t>
        </is>
      </c>
      <c r="L102" s="21" t="inlineStr">
        <is>
          <t>Moyenne</t>
        </is>
      </c>
      <c r="M102" s="21" t="inlineStr">
        <is>
          <t>AnnuaireCI</t>
        </is>
      </c>
      <c r="N102" s="21" t="inlineStr"/>
      <c r="O102" s="22" t="inlineStr">
        <is>
          <t>sans email</t>
        </is>
      </c>
    </row>
    <row r="103">
      <c r="A103" s="21" t="inlineStr">
        <is>
          <t>ESGS Yamoussoukro - Ecole Superieure de Gestion et des Specialites</t>
        </is>
      </c>
      <c r="B103" s="21" t="inlineStr">
        <is>
          <t>Ecole superieure</t>
        </is>
      </c>
      <c r="C103" s="21" t="inlineStr">
        <is>
          <t>Prive</t>
        </is>
      </c>
      <c r="D103" s="21" t="inlineStr">
        <is>
          <t>Yamoussoukro</t>
        </is>
      </c>
      <c r="E103" s="21" t="inlineStr"/>
      <c r="F103" s="21" t="inlineStr">
        <is>
          <t>+225 07 89 07 07 01</t>
        </is>
      </c>
      <c r="G103" s="21" t="inlineStr"/>
      <c r="H103" s="21" t="inlineStr"/>
      <c r="I103" s="21" t="inlineStr">
        <is>
          <t>esgs.sp.ci@gmail.com</t>
        </is>
      </c>
      <c r="J103" s="21" t="inlineStr">
        <is>
          <t>esgs-ci.com</t>
        </is>
      </c>
      <c r="K103" s="21" t="inlineStr">
        <is>
          <t>Directeur des Etudes</t>
        </is>
      </c>
      <c r="L103" s="21" t="inlineStr">
        <is>
          <t>Moyenne</t>
        </is>
      </c>
      <c r="M103" s="21" t="inlineStr">
        <is>
          <t>esgs-ci.com (antenne)</t>
        </is>
      </c>
      <c r="N103" s="21" t="inlineStr">
        <is>
          <t>gratuite</t>
        </is>
      </c>
      <c r="O103" s="23" t="inlineStr">
        <is>
          <t>valide</t>
        </is>
      </c>
    </row>
    <row r="104">
      <c r="A104" s="21" t="inlineStr">
        <is>
          <t>Lycee Scientifique de Yamoussoukro</t>
        </is>
      </c>
      <c r="B104" s="21" t="inlineStr">
        <is>
          <t>Lycee public d'excellence</t>
        </is>
      </c>
      <c r="C104" s="21" t="inlineStr">
        <is>
          <t>Public</t>
        </is>
      </c>
      <c r="D104" s="21" t="inlineStr">
        <is>
          <t>Yamoussoukro</t>
        </is>
      </c>
      <c r="E104" s="21" t="inlineStr">
        <is>
          <t>Yamoussoukro</t>
        </is>
      </c>
      <c r="F104" s="21" t="inlineStr">
        <is>
          <t>+225 27 30 64 07 88</t>
        </is>
      </c>
      <c r="G104" s="21" t="inlineStr"/>
      <c r="H104" s="21" t="inlineStr"/>
      <c r="I104" s="21" t="inlineStr">
        <is>
          <t>lyceescientifiqueyakro@gmail.com</t>
        </is>
      </c>
      <c r="J104" s="21" t="inlineStr">
        <is>
          <t>lsy.ci</t>
        </is>
      </c>
      <c r="K104" s="21" t="inlineStr">
        <is>
          <t>Proviseur / Censeur</t>
        </is>
      </c>
      <c r="L104" s="23" t="inlineStr">
        <is>
          <t>Haute</t>
        </is>
      </c>
      <c r="M104" s="21" t="inlineStr">
        <is>
          <t>lsy.ci</t>
        </is>
      </c>
      <c r="N104" s="21" t="inlineStr">
        <is>
          <t>gratuite</t>
        </is>
      </c>
      <c r="O104" s="23" t="inlineStr">
        <is>
          <t>valide</t>
        </is>
      </c>
    </row>
    <row r="105">
      <c r="A105" s="21" t="inlineStr">
        <is>
          <t>SUPAGRO AFRIQUE</t>
        </is>
      </c>
      <c r="B105" s="21" t="inlineStr">
        <is>
          <t>Ecole superieure - agronomie et industrie agro-alimentaire</t>
        </is>
      </c>
      <c r="C105" s="21" t="inlineStr">
        <is>
          <t>Prive</t>
        </is>
      </c>
      <c r="D105" s="21" t="inlineStr">
        <is>
          <t>Yamoussoukro</t>
        </is>
      </c>
      <c r="E105" s="21" t="inlineStr"/>
      <c r="F105" s="21" t="inlineStr">
        <is>
          <t>+225 27 30 00 28 88</t>
        </is>
      </c>
      <c r="G105" s="21" t="inlineStr">
        <is>
          <t>+225 07 69 69 66 19</t>
        </is>
      </c>
      <c r="H105" s="21" t="inlineStr"/>
      <c r="I105" s="21" t="inlineStr">
        <is>
          <t>infos@supagro-afrique.com</t>
        </is>
      </c>
      <c r="J105" s="21" t="inlineStr">
        <is>
          <t>https://www.supagro-afrique.com</t>
        </is>
      </c>
      <c r="K105" s="21" t="inlineStr">
        <is>
          <t>Directeur des Etudes</t>
        </is>
      </c>
      <c r="L105" s="23" t="inlineStr">
        <is>
          <t>Haute</t>
        </is>
      </c>
      <c r="M105" s="21" t="inlineStr">
        <is>
          <t>supagro-afrique.com</t>
        </is>
      </c>
      <c r="N105" s="21" t="inlineStr">
        <is>
          <t>domaine propre</t>
        </is>
      </c>
      <c r="O105" s="23" t="inlineStr">
        <is>
          <t>valide</t>
        </is>
      </c>
    </row>
    <row r="106">
      <c r="A106" s="21" t="inlineStr">
        <is>
          <t>INP-HB (Institut National Polytechnique Felix Houphouet-Boigny)</t>
        </is>
      </c>
      <c r="B106" s="21" t="inlineStr">
        <is>
          <t>Grande ecole publique de reference</t>
        </is>
      </c>
      <c r="C106" s="21" t="inlineStr">
        <is>
          <t>Public</t>
        </is>
      </c>
      <c r="D106" s="21" t="inlineStr">
        <is>
          <t>Yamoussoukro (+ antenne Abidjan)</t>
        </is>
      </c>
      <c r="E106" s="21" t="inlineStr">
        <is>
          <t>BP 1093 Yamoussoukro / BP V 79 Abidjan</t>
        </is>
      </c>
      <c r="F106" s="21" t="inlineStr">
        <is>
          <t>+225 27 30 64 66 61</t>
        </is>
      </c>
      <c r="G106" s="21" t="inlineStr">
        <is>
          <t>+225 05 01 80 00 19</t>
        </is>
      </c>
      <c r="H106" s="21" t="inlineStr"/>
      <c r="I106" s="21" t="inlineStr">
        <is>
          <t>secretariatdg@inphb.ci</t>
        </is>
      </c>
      <c r="J106" s="21" t="inlineStr">
        <is>
          <t>inphb.edu.ci</t>
        </is>
      </c>
      <c r="K106" s="21" t="inlineStr">
        <is>
          <t>Directeur des Etudes / Directeur de Centre</t>
        </is>
      </c>
      <c r="L106" s="21" t="inlineStr">
        <is>
          <t>Moyenne</t>
        </is>
      </c>
      <c r="M106" s="21" t="inlineStr">
        <is>
          <t>inphb.edu.ci</t>
        </is>
      </c>
      <c r="N106" s="21" t="inlineStr">
        <is>
          <t>domaine propre</t>
        </is>
      </c>
      <c r="O106" s="23" t="inlineStr">
        <is>
          <t>valide</t>
        </is>
      </c>
    </row>
  </sheetData>
  <autoFilter ref="A1:O10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6" customWidth="1" min="3" max="3"/>
    <col width="26" customWidth="1" min="4" max="4"/>
    <col width="46" customWidth="1" min="5" max="5"/>
  </cols>
  <sheetData>
    <row r="1">
      <c r="B1" s="1" t="inlineStr">
        <is>
          <t>OFFRE - INITIATION A L'INTELLIGENCE ARTIFICIELLE</t>
        </is>
      </c>
    </row>
    <row r="2">
      <c r="B2" s="26" t="inlineStr">
        <is>
          <t>Prestation de base : UNE seance de 2h par classe. La 2e seance se negocie, elle n'est jamais promise d'emblee.</t>
        </is>
      </c>
    </row>
    <row r="3">
      <c r="B3" s="26" t="inlineStr">
        <is>
          <t>Aucun suivi individuel, aucun groupe WhatsApp : l'interlocuteur est l'etablissement, pas l'eleve.</t>
        </is>
      </c>
    </row>
    <row r="5">
      <c r="B5" s="27" t="inlineStr">
        <is>
          <t>Les deux paliers</t>
        </is>
      </c>
    </row>
    <row r="6">
      <c r="B6" s="28" t="inlineStr">
        <is>
          <t>Montant par eleve</t>
        </is>
      </c>
      <c r="C6" s="28" t="inlineStr">
        <is>
          <t>Prestation de base</t>
        </is>
      </c>
      <c r="D6" s="28" t="inlineStr">
        <is>
          <t>2e seance</t>
        </is>
      </c>
    </row>
    <row r="7">
      <c r="B7" s="29" t="n">
        <v>5000</v>
      </c>
      <c r="C7" s="2" t="inlineStr">
        <is>
          <t>1 seance de 2h + kit + attestation</t>
        </is>
      </c>
      <c r="D7" s="2" t="inlineStr">
        <is>
          <t>Facturee +3 000 F par eleve</t>
        </is>
      </c>
    </row>
    <row r="8">
      <c r="B8" s="29" t="n">
        <v>10000</v>
      </c>
      <c r="C8" s="2" t="inlineStr">
        <is>
          <t>1 seance de 2h + kit + attestation</t>
        </is>
      </c>
      <c r="D8" s="2" t="inlineStr">
        <is>
          <t>Incluable si la classe fait 40 eleves ou plus</t>
        </is>
      </c>
    </row>
    <row r="9">
      <c r="B9" s="26" t="inlineStr">
        <is>
          <t>Les deux montants ci-dessus sont en bleu : ce sont les seules valeurs a modifier. Le tableau ci-dessous se recalcule.</t>
        </is>
      </c>
    </row>
    <row r="11">
      <c r="B11" s="27" t="inlineStr">
        <is>
          <t>Chiffre d'affaires par classe, pour 2h de presence</t>
        </is>
      </c>
    </row>
    <row r="12">
      <c r="B12" s="28" t="inlineStr">
        <is>
          <t>Effectif de la classe</t>
        </is>
      </c>
      <c r="C12" s="28" t="inlineStr">
        <is>
          <t>A 5 000 F par eleve</t>
        </is>
      </c>
      <c r="D12" s="28" t="inlineStr">
        <is>
          <t>A 10 000 F par eleve</t>
        </is>
      </c>
    </row>
    <row r="13">
      <c r="B13" s="30" t="n">
        <v>25</v>
      </c>
      <c r="C13" s="31">
        <f>$B13*$B$7</f>
        <v/>
      </c>
      <c r="D13" s="31">
        <f>$B13*$B$8</f>
        <v/>
      </c>
    </row>
    <row r="14">
      <c r="B14" s="30" t="n">
        <v>40</v>
      </c>
      <c r="C14" s="31">
        <f>$B14*$B$7</f>
        <v/>
      </c>
      <c r="D14" s="31">
        <f>$B14*$B$8</f>
        <v/>
      </c>
    </row>
    <row r="15">
      <c r="B15" s="30" t="n">
        <v>60</v>
      </c>
      <c r="C15" s="31">
        <f>$B15*$B$7</f>
        <v/>
      </c>
      <c r="D15" s="31">
        <f>$B15*$B$8</f>
        <v/>
      </c>
    </row>
    <row r="16">
      <c r="B16" s="30" t="n">
        <v>100</v>
      </c>
      <c r="C16" s="31">
        <f>$B16*$B$7</f>
        <v/>
      </c>
      <c r="D16" s="31">
        <f>$B16*$B$8</f>
        <v/>
      </c>
    </row>
    <row r="17">
      <c r="B17" s="6" t="inlineStr">
        <is>
          <t>5 classes de 40 eleves</t>
        </is>
      </c>
      <c r="C17" s="32">
        <f>5*40*$B$7</f>
        <v/>
      </c>
      <c r="D17" s="32">
        <f>5*40*$B$8</f>
        <v/>
      </c>
    </row>
    <row r="18">
      <c r="B18" s="33" t="inlineStr">
        <is>
          <t>Le volume vient du NOMBRE DE CLASSES, jamais du nombre de seances.</t>
        </is>
      </c>
    </row>
    <row r="20">
      <c r="B20" s="27" t="inlineStr">
        <is>
          <t>Regles de negociation a tenir</t>
        </is>
      </c>
    </row>
    <row r="21" ht="28" customHeight="1">
      <c r="B21" s="2" t="inlineStr">
        <is>
          <t>1.</t>
        </is>
      </c>
      <c r="C21" s="2" t="inlineStr">
        <is>
          <t>Annoncer une seance. Une seule. Si on en annonce deux, on n'a plus rien a donner en negociation et on a divise le prix horaire par deux pour rien.</t>
        </is>
      </c>
    </row>
    <row r="22" ht="28" customHeight="1">
      <c r="B22" s="2" t="inlineStr">
        <is>
          <t>2.</t>
        </is>
      </c>
      <c r="C22" s="2" t="inlineStr">
        <is>
          <t>La 2e seance ne se donne jamais contre rien. Elle s'echange contre un engagement sur 3 classes, un paiement integral d'avance, ou des dates bloquees et signees.</t>
        </is>
      </c>
    </row>
    <row r="23" ht="28" customHeight="1">
      <c r="B23" s="2" t="inlineStr">
        <is>
          <t>3.</t>
        </is>
      </c>
      <c r="C23" s="2" t="inlineStr">
        <is>
          <t>Toujours presenter 10 000 F en premier, puis 5 000 F comme repli. Dans l'autre sens, aucun etablissement ne monte.</t>
        </is>
      </c>
    </row>
    <row r="24" ht="28" customHeight="1">
      <c r="B24" s="2" t="inlineStr">
        <is>
          <t>4.</t>
        </is>
      </c>
      <c r="C24" s="2" t="inlineStr">
        <is>
          <t>Seuil minimum : 20 eleves payants. En dessous, proposer de regrouper deux classes de la meme filiere dans la meme salle.</t>
        </is>
      </c>
    </row>
    <row r="25" ht="28" customHeight="1">
      <c r="B25" s="2" t="inlineStr">
        <is>
          <t>5.</t>
        </is>
      </c>
      <c r="C25" s="2" t="inlineStr">
        <is>
          <t>Encaissement : 100 % avant la seance, ou 50 % a la reservation et 50 % a l'arrivee. Jamais de seance entierement a credit.</t>
        </is>
      </c>
    </row>
    <row r="26" ht="28" customHeight="1">
      <c r="B26" s="2" t="inlineStr">
        <is>
          <t>6.</t>
        </is>
      </c>
      <c r="C26" s="2" t="inlineStr">
        <is>
          <t>Classe pilote a 5 000 F uniquement si l'etablissement s'engage par ecrit sur 3 classes supplementaires le meme mois.</t>
        </is>
      </c>
    </row>
    <row r="29">
      <c r="B29" s="27" t="inlineStr">
        <is>
          <t>Contenu de la seance (2h)</t>
        </is>
      </c>
    </row>
    <row r="30">
      <c r="B30" s="33" t="inlineStr">
        <is>
          <t>15 min</t>
        </is>
      </c>
      <c r="C30" s="2" t="inlineStr">
        <is>
          <t>Ce qu'est vraiment l'IA, sans jargon</t>
        </is>
      </c>
    </row>
    <row r="31">
      <c r="B31" s="33" t="inlineStr">
        <is>
          <t>20 min</t>
        </is>
      </c>
      <c r="C31" s="2" t="inlineStr">
        <is>
          <t>Demo live : un devoir et un expose traites devant la classe</t>
        </is>
      </c>
    </row>
    <row r="32">
      <c r="B32" s="33" t="inlineStr">
        <is>
          <t>40 min</t>
        </is>
      </c>
      <c r="C32" s="2" t="inlineStr">
        <is>
          <t>Atelier encadre : chaque eleve fait tourner ses premiers prompts sur son telephone</t>
        </is>
      </c>
    </row>
    <row r="33">
      <c r="B33" s="33" t="inlineStr">
        <is>
          <t>15 min</t>
        </is>
      </c>
      <c r="C33" s="2" t="inlineStr">
        <is>
          <t>Cas d'usage propres a leur filiere</t>
        </is>
      </c>
    </row>
    <row r="34">
      <c r="B34" s="33" t="inlineStr">
        <is>
          <t>15 min</t>
        </is>
      </c>
      <c r="C34" s="2" t="inlineStr">
        <is>
          <t>Les 5 pieges : hallucination, plagiat, dependance, donnees personnelles, triche</t>
        </is>
      </c>
    </row>
    <row r="35">
      <c r="B35" s="33" t="inlineStr">
        <is>
          <t>10 min</t>
        </is>
      </c>
      <c r="C35" s="2" t="inlineStr">
        <is>
          <t>IA et employabilite : CV, lettre de motivation, preparation d'entretien</t>
        </is>
      </c>
    </row>
    <row r="36">
      <c r="B36" s="33" t="inlineStr">
        <is>
          <t>5 min</t>
        </is>
      </c>
      <c r="C36" s="2" t="inlineStr">
        <is>
          <t>Remise des attestations</t>
        </is>
      </c>
    </row>
    <row r="38">
      <c r="B38" s="27" t="inlineStr">
        <is>
          <t>2e seance - uniquement si negociee</t>
        </is>
      </c>
    </row>
    <row r="39">
      <c r="B39" s="33" t="inlineStr">
        <is>
          <t>35 min</t>
        </is>
      </c>
      <c r="C39" s="2" t="inlineStr">
        <is>
          <t>Rediger un rapport de stage ou un memoire avec l'IA sans tomber dans le plagiat</t>
        </is>
      </c>
    </row>
    <row r="40">
      <c r="B40" s="33" t="inlineStr">
        <is>
          <t>40 min</t>
        </is>
      </c>
      <c r="C40" s="2" t="inlineStr">
        <is>
          <t>Atelier sur un vrai sujet donne par le professeur, de la recherche au plan detaille</t>
        </is>
      </c>
    </row>
    <row r="41">
      <c r="B41" s="33" t="inlineStr">
        <is>
          <t>25 min</t>
        </is>
      </c>
      <c r="C41" s="2" t="inlineStr">
        <is>
          <t>Verifier une reponse d'IA : la methode en 3 controles</t>
        </is>
      </c>
    </row>
    <row r="42">
      <c r="B42" s="33" t="inlineStr">
        <is>
          <t>20 min</t>
        </is>
      </c>
      <c r="C42" s="2" t="inlineStr">
        <is>
          <t>Les outils gratuits accessibles depuis la Cote d'Ivoire et leurs limites</t>
        </is>
      </c>
    </row>
    <row r="44">
      <c r="B44" s="33" t="inlineStr">
        <is>
          <t>Materiel demande a l'ecole : une salle, un videoprojecteur, une prise. Les eleves utilisent leur telephone.</t>
        </is>
      </c>
    </row>
  </sheetData>
  <mergeCells count="18">
    <mergeCell ref="C42:E42"/>
    <mergeCell ref="C30:E30"/>
    <mergeCell ref="C33:E33"/>
    <mergeCell ref="C36:E36"/>
    <mergeCell ref="C41:E41"/>
    <mergeCell ref="C31:E31"/>
    <mergeCell ref="C23:E23"/>
    <mergeCell ref="C22:E22"/>
    <mergeCell ref="C39:E39"/>
    <mergeCell ref="C40:E40"/>
    <mergeCell ref="B44:E44"/>
    <mergeCell ref="C26:E26"/>
    <mergeCell ref="C35:E35"/>
    <mergeCell ref="C21:E21"/>
    <mergeCell ref="C34:E34"/>
    <mergeCell ref="C25:E25"/>
    <mergeCell ref="C32:E32"/>
    <mergeCell ref="C24:E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6" customWidth="1" min="3" max="3"/>
  </cols>
  <sheetData>
    <row r="1">
      <c r="B1" s="1" t="inlineStr">
        <is>
          <t>SCRIPTS D'APPROCHE - DIRECTEURS DES ETUDES</t>
        </is>
      </c>
    </row>
    <row r="3">
      <c r="B3" s="34" t="inlineStr">
        <is>
          <t>1. WhatsApp (premier contact, le plus efficace en CI)</t>
        </is>
      </c>
    </row>
    <row r="4" ht="15" customHeight="1">
      <c r="C4" s="2" t="inlineStr">
        <is>
          <t>Bonjour Monsieur/Madame,</t>
        </is>
      </c>
    </row>
    <row r="5" ht="30" customHeight="1">
      <c r="C5" s="2" t="inlineStr">
        <is>
          <t>Je suis [NOM], de BIG REUSSITE. Je m'adresse a vous en tant que Directeur des Etudes de [ECOLE].</t>
        </is>
      </c>
    </row>
    <row r="6" ht="45" customHeight="1">
      <c r="C6" s="2" t="inlineStr">
        <is>
          <t>Nous animons des sessions d'initiation a l'intelligence artificielle directement dans les classes : une seance pratique de 2h, avec les telephones des eleves, sans besoin de salle informatique.</t>
        </is>
      </c>
    </row>
    <row r="7" ht="30" customHeight="1">
      <c r="C7" s="2" t="inlineStr">
        <is>
          <t>L'objectif est simple : que vos etudiants de [FILIERE] sachent utiliser l'IA pour leurs travaux et pour leur employabilite, au lieu de la subir.</t>
        </is>
      </c>
    </row>
    <row r="8" ht="30" customHeight="1">
      <c r="C8" s="2" t="inlineStr">
        <is>
          <t>Puis-je vous envoyer le programme en 1 page ? Et seriez-vous disponible 15 minutes cette semaine pour en parler ?</t>
        </is>
      </c>
    </row>
    <row r="9" ht="15" customHeight="1">
      <c r="C9" s="2" t="inlineStr">
        <is>
          <t>Cordialement, [NOM] - [TELEPHONE]</t>
        </is>
      </c>
    </row>
    <row r="10" ht="15" customHeight="1">
      <c r="C10" s="2" t="inlineStr">
        <is>
          <t>Regle : un seul message. Relance a J+2, puis a J+7, puis on arrete.</t>
        </is>
      </c>
    </row>
    <row r="12">
      <c r="B12" s="34" t="inlineStr">
        <is>
          <t>2. Appel au standard (quand on n'a que le fixe)</t>
        </is>
      </c>
    </row>
    <row r="13" ht="30" customHeight="1">
      <c r="C13" s="2" t="inlineStr">
        <is>
          <t>Bonjour, [NOM] de BIG REUSSITE. Je souhaite joindre le Directeur des Etudes, s'il vous plait. C'est au sujet d'un programme d'initiation a l'IA pour vos classes de BTS.</t>
        </is>
      </c>
    </row>
    <row r="14" ht="30" customHeight="1">
      <c r="C14" s="2" t="inlineStr">
        <is>
          <t>Si indisponible : Pouvez-vous me donner son numero direct ou son WhatsApp ? Je lui envoie le programme, il verra en 2 minutes si ca l'interesse.</t>
        </is>
      </c>
    </row>
    <row r="15" ht="30" customHeight="1">
      <c r="C15" s="2" t="inlineStr">
        <is>
          <t>Noter immediatement son nom dans la colonne Nom du Directeur des Etudes de l'onglet Suivi appels.</t>
        </is>
      </c>
    </row>
    <row r="17">
      <c r="B17" s="34" t="inlineStr">
        <is>
          <t>3. E-mail (trace formelle, apres le WhatsApp)</t>
        </is>
      </c>
    </row>
    <row r="18" ht="15" customHeight="1">
      <c r="C18" s="2" t="inlineStr">
        <is>
          <t>Objet : Initiation a l'IA pour vos classes - une seance de 2h par classe</t>
        </is>
      </c>
    </row>
    <row r="19" ht="15" customHeight="1">
      <c r="C19" s="2" t="inlineStr">
        <is>
          <t>Madame, Monsieur le Directeur des Etudes,</t>
        </is>
      </c>
    </row>
    <row r="20" ht="30" customHeight="1">
      <c r="C20" s="2" t="inlineStr">
        <is>
          <t>BIG REUSSITE propose aux grandes ecoles de Cote d'Ivoire un module court d'initiation a l'intelligence artificielle, concu pour les etudiants et anime en presentiel dans vos locaux.</t>
        </is>
      </c>
    </row>
    <row r="21" ht="30" customHeight="1">
      <c r="C21" s="2" t="inlineStr">
        <is>
          <t>Format : une seance de 2h par classe. Materiel : telephones des etudiants et un videoprojecteur. Livrable : kit de prompts et attestation de participation.</t>
        </is>
      </c>
    </row>
    <row r="22" ht="45" customHeight="1">
      <c r="C22" s="2" t="inlineStr">
        <is>
          <t>Le module couvre l'usage professionnel de l'IA, les cas d'usage propres a chaque filiere, et les regles d'usage responsable, un point que beaucoup d'etablissements souhaitent aujourd'hui cadrer aupres de leurs etudiants.</t>
        </is>
      </c>
    </row>
    <row r="23" ht="30" customHeight="1">
      <c r="C23" s="2" t="inlineStr">
        <is>
          <t>Je me tiens a votre disposition pour vous presenter le programme detaille et convenir d'un creneau test sur une classe.</t>
        </is>
      </c>
    </row>
    <row r="24" ht="15" customHeight="1">
      <c r="C24" s="2" t="inlineStr">
        <is>
          <t>Cordialement, [NOM] - BIG REUSSITE - [TELEPHONE] - [EMAIL]</t>
        </is>
      </c>
    </row>
    <row r="26">
      <c r="B26" s="34" t="inlineStr">
        <is>
          <t>4. Objections qui reviennent</t>
        </is>
      </c>
    </row>
    <row r="27">
      <c r="B27" s="28" t="inlineStr">
        <is>
          <t>Objection</t>
        </is>
      </c>
      <c r="C27" s="28" t="inlineStr">
        <is>
          <t>Reponse</t>
        </is>
      </c>
    </row>
    <row r="28" ht="30" customHeight="1">
      <c r="B28" s="33" t="inlineStr">
        <is>
          <t>On n'a pas de salle informatique</t>
        </is>
      </c>
      <c r="C28" s="2" t="inlineStr">
        <is>
          <t>Pas necessaire. Les etudiants travaillent sur leur telephone. Il faut juste une salle et un videoprojecteur.</t>
        </is>
      </c>
    </row>
    <row r="29" ht="30" customHeight="1">
      <c r="B29" s="33" t="inlineStr">
        <is>
          <t>Ce n'est pas au programme officiel</t>
        </is>
      </c>
      <c r="C29" s="2" t="inlineStr">
        <is>
          <t>C'est un module hors cursus, sur un creneau libre ou un samedi. Aucune modification de maquette, aucune validation ministerielle requise.</t>
        </is>
      </c>
    </row>
    <row r="30" ht="30" customHeight="1">
      <c r="B30" s="33" t="inlineStr">
        <is>
          <t>Qui paie ?</t>
        </is>
      </c>
      <c r="C30" s="2" t="inlineStr">
        <is>
          <t>L'etablissement fixe une somme par eleve et la collecte, via les frais annexes ou via les delegues de classe. On ne facture qu'une fois la classe confirmee.</t>
        </is>
      </c>
    </row>
    <row r="31" ht="45" customHeight="1">
      <c r="B31" s="33" t="inlineStr">
        <is>
          <t>Une seule seance, ca suffit ?</t>
        </is>
      </c>
      <c r="C31" s="2" t="inlineStr">
        <is>
          <t>La seance est autonome : a la fin, chaque etudiant a fait tourner l'outil lui-meme et repart avec son kit. Une 2e seance est possible, on en discute une fois la premiere programmee. Ne jamais l'offrir a ce stade.</t>
        </is>
      </c>
    </row>
    <row r="32" ht="30" customHeight="1">
      <c r="B32" s="33" t="inlineStr">
        <is>
          <t>C'est cher pour nos etudiants</t>
        </is>
      </c>
      <c r="C32" s="2" t="inlineStr">
        <is>
          <t>Descendre le montant par eleve de 10 000 a 5 000, jamais le nombre de seances ni le seuil de 20 eleves. Et ne descendre qu'en echange d'un engagement sur d'autres classes.</t>
        </is>
      </c>
    </row>
    <row r="34">
      <c r="B34" s="34" t="inlineStr">
        <is>
          <t>5. Rythme</t>
        </is>
      </c>
    </row>
    <row r="35" ht="45" customHeight="1">
      <c r="C35" s="2" t="inlineStr">
        <is>
          <t>15 contacts WhatsApp par jour sur la vague 1, relance a J+2 puis J+7, puis on passe a la vague suivante. Renseigner le nom du Directeur des Etudes a chaque appel : c'est cette colonne qui fera la valeur de la base dans un mois.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2026-09-22T11:02:39Z</dcterms:created>
  <dcterms:modified xsi:type="dcterms:W3CDTF">2026-09-22T11:02:40Z</dcterms:modified>
</cp:coreProperties>
</file>