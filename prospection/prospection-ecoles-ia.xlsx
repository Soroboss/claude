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Fiche prospect" sheetId="2" state="visible" r:id="rId2"/>
    <sheet name="Tableau de bord" sheetId="3" state="visible" r:id="rId3"/>
    <sheet name="Suivi appels" sheetId="4" state="visible" r:id="rId4"/>
    <sheet name="Base contacts" sheetId="5" state="visible" r:id="rId5"/>
    <sheet name="Offre et tarifs" sheetId="6" state="visible" r:id="rId6"/>
    <sheet name="Scripts et objections" sheetId="7" state="visible" r:id="rId7"/>
    <sheet name="Accroches" sheetId="8" state="visible" r:id="rId8"/>
  </sheets>
  <definedNames>
    <definedName name="_xlnm._FilterDatabase" localSheetId="3" hidden="1">'Suivi appels'!$A$1:$P$692</definedName>
    <definedName name="_xlnm._FilterDatabase" localSheetId="4" hidden="1">'Base contacts'!$A$1:$P$691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F&quot;;-#,##0 &quot;F&quot;;&quot;-&quot;"/>
    <numFmt numFmtId="165" formatCode="0.0%"/>
    <numFmt numFmtId="166" formatCode="#,##0 &quot;F&quot;"/>
  </numFmts>
  <fonts count="1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808080"/>
      <sz val="9"/>
    </font>
    <font>
      <name val="Arial"/>
      <sz val="11"/>
    </font>
    <font>
      <name val="Arial"/>
      <color rgb="00808080"/>
      <sz val="9"/>
    </font>
    <font>
      <name val="Arial"/>
      <i val="1"/>
      <sz val="10"/>
    </font>
    <font>
      <name val="Arial"/>
      <b val="1"/>
      <sz val="12"/>
    </font>
    <font>
      <name val="Arial"/>
      <b val="1"/>
      <color rgb="000000FF"/>
      <sz val="11"/>
    </font>
    <font>
      <name val="Arial"/>
      <color rgb="000000FF"/>
      <sz val="10"/>
    </font>
    <font>
      <name val="Arial"/>
      <b val="1"/>
      <sz val="11"/>
    </font>
    <font>
      <name val="Arial"/>
      <b val="1"/>
      <color rgb="000000FF"/>
      <sz val="12"/>
    </font>
    <font>
      <name val="Arial"/>
      <i val="1"/>
      <sz val="11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4" fillId="4" borderId="1" pivotButton="0" quotePrefix="0" xfId="0"/>
    <xf numFmtId="0" fontId="2" fillId="5" borderId="1" applyAlignment="1" pivotButton="0" quotePrefix="0" xfId="0">
      <alignment vertical="center" wrapText="1"/>
    </xf>
    <xf numFmtId="0" fontId="13" fillId="0" borderId="0" pivotButton="0" quotePrefix="0" xfId="0"/>
    <xf numFmtId="0" fontId="1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 wrapText="1"/>
    </xf>
    <xf numFmtId="0" fontId="2" fillId="4" borderId="1" pivotButton="0" quotePrefix="0" xfId="0"/>
    <xf numFmtId="0" fontId="6" fillId="0" borderId="0" pivotButton="0" quotePrefix="0" xfId="0"/>
    <xf numFmtId="1" fontId="7" fillId="5" borderId="1" applyAlignment="1" pivotButton="0" quotePrefix="0" xfId="0">
      <alignment horizontal="right"/>
    </xf>
    <xf numFmtId="0" fontId="8" fillId="0" borderId="0" pivotButton="0" quotePrefix="0" xfId="0"/>
    <xf numFmtId="165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0" fontId="4" fillId="3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3" fontId="5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0" borderId="1" pivotButton="0" quotePrefix="0" xfId="0"/>
    <xf numFmtId="0" fontId="2" fillId="5" borderId="1" pivotButton="0" quotePrefix="0" xfId="0"/>
    <xf numFmtId="0" fontId="2" fillId="2" borderId="1" pivotButton="0" quotePrefix="0" xfId="0"/>
    <xf numFmtId="0" fontId="2" fillId="6" borderId="1" pivotButton="0" quotePrefix="0" xfId="0"/>
    <xf numFmtId="0" fontId="10" fillId="0" borderId="0" pivotButton="0" quotePrefix="0" xfId="0"/>
    <xf numFmtId="0" fontId="3" fillId="2" borderId="0" applyAlignment="1" pivotButton="0" quotePrefix="0" xfId="0">
      <alignment vertical="top" wrapText="1"/>
    </xf>
    <xf numFmtId="166" fontId="11" fillId="4" borderId="0" pivotButton="0" quotePrefix="0" xfId="0"/>
    <xf numFmtId="0" fontId="12" fillId="4" borderId="0" pivotButton="0" quotePrefix="0" xfId="0"/>
    <xf numFmtId="166" fontId="2" fillId="5" borderId="0" pivotButton="0" quotePrefix="0" xfId="0"/>
    <xf numFmtId="166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6" customWidth="1" min="3" max="3"/>
  </cols>
  <sheetData>
    <row r="1">
      <c r="B1" s="1" t="inlineStr">
        <is>
          <t>PROSPECTION GRANDES ECOLES - INITIATION A L'IA</t>
        </is>
      </c>
      <c r="C1" s="2" t="inlineStr"/>
    </row>
    <row r="2">
      <c r="B2" s="3" t="inlineStr"/>
      <c r="C2" s="2" t="inlineStr"/>
    </row>
    <row r="3">
      <c r="B3" s="4" t="inlineStr">
        <is>
          <t>Onglet</t>
        </is>
      </c>
      <c r="C3" s="5" t="inlineStr">
        <is>
          <t>A quoi il sert</t>
        </is>
      </c>
    </row>
    <row r="4">
      <c r="B4" s="3" t="inlineStr">
        <is>
          <t>Suivi appels</t>
        </is>
      </c>
      <c r="C4" s="2" t="inlineStr">
        <is>
          <t>LA feuille de travail. Une ligne par ecole. C'est le seul onglet a remplir.</t>
        </is>
      </c>
    </row>
    <row r="5">
      <c r="B5" s="3" t="inlineStr">
        <is>
          <t>Tableau de bord</t>
        </is>
      </c>
      <c r="C5" s="2" t="inlineStr">
        <is>
          <t>Se calcule tout seul depuis Suivi appels. Ne rien y saisir.</t>
        </is>
      </c>
    </row>
    <row r="6">
      <c r="B6" s="3" t="inlineStr">
        <is>
          <t>Base contacts</t>
        </is>
      </c>
      <c r="C6" s="2" t="inlineStr">
        <is>
          <t>La fiche complete de chaque ecole : adresse, 2e numero, site, source, fiabilite.</t>
        </is>
      </c>
    </row>
    <row r="7">
      <c r="B7" s="3" t="inlineStr">
        <is>
          <t>Offre et tarifs</t>
        </is>
      </c>
      <c r="C7" s="2" t="inlineStr">
        <is>
          <t>Ce qui est vendu et a quel prix. Le tableau de CA se recalcule si on change un montant.</t>
        </is>
      </c>
    </row>
    <row r="8">
      <c r="B8" s="3" t="inlineStr">
        <is>
          <t>Scripts et objections</t>
        </is>
      </c>
      <c r="C8" s="2" t="inlineStr">
        <is>
          <t>Quoi dire en WhatsApp, au telephone, par mail, et quoi repondre aux objections.</t>
        </is>
      </c>
    </row>
    <row r="9">
      <c r="B9" s="3" t="inlineStr"/>
      <c r="C9" s="2" t="inlineStr"/>
    </row>
    <row r="10">
      <c r="B10" s="6" t="inlineStr">
        <is>
          <t>Colonnes a remplir (fond jaune)</t>
        </is>
      </c>
      <c r="C10" s="2" t="inlineStr"/>
    </row>
    <row r="11">
      <c r="B11" s="3" t="inlineStr">
        <is>
          <t>Nom du Directeur des Etudes</t>
        </is>
      </c>
      <c r="C11" s="2" t="inlineStr">
        <is>
          <t>A demander des le premier appel au standard. C'est l'information qui manque et qui fera la valeur de cette base.</t>
        </is>
      </c>
    </row>
    <row r="12">
      <c r="B12" s="3" t="inlineStr">
        <is>
          <t>Date 1er contact</t>
        </is>
      </c>
      <c r="C12" s="2" t="inlineStr">
        <is>
          <t>Format JJ/MM/AAAA.</t>
        </is>
      </c>
    </row>
    <row r="13">
      <c r="B13" s="3" t="inlineStr">
        <is>
          <t>Statut</t>
        </is>
      </c>
      <c r="C13" s="2" t="inlineStr">
        <is>
          <t>Liste deroulante. Fait vivre le tableau de bord.</t>
        </is>
      </c>
    </row>
    <row r="14">
      <c r="B14" s="3" t="inlineStr">
        <is>
          <t>Montant par eleve</t>
        </is>
      </c>
      <c r="C14" s="2" t="inlineStr">
        <is>
          <t>5000 ou 10000 FCFA. C'est l'etablissement qui le fixe.</t>
        </is>
      </c>
    </row>
    <row r="15">
      <c r="B15" s="3" t="inlineStr">
        <is>
          <t>Nb eleves par classe</t>
        </is>
      </c>
      <c r="C15" s="2" t="inlineStr">
        <is>
          <t>Effectif reel qui paiera. Seuil de rentabilite : 20.</t>
        </is>
      </c>
    </row>
    <row r="16">
      <c r="B16" s="3" t="inlineStr">
        <is>
          <t>Nb seances negocie</t>
        </is>
      </c>
      <c r="C16" s="2" t="inlineStr">
        <is>
          <t>1 par defaut. Passer a 2 seulement si la 2e seance a ete negociee.</t>
        </is>
      </c>
    </row>
    <row r="17">
      <c r="B17" s="3" t="inlineStr">
        <is>
          <t>Nb classes</t>
        </is>
      </c>
      <c r="C17" s="2" t="inlineStr">
        <is>
          <t>Nombre de classes engagees par l'etablissement.</t>
        </is>
      </c>
    </row>
    <row r="18">
      <c r="B18" s="3" t="inlineStr">
        <is>
          <t>Date seance</t>
        </is>
      </c>
      <c r="C18" s="2" t="inlineStr">
        <is>
          <t>Format JJ/MM/AAAA.</t>
        </is>
      </c>
    </row>
    <row r="19">
      <c r="B19" s="3" t="inlineStr"/>
      <c r="C19" s="2" t="inlineStr"/>
    </row>
    <row r="20">
      <c r="B20" s="6" t="inlineStr">
        <is>
          <t>Colonne calculee (fond vert)</t>
        </is>
      </c>
      <c r="C20" s="2" t="inlineStr"/>
    </row>
    <row r="21">
      <c r="B21" s="3" t="inlineStr">
        <is>
          <t>Montant attendu</t>
        </is>
      </c>
      <c r="C21" s="2">
        <f> (montant par eleve + supplement) x nb eleves x nb classes.</f>
        <v/>
      </c>
    </row>
    <row r="22">
      <c r="B22" s="3" t="inlineStr"/>
      <c r="C22" s="2" t="inlineStr">
        <is>
          <t>Supplement applique : +3 000 FCFA par eleve si une 2e seance est negociee au palier 5 000.</t>
        </is>
      </c>
    </row>
    <row r="23">
      <c r="B23" s="3" t="inlineStr"/>
      <c r="C23" s="2" t="inlineStr">
        <is>
          <t>Au palier 10 000, la 2e seance est incluse : aucun supplement. Regle definie dans Offre et tarifs.</t>
        </is>
      </c>
    </row>
    <row r="24">
      <c r="B24" s="3" t="inlineStr"/>
      <c r="C24" s="2" t="inlineStr"/>
    </row>
    <row r="25">
      <c r="B25" s="6" t="inlineStr">
        <is>
          <t>Avertissement sur les numeros</t>
        </is>
      </c>
      <c r="C25" s="2" t="inlineStr"/>
    </row>
    <row r="26">
      <c r="B26" s="3" t="inlineStr"/>
      <c r="C26" s="2" t="inlineStr">
        <is>
          <t>Les numeros en fiabilite Moyenne viennent d'annuaires et n'ont pas ete verifies un par un.</t>
        </is>
      </c>
    </row>
    <row r="27">
      <c r="B27" s="3" t="inlineStr"/>
      <c r="C27" s="2" t="inlineStr">
        <is>
          <t>Les anciens numeros a 8 chiffres ont ete convertis au format post-2021. En cas d'echec, essayer le 2e numero de l'onglet Base contacts.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40" customWidth="1" min="4" max="4"/>
  </cols>
  <sheetData>
    <row r="1">
      <c r="B1" s="1" t="inlineStr">
        <is>
          <t>FICHE PROSPECT</t>
        </is>
      </c>
    </row>
    <row r="2">
      <c r="B2" s="7" t="inlineStr">
        <is>
          <t>Choisissez une ecole dans la liste deroulante : la fiche se remplit toute seule.</t>
        </is>
      </c>
    </row>
    <row r="4">
      <c r="B4" s="8" t="inlineStr">
        <is>
          <t>Ecole</t>
        </is>
      </c>
      <c r="C4" s="9" t="inlineStr">
        <is>
          <t>ABIDJAN BLOOM UNIVERSITY (ABU)</t>
        </is>
      </c>
    </row>
    <row r="6">
      <c r="B6" s="8" t="inlineStr">
        <is>
          <t>Type d'etablissement</t>
        </is>
      </c>
      <c r="C6" s="10">
        <f>IFERROR(INDEX('Base contacts'!$B$2:$B$691,MATCH($C$4,'Base contacts'!$A$2:$A$691,0)),"")</f>
        <v/>
      </c>
    </row>
    <row r="7">
      <c r="B7" s="8" t="inlineStr">
        <is>
          <t>Statut</t>
        </is>
      </c>
      <c r="C7" s="10">
        <f>IFERROR(INDEX('Base contacts'!$C$2:$C$691,MATCH($C$4,'Base contacts'!$A$2:$A$691,0)),"")</f>
        <v/>
      </c>
    </row>
    <row r="8">
      <c r="B8" s="8" t="inlineStr">
        <is>
          <t>Ville / Commune</t>
        </is>
      </c>
      <c r="C8" s="10">
        <f>IFERROR(INDEX('Base contacts'!$D$2:$D$691,MATCH($C$4,'Base contacts'!$A$2:$A$691,0)),"")</f>
        <v/>
      </c>
    </row>
    <row r="9">
      <c r="B9" s="8" t="inlineStr">
        <is>
          <t>Adresse</t>
        </is>
      </c>
      <c r="C9" s="10">
        <f>IFERROR(INDEX('Base contacts'!$E$2:$E$691,MATCH($C$4,'Base contacts'!$A$2:$A$691,0)),"")</f>
        <v/>
      </c>
    </row>
    <row r="11">
      <c r="B11" s="8" t="inlineStr">
        <is>
          <t>Telephone 1</t>
        </is>
      </c>
      <c r="C11" s="10">
        <f>IFERROR(INDEX('Base contacts'!$F$2:$F$691,MATCH($C$4,'Base contacts'!$A$2:$A$691,0)),"")</f>
        <v/>
      </c>
    </row>
    <row r="12">
      <c r="B12" s="8" t="inlineStr">
        <is>
          <t>Telephone 2</t>
        </is>
      </c>
      <c r="C12" s="10">
        <f>IFERROR(INDEX('Base contacts'!$G$2:$G$691,MATCH($C$4,'Base contacts'!$A$2:$A$691,0)),"")</f>
        <v/>
      </c>
    </row>
    <row r="13">
      <c r="B13" s="8" t="inlineStr">
        <is>
          <t>WhatsApp</t>
        </is>
      </c>
      <c r="C13" s="10">
        <f>IFERROR(INDEX('Base contacts'!$H$2:$H$691,MATCH($C$4,'Base contacts'!$A$2:$A$691,0)),"")</f>
        <v/>
      </c>
    </row>
    <row r="15">
      <c r="B15" s="8" t="inlineStr">
        <is>
          <t>Email</t>
        </is>
      </c>
      <c r="C15" s="10">
        <f>IFERROR(INDEX('Base contacts'!$I$2:$I$691,MATCH($C$4,'Base contacts'!$A$2:$A$691,0)),"")</f>
        <v/>
      </c>
    </row>
    <row r="16">
      <c r="B16" s="8" t="inlineStr">
        <is>
          <t>Etat de l'adresse</t>
        </is>
      </c>
      <c r="C16" s="10">
        <f>IFERROR(INDEX('Base contacts'!$O$2:$O$691,MATCH($C$4,'Base contacts'!$A$2:$A$691,0)),"")</f>
        <v/>
      </c>
    </row>
    <row r="17">
      <c r="B17" s="8" t="inlineStr">
        <is>
          <t>Site web</t>
        </is>
      </c>
      <c r="C17" s="10">
        <f>IFERROR(INDEX('Base contacts'!$J$2:$J$691,MATCH($C$4,'Base contacts'!$A$2:$A$691,0)),"")</f>
        <v/>
      </c>
    </row>
    <row r="19">
      <c r="B19" s="8" t="inlineStr">
        <is>
          <t>Interlocuteur a demander</t>
        </is>
      </c>
      <c r="C19" s="10">
        <f>IFERROR(INDEX('Base contacts'!$K$2:$K$691,MATCH($C$4,'Base contacts'!$A$2:$A$691,0)),"")</f>
        <v/>
      </c>
    </row>
    <row r="20">
      <c r="B20" s="8" t="inlineStr">
        <is>
          <t>Fiabilite du contact</t>
        </is>
      </c>
      <c r="C20" s="10">
        <f>IFERROR(INDEX('Base contacts'!$L$2:$L$691,MATCH($C$4,'Base contacts'!$A$2:$A$691,0)),"")</f>
        <v/>
      </c>
    </row>
    <row r="21">
      <c r="B21" s="8" t="inlineStr">
        <is>
          <t>Source</t>
        </is>
      </c>
      <c r="C21" s="10">
        <f>IFERROR(INDEX('Base contacts'!$M$2:$M$691,MATCH($C$4,'Base contacts'!$A$2:$A$691,0)),"")</f>
        <v/>
      </c>
    </row>
    <row r="22">
      <c r="B22" s="8" t="inlineStr">
        <is>
          <t>Filiere (segment)</t>
        </is>
      </c>
      <c r="C22" s="10">
        <f>IFERROR(INDEX('Base contacts'!$P$2:$P$691,MATCH($C$4,'Base contacts'!$A$2:$A$691,0)),"")</f>
        <v/>
      </c>
    </row>
    <row r="24">
      <c r="B24" s="11" t="inlineStr">
        <is>
          <t>Accroche WhatsApp a utiliser</t>
        </is>
      </c>
    </row>
    <row r="25">
      <c r="B25" s="12">
        <f>IFERROR(INDEX(Accroches!$C$5:$C$17,MATCH($C$22,Accroches!$B$5:$B$17,0)),"")</f>
        <v/>
      </c>
    </row>
    <row r="26"/>
    <row r="27"/>
    <row r="29">
      <c r="B29" s="11" t="inlineStr">
        <is>
          <t>Canal recommande</t>
        </is>
      </c>
    </row>
    <row r="30">
      <c r="B30" s="8" t="inlineStr">
        <is>
          <t>Par quoi commencer</t>
        </is>
      </c>
      <c r="C30" s="13">
        <f>IF($C$16="sans email","WhatsApp ou telephone : aucune adresse exploitable",IF($C$16="boite pleine","WhatsApp d'abord, la boite e-mail sature",IF($C$16="a verifier","E-mail possible mais adresse jamais testee : doubler par WhatsApp","E-mail puis relance WhatsApp")))</f>
        <v/>
      </c>
    </row>
    <row r="32">
      <c r="B32" s="11" t="inlineStr">
        <is>
          <t>A remplir pendant l'appel</t>
        </is>
      </c>
    </row>
    <row r="33">
      <c r="B33" s="8" t="inlineStr">
        <is>
          <t>Nom du Directeur des Etudes</t>
        </is>
      </c>
      <c r="C33" s="14" t="n"/>
    </row>
    <row r="34">
      <c r="B34" s="8" t="inlineStr">
        <is>
          <t>Date du 1er contact</t>
        </is>
      </c>
      <c r="C34" s="14" t="n"/>
    </row>
    <row r="35">
      <c r="B35" s="8" t="inlineStr">
        <is>
          <t>Statut</t>
        </is>
      </c>
      <c r="C35" s="14" t="n"/>
    </row>
    <row r="36">
      <c r="B36" s="8" t="inlineStr">
        <is>
          <t>Nb d'eleves annonce</t>
        </is>
      </c>
      <c r="C36" s="14" t="n"/>
    </row>
    <row r="37">
      <c r="B37" s="8" t="inlineStr">
        <is>
          <t>Nb de classes envisage</t>
        </is>
      </c>
      <c r="C37" s="14" t="n"/>
    </row>
    <row r="38">
      <c r="B38" s="8" t="inlineStr">
        <is>
          <t>Date de seance</t>
        </is>
      </c>
      <c r="C38" s="14" t="n"/>
    </row>
    <row r="39">
      <c r="B39" s="8" t="inlineStr">
        <is>
          <t>Notes</t>
        </is>
      </c>
      <c r="C39" s="14" t="n"/>
    </row>
    <row r="41">
      <c r="B41" s="7" t="inlineStr">
        <is>
          <t>Cette fiche ne conserve rien : elle affiche l'ecole choisie. Le suivi se tient dans l'onglet Suivi appels.</t>
        </is>
      </c>
    </row>
  </sheetData>
  <mergeCells count="2">
    <mergeCell ref="B41:D41"/>
    <mergeCell ref="B25:D27"/>
  </mergeCells>
  <dataValidations count="1">
    <dataValidation sqref="C4" showDropDown="0" showInputMessage="0" showErrorMessage="0" allowBlank="0" type="list">
      <formula1>='Base contacts'!$A$2:$A$691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60" customWidth="1" min="4" max="4"/>
  </cols>
  <sheetData>
    <row r="1">
      <c r="B1" s="1" t="inlineStr">
        <is>
          <t>TABLEAU DE BORD</t>
        </is>
      </c>
    </row>
    <row r="2">
      <c r="B2" s="15" t="inlineStr">
        <is>
          <t>Tout se calcule depuis l'onglet Suivi appels. La ligne d'exemple est exclue.</t>
        </is>
      </c>
    </row>
    <row r="4">
      <c r="B4" s="6" t="inlineStr">
        <is>
          <t>Ecoles dans la base</t>
        </is>
      </c>
      <c r="C4" s="16">
        <f>COUNTA('Suivi appels'!$B$3:$B$692)</f>
        <v/>
      </c>
      <c r="D4" s="17" t="inlineStr">
        <is>
          <t>Toutes vagues confondues</t>
        </is>
      </c>
    </row>
    <row r="5">
      <c r="B5" s="6" t="inlineStr">
        <is>
          <t>Ecoles contactees</t>
        </is>
      </c>
      <c r="C5" s="16">
        <f>COUNTIFS('Suivi appels'!$I$3:$I$692,"&lt;&gt;A contacter")</f>
        <v/>
      </c>
      <c r="D5" s="17" t="inlineStr">
        <is>
          <t>Statut different de A contacter</t>
        </is>
      </c>
    </row>
    <row r="6">
      <c r="B6" s="6" t="inlineStr">
        <is>
          <t>RDV fixes</t>
        </is>
      </c>
      <c r="C6" s="16">
        <f>COUNTIFS('Suivi appels'!$I$3:$I$692,"RDV fixe")</f>
        <v/>
      </c>
      <c r="D6" s="17" t="inlineStr"/>
    </row>
    <row r="7">
      <c r="B7" s="6" t="inlineStr">
        <is>
          <t>En negociation</t>
        </is>
      </c>
      <c r="C7" s="16">
        <f>COUNTIFS('Suivi appels'!$I$3:$I$692,"En negociation")</f>
        <v/>
      </c>
      <c r="D7" s="17" t="inlineStr"/>
    </row>
    <row r="8">
      <c r="B8" s="6" t="inlineStr">
        <is>
          <t>Ecoles signees</t>
        </is>
      </c>
      <c r="C8" s="16">
        <f>COUNTIFS('Suivi appels'!$I$3:$I$692,"Signe")</f>
        <v/>
      </c>
      <c r="D8" s="17" t="inlineStr"/>
    </row>
    <row r="9">
      <c r="B9" s="6" t="inlineStr">
        <is>
          <t>Taux de transformation</t>
        </is>
      </c>
      <c r="C9" s="18">
        <f>IFERROR(COUNTIFS('Suivi appels'!$I$3:$I$692,"Signe")/COUNTIFS('Suivi appels'!$I$3:$I$692,"&lt;&gt;A contacter"),"")</f>
        <v/>
      </c>
      <c r="D9" s="17" t="inlineStr">
        <is>
          <t>Signees / contactees</t>
        </is>
      </c>
    </row>
    <row r="11">
      <c r="B11" s="6" t="inlineStr">
        <is>
          <t>CA signe</t>
        </is>
      </c>
      <c r="C11" s="19">
        <f>SUMIFS('Suivi appels'!$O$3:$O$692,'Suivi appels'!$I$3:$I$692,"Signe")</f>
        <v/>
      </c>
      <c r="D11" s="17" t="inlineStr">
        <is>
          <t>Somme des montants attendus au statut Signe</t>
        </is>
      </c>
    </row>
    <row r="12">
      <c r="B12" s="6" t="inlineStr">
        <is>
          <t>CA en negociation</t>
        </is>
      </c>
      <c r="C12" s="19">
        <f>SUMIFS('Suivi appels'!$O$3:$O$692,'Suivi appels'!$I$3:$I$692,"En negociation")</f>
        <v/>
      </c>
      <c r="D12" s="17" t="inlineStr"/>
    </row>
    <row r="13">
      <c r="B13" s="6" t="inlineStr">
        <is>
          <t>CA potentiel total</t>
        </is>
      </c>
      <c r="C13" s="19">
        <f>SUM('Suivi appels'!$O$3:$O$692)</f>
        <v/>
      </c>
      <c r="D13" s="17" t="inlineStr">
        <is>
          <t>Tout ce qui est renseigne, tous statuts</t>
        </is>
      </c>
    </row>
    <row r="15">
      <c r="B15" s="6" t="inlineStr">
        <is>
          <t>Vague 1 - restant a contacter</t>
        </is>
      </c>
      <c r="C15" s="16">
        <f>COUNTIFS('Suivi appels'!$A$3:$A$692,1,'Suivi appels'!$I$3:$I$692,"A contacter")</f>
        <v/>
      </c>
      <c r="D15" s="17" t="inlineStr">
        <is>
          <t>Prive Abidjan, contact verifie</t>
        </is>
      </c>
    </row>
    <row r="16">
      <c r="B16" s="6" t="inlineStr">
        <is>
          <t>Vague 2 - restant a contacter</t>
        </is>
      </c>
      <c r="C16" s="16">
        <f>COUNTIFS('Suivi appels'!$A$3:$A$692,2,'Suivi appels'!$I$3:$I$692,"A contacter")</f>
        <v/>
      </c>
      <c r="D16" s="17" t="inlineStr">
        <is>
          <t>Prive, contact a qualifier</t>
        </is>
      </c>
    </row>
    <row r="17">
      <c r="B17" s="6" t="inlineStr">
        <is>
          <t>Vague 3 - restant a contacter</t>
        </is>
      </c>
      <c r="C17" s="16">
        <f>COUNTIFS('Suivi appels'!$A$3:$A$692,3,'Suivi appels'!$I$3:$I$692,"A contacter")</f>
        <v/>
      </c>
      <c r="D17" s="17" t="inlineStr">
        <is>
          <t>Public, circuit long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30" customWidth="1" min="3" max="3"/>
    <col width="19" customWidth="1" min="4" max="4"/>
    <col width="19" customWidth="1" min="5" max="5"/>
    <col width="30" customWidth="1" min="6" max="6"/>
    <col width="28" customWidth="1" min="7" max="7"/>
    <col width="15" customWidth="1" min="8" max="8"/>
    <col width="16" customWidth="1" min="9" max="9"/>
    <col width="13" customWidth="1" min="10" max="10"/>
    <col width="12" customWidth="1" min="11" max="11"/>
    <col width="12" customWidth="1" min="12" max="12"/>
    <col width="11" customWidth="1" min="13" max="13"/>
    <col width="13" customWidth="1" min="14" max="14"/>
    <col width="20" customWidth="1" min="15" max="15"/>
    <col width="34" customWidth="1" min="16" max="16"/>
  </cols>
  <sheetData>
    <row r="1" ht="30" customHeight="1">
      <c r="A1" s="20" t="inlineStr">
        <is>
          <t>Vague</t>
        </is>
      </c>
      <c r="B1" s="20" t="inlineStr">
        <is>
          <t>Ecole</t>
        </is>
      </c>
      <c r="C1" s="20" t="inlineStr">
        <is>
          <t>Commune</t>
        </is>
      </c>
      <c r="D1" s="20" t="inlineStr">
        <is>
          <t>Telephone</t>
        </is>
      </c>
      <c r="E1" s="20" t="inlineStr">
        <is>
          <t>WhatsApp</t>
        </is>
      </c>
      <c r="F1" s="20" t="inlineStr">
        <is>
          <t>Email</t>
        </is>
      </c>
      <c r="G1" s="20" t="inlineStr">
        <is>
          <t>Nom du Directeur des Etudes</t>
        </is>
      </c>
      <c r="H1" s="20" t="inlineStr">
        <is>
          <t>Date 1er contact</t>
        </is>
      </c>
      <c r="I1" s="20" t="inlineStr">
        <is>
          <t>Statut</t>
        </is>
      </c>
      <c r="J1" s="20" t="inlineStr">
        <is>
          <t>Montant par eleve</t>
        </is>
      </c>
      <c r="K1" s="20" t="inlineStr">
        <is>
          <t>Nb eleves par classe</t>
        </is>
      </c>
      <c r="L1" s="20" t="inlineStr">
        <is>
          <t>Nb seances negocie</t>
        </is>
      </c>
      <c r="M1" s="20" t="inlineStr">
        <is>
          <t>Nb classes</t>
        </is>
      </c>
      <c r="N1" s="20" t="inlineStr">
        <is>
          <t>Date seance</t>
        </is>
      </c>
      <c r="O1" s="20" t="inlineStr">
        <is>
          <t>Montant attendu (FCFA)</t>
        </is>
      </c>
      <c r="P1" s="20" t="inlineStr">
        <is>
          <t>Notes</t>
        </is>
      </c>
    </row>
    <row r="2">
      <c r="A2" s="21" t="n">
        <v>1</v>
      </c>
      <c r="B2" s="21" t="inlineStr">
        <is>
          <t>EXEMPLE - supprimer cette ligne</t>
        </is>
      </c>
      <c r="C2" s="21" t="inlineStr">
        <is>
          <t>Abidjan - Cocody</t>
        </is>
      </c>
      <c r="D2" s="21" t="inlineStr">
        <is>
          <t>+225 27 22 00 00 00</t>
        </is>
      </c>
      <c r="E2" s="21" t="inlineStr">
        <is>
          <t>+225 07 00 00 00 00</t>
        </is>
      </c>
      <c r="F2" s="21" t="inlineStr">
        <is>
          <t>exemple@ecole.ci</t>
        </is>
      </c>
      <c r="G2" s="22" t="inlineStr">
        <is>
          <t>M. KOUAME</t>
        </is>
      </c>
      <c r="H2" s="22" t="inlineStr">
        <is>
          <t>15/10/2026</t>
        </is>
      </c>
      <c r="I2" s="22" t="inlineStr">
        <is>
          <t>Signe</t>
        </is>
      </c>
      <c r="J2" s="23" t="n">
        <v>5000</v>
      </c>
      <c r="K2" s="22" t="n">
        <v>40</v>
      </c>
      <c r="L2" s="22" t="n">
        <v>2</v>
      </c>
      <c r="M2" s="22" t="n">
        <v>3</v>
      </c>
      <c r="N2" s="22" t="inlineStr">
        <is>
          <t>22/10/2026</t>
        </is>
      </c>
      <c r="O2" s="24">
        <f>IF(OR($J2="",$K2="",$M2=""),"",($J2+IF(AND($L2&gt;=2,$J2=5000),3000,0))*$K2*$M2)</f>
        <v/>
      </c>
      <c r="P2" s="22" t="inlineStr">
        <is>
          <t>2e seance negociee : +3 000 F/eleve applique automatiquement</t>
        </is>
      </c>
    </row>
    <row r="3">
      <c r="A3" s="25" t="n">
        <v>1</v>
      </c>
      <c r="B3" s="25" t="inlineStr">
        <is>
          <t>ABIDJAN BLOOM UNIVERSITY (ABU)</t>
        </is>
      </c>
      <c r="C3" s="25" t="inlineStr">
        <is>
          <t>Abidjan - Cocody</t>
        </is>
      </c>
      <c r="D3" s="25" t="inlineStr">
        <is>
          <t>+225 05 56 35 58 86</t>
        </is>
      </c>
      <c r="E3" s="25" t="inlineStr">
        <is>
          <t>+225 05 56 35 58 86</t>
        </is>
      </c>
      <c r="F3" s="25" t="inlineStr">
        <is>
          <t>infos@abu-ci.com</t>
        </is>
      </c>
      <c r="G3" s="26" t="inlineStr"/>
      <c r="H3" s="26" t="inlineStr"/>
      <c r="I3" s="26" t="inlineStr">
        <is>
          <t>A contacter</t>
        </is>
      </c>
      <c r="J3" s="27" t="n"/>
      <c r="K3" s="26" t="n"/>
      <c r="L3" s="26" t="n">
        <v>1</v>
      </c>
      <c r="M3" s="26" t="n"/>
      <c r="N3" s="26" t="inlineStr"/>
      <c r="O3" s="28">
        <f>IF(OR($J3="",$K3="",$M3=""),"",($J3+IF(AND($L3&gt;=2,$J3=5000),3000,0))*$K3*$M3)</f>
        <v/>
      </c>
      <c r="P3" s="26" t="inlineStr"/>
    </row>
    <row r="4">
      <c r="A4" s="25" t="n">
        <v>1</v>
      </c>
      <c r="B4" s="25" t="inlineStr">
        <is>
          <t>ABIDJAN BUSINESS SCHOOL (ABS)</t>
        </is>
      </c>
      <c r="C4" s="25" t="inlineStr">
        <is>
          <t>Abidjan - Cocody</t>
        </is>
      </c>
      <c r="D4" s="25" t="inlineStr"/>
      <c r="E4" s="25" t="inlineStr"/>
      <c r="F4" s="25" t="inlineStr"/>
      <c r="G4" s="26" t="inlineStr"/>
      <c r="H4" s="26" t="inlineStr"/>
      <c r="I4" s="26" t="inlineStr">
        <is>
          <t>A contacter</t>
        </is>
      </c>
      <c r="J4" s="27" t="n"/>
      <c r="K4" s="26" t="n"/>
      <c r="L4" s="26" t="n">
        <v>1</v>
      </c>
      <c r="M4" s="26" t="n"/>
      <c r="N4" s="26" t="inlineStr"/>
      <c r="O4" s="28">
        <f>IF(OR($J4="",$K4="",$M4=""),"",($J4+IF(AND($L4&gt;=2,$J4=5000),3000,0))*$K4*$M4)</f>
        <v/>
      </c>
      <c r="P4" s="26" t="inlineStr"/>
    </row>
    <row r="5">
      <c r="A5" s="25" t="n">
        <v>1</v>
      </c>
      <c r="B5" s="25" t="inlineStr">
        <is>
          <t>ACADEMIE DE GESTION ET D'HOTELLERIE (AGH)</t>
        </is>
      </c>
      <c r="C5" s="25" t="inlineStr">
        <is>
          <t>Abidjan - Cocody</t>
        </is>
      </c>
      <c r="D5" s="25" t="inlineStr">
        <is>
          <t>+225 07 07 33 00 99</t>
        </is>
      </c>
      <c r="E5" s="25" t="inlineStr">
        <is>
          <t>+225 07 07 33 00 99</t>
        </is>
      </c>
      <c r="F5" s="25" t="inlineStr">
        <is>
          <t>agh02@yahoo.fr</t>
        </is>
      </c>
      <c r="G5" s="26" t="inlineStr"/>
      <c r="H5" s="26" t="inlineStr"/>
      <c r="I5" s="26" t="inlineStr">
        <is>
          <t>A contacter</t>
        </is>
      </c>
      <c r="J5" s="27" t="n"/>
      <c r="K5" s="26" t="n"/>
      <c r="L5" s="26" t="n">
        <v>1</v>
      </c>
      <c r="M5" s="26" t="n"/>
      <c r="N5" s="26" t="inlineStr"/>
      <c r="O5" s="28">
        <f>IF(OR($J5="",$K5="",$M5=""),"",($J5+IF(AND($L5&gt;=2,$J5=5000),3000,0))*$K5*$M5)</f>
        <v/>
      </c>
      <c r="P5" s="26" t="inlineStr"/>
    </row>
    <row r="6">
      <c r="A6" s="25" t="n">
        <v>1</v>
      </c>
      <c r="B6" s="25" t="inlineStr">
        <is>
          <t>ACADEMIE DE L'ENTREPRENEURIAT ET DES METIERS (AEM) YOPOUGON</t>
        </is>
      </c>
      <c r="C6" s="25" t="inlineStr">
        <is>
          <t>Abidjan - Yopougon</t>
        </is>
      </c>
      <c r="D6" s="25" t="inlineStr"/>
      <c r="E6" s="25" t="inlineStr"/>
      <c r="F6" s="25" t="inlineStr"/>
      <c r="G6" s="26" t="inlineStr"/>
      <c r="H6" s="26" t="inlineStr"/>
      <c r="I6" s="26" t="inlineStr">
        <is>
          <t>A contacter</t>
        </is>
      </c>
      <c r="J6" s="27" t="n"/>
      <c r="K6" s="26" t="n"/>
      <c r="L6" s="26" t="n">
        <v>1</v>
      </c>
      <c r="M6" s="26" t="n"/>
      <c r="N6" s="26" t="inlineStr"/>
      <c r="O6" s="28">
        <f>IF(OR($J6="",$K6="",$M6=""),"",($J6+IF(AND($L6&gt;=2,$J6=5000),3000,0))*$K6*$M6)</f>
        <v/>
      </c>
      <c r="P6" s="26" t="inlineStr"/>
    </row>
    <row r="7">
      <c r="A7" s="25" t="n">
        <v>1</v>
      </c>
      <c r="B7" s="25" t="inlineStr">
        <is>
          <t>ACADEMIE DES SCIENCES TECHNOLOGIQUES ET COMPTABLES (ASTC PLATEAU)</t>
        </is>
      </c>
      <c r="C7" s="25" t="inlineStr">
        <is>
          <t>Abidjan - Plateau</t>
        </is>
      </c>
      <c r="D7" s="25" t="inlineStr">
        <is>
          <t>+225 27 20 32 21 15</t>
        </is>
      </c>
      <c r="E7" s="25" t="inlineStr"/>
      <c r="F7" s="25" t="inlineStr">
        <is>
          <t>astc2003@yahoo.fr</t>
        </is>
      </c>
      <c r="G7" s="26" t="inlineStr"/>
      <c r="H7" s="26" t="inlineStr"/>
      <c r="I7" s="26" t="inlineStr">
        <is>
          <t>A contacter</t>
        </is>
      </c>
      <c r="J7" s="27" t="n"/>
      <c r="K7" s="26" t="n"/>
      <c r="L7" s="26" t="n">
        <v>1</v>
      </c>
      <c r="M7" s="26" t="n"/>
      <c r="N7" s="26" t="inlineStr"/>
      <c r="O7" s="28">
        <f>IF(OR($J7="",$K7="",$M7=""),"",($J7+IF(AND($L7&gt;=2,$J7=5000),3000,0))*$K7*$M7)</f>
        <v/>
      </c>
      <c r="P7" s="26" t="inlineStr"/>
    </row>
    <row r="8">
      <c r="A8" s="25" t="n">
        <v>1</v>
      </c>
      <c r="B8" s="25" t="inlineStr">
        <is>
          <t>ACADEMIE DES SCIENCES TECHNOLOGIQUES ET COMPTABLES COCODY (ASTC COCODY)</t>
        </is>
      </c>
      <c r="C8" s="25" t="inlineStr">
        <is>
          <t>Abidjan - Cocody</t>
        </is>
      </c>
      <c r="D8" s="25" t="inlineStr">
        <is>
          <t>+225 27 22 41 16 11</t>
        </is>
      </c>
      <c r="E8" s="25" t="inlineStr"/>
      <c r="F8" s="25" t="inlineStr">
        <is>
          <t>astc2plateaux@yahoo.com</t>
        </is>
      </c>
      <c r="G8" s="26" t="inlineStr"/>
      <c r="H8" s="26" t="inlineStr"/>
      <c r="I8" s="26" t="inlineStr">
        <is>
          <t>A contacter</t>
        </is>
      </c>
      <c r="J8" s="27" t="n"/>
      <c r="K8" s="26" t="n"/>
      <c r="L8" s="26" t="n">
        <v>1</v>
      </c>
      <c r="M8" s="26" t="n"/>
      <c r="N8" s="26" t="inlineStr"/>
      <c r="O8" s="28">
        <f>IF(OR($J8="",$K8="",$M8=""),"",($J8+IF(AND($L8&gt;=2,$J8=5000),3000,0))*$K8*$M8)</f>
        <v/>
      </c>
      <c r="P8" s="26" t="inlineStr"/>
    </row>
    <row r="9">
      <c r="A9" s="25" t="n">
        <v>1</v>
      </c>
      <c r="B9" s="25" t="inlineStr">
        <is>
          <t>ACADEMIE ELITES</t>
        </is>
      </c>
      <c r="C9" s="25" t="inlineStr">
        <is>
          <t>Abidjan - Yopougon</t>
        </is>
      </c>
      <c r="D9" s="25" t="inlineStr">
        <is>
          <t>+225 27 23 41 94 43</t>
        </is>
      </c>
      <c r="E9" s="25" t="inlineStr">
        <is>
          <t>+225 01 01 44 74 44</t>
        </is>
      </c>
      <c r="F9" s="25" t="inlineStr">
        <is>
          <t>info@academie-elites.com</t>
        </is>
      </c>
      <c r="G9" s="26" t="inlineStr"/>
      <c r="H9" s="26" t="inlineStr"/>
      <c r="I9" s="26" t="inlineStr">
        <is>
          <t>A contacter</t>
        </is>
      </c>
      <c r="J9" s="27" t="n"/>
      <c r="K9" s="26" t="n"/>
      <c r="L9" s="26" t="n">
        <v>1</v>
      </c>
      <c r="M9" s="26" t="n"/>
      <c r="N9" s="26" t="inlineStr"/>
      <c r="O9" s="28">
        <f>IF(OR($J9="",$K9="",$M9=""),"",($J9+IF(AND($L9&gt;=2,$J9=5000),3000,0))*$K9*$M9)</f>
        <v/>
      </c>
      <c r="P9" s="26" t="inlineStr"/>
    </row>
    <row r="10">
      <c r="A10" s="25" t="n">
        <v>1</v>
      </c>
      <c r="B10" s="25" t="inlineStr">
        <is>
          <t>ACADEMIE FICOGES COCODY</t>
        </is>
      </c>
      <c r="C10" s="25" t="inlineStr">
        <is>
          <t>Abidjan - Cocody</t>
        </is>
      </c>
      <c r="D10" s="25" t="inlineStr">
        <is>
          <t>+225 27 22 52 58 66</t>
        </is>
      </c>
      <c r="E10" s="25" t="inlineStr"/>
      <c r="F10" s="25" t="inlineStr">
        <is>
          <t>academieficoges@yahoo.fr</t>
        </is>
      </c>
      <c r="G10" s="26" t="inlineStr"/>
      <c r="H10" s="26" t="inlineStr"/>
      <c r="I10" s="26" t="inlineStr">
        <is>
          <t>A contacter</t>
        </is>
      </c>
      <c r="J10" s="27" t="n"/>
      <c r="K10" s="26" t="n"/>
      <c r="L10" s="26" t="n">
        <v>1</v>
      </c>
      <c r="M10" s="26" t="n"/>
      <c r="N10" s="26" t="inlineStr"/>
      <c r="O10" s="28">
        <f>IF(OR($J10="",$K10="",$M10=""),"",($J10+IF(AND($L10&gt;=2,$J10=5000),3000,0))*$K10*$M10)</f>
        <v/>
      </c>
      <c r="P10" s="26" t="inlineStr"/>
    </row>
    <row r="11">
      <c r="A11" s="25" t="n">
        <v>1</v>
      </c>
      <c r="B11" s="25" t="inlineStr">
        <is>
          <t>ACADEMIE INTERNATIONALE DES SCIENCES ET TECHNIQUES RIVIERA BONOUMIN (AIST RIVIERA BONOUMIN)</t>
        </is>
      </c>
      <c r="C11" s="25" t="inlineStr">
        <is>
          <t>Abidjan - Riviera</t>
        </is>
      </c>
      <c r="D11" s="25" t="inlineStr">
        <is>
          <t>+225 27 22 47 36 33</t>
        </is>
      </c>
      <c r="E11" s="25" t="inlineStr"/>
      <c r="F11" s="25" t="inlineStr">
        <is>
          <t>aistacademie@yahoo.fr</t>
        </is>
      </c>
      <c r="G11" s="26" t="inlineStr"/>
      <c r="H11" s="26" t="inlineStr"/>
      <c r="I11" s="26" t="inlineStr">
        <is>
          <t>A contacter</t>
        </is>
      </c>
      <c r="J11" s="27" t="n"/>
      <c r="K11" s="26" t="n"/>
      <c r="L11" s="26" t="n">
        <v>1</v>
      </c>
      <c r="M11" s="26" t="n"/>
      <c r="N11" s="26" t="inlineStr"/>
      <c r="O11" s="28">
        <f>IF(OR($J11="",$K11="",$M11=""),"",($J11+IF(AND($L11&gt;=2,$J11=5000),3000,0))*$K11*$M11)</f>
        <v/>
      </c>
      <c r="P11" s="26" t="inlineStr"/>
    </row>
    <row r="12">
      <c r="A12" s="25" t="n">
        <v>1</v>
      </c>
      <c r="B12" s="25" t="inlineStr">
        <is>
          <t>ACADEMIE INTERNATIONALE DES SCIENCES ET TECHNIQUES TREICHVILLE (AIST TREICHVILLE)</t>
        </is>
      </c>
      <c r="C12" s="25" t="inlineStr">
        <is>
          <t>Abidjan - Treichville</t>
        </is>
      </c>
      <c r="D12" s="25" t="inlineStr">
        <is>
          <t>+225 27 21 24 12 18</t>
        </is>
      </c>
      <c r="E12" s="25" t="inlineStr">
        <is>
          <t>+225 07 07 48 36 18</t>
        </is>
      </c>
      <c r="F12" s="25" t="inlineStr">
        <is>
          <t>aist.treichville1@gmail.com</t>
        </is>
      </c>
      <c r="G12" s="26" t="inlineStr"/>
      <c r="H12" s="26" t="inlineStr"/>
      <c r="I12" s="26" t="inlineStr">
        <is>
          <t>A contacter</t>
        </is>
      </c>
      <c r="J12" s="27" t="n"/>
      <c r="K12" s="26" t="n"/>
      <c r="L12" s="26" t="n">
        <v>1</v>
      </c>
      <c r="M12" s="26" t="n"/>
      <c r="N12" s="26" t="inlineStr"/>
      <c r="O12" s="28">
        <f>IF(OR($J12="",$K12="",$M12=""),"",($J12+IF(AND($L12&gt;=2,$J12=5000),3000,0))*$K12*$M12)</f>
        <v/>
      </c>
      <c r="P12" s="26" t="inlineStr"/>
    </row>
    <row r="13">
      <c r="A13" s="25" t="n">
        <v>1</v>
      </c>
      <c r="B13" s="25" t="inlineStr">
        <is>
          <t>ACADEMIE LIBRE DE TECHNOLOGIE-INSTITUT SECONDAIRE DE TECHNOLOGIE (ALT-ISTEA YOPOUGON)</t>
        </is>
      </c>
      <c r="C13" s="25" t="inlineStr">
        <is>
          <t>Abidjan - Yopougon</t>
        </is>
      </c>
      <c r="D13" s="25" t="inlineStr">
        <is>
          <t>+225 01 42 73 72 28</t>
        </is>
      </c>
      <c r="E13" s="25" t="inlineStr">
        <is>
          <t>+225 01 42 73 72 28</t>
        </is>
      </c>
      <c r="F13" s="25" t="inlineStr">
        <is>
          <t>altistea@yahoo.fr</t>
        </is>
      </c>
      <c r="G13" s="26" t="inlineStr"/>
      <c r="H13" s="26" t="inlineStr"/>
      <c r="I13" s="26" t="inlineStr">
        <is>
          <t>A contacter</t>
        </is>
      </c>
      <c r="J13" s="27" t="n"/>
      <c r="K13" s="26" t="n"/>
      <c r="L13" s="26" t="n">
        <v>1</v>
      </c>
      <c r="M13" s="26" t="n"/>
      <c r="N13" s="26" t="inlineStr"/>
      <c r="O13" s="28">
        <f>IF(OR($J13="",$K13="",$M13=""),"",($J13+IF(AND($L13&gt;=2,$J13=5000),3000,0))*$K13*$M13)</f>
        <v/>
      </c>
      <c r="P13" s="26" t="inlineStr"/>
    </row>
    <row r="14">
      <c r="A14" s="25" t="n">
        <v>1</v>
      </c>
      <c r="B14" s="25" t="inlineStr">
        <is>
          <t>AFRICAN SCHOOL OF ECONOMICS COTE D'IVOIRE (ASE-CI)</t>
        </is>
      </c>
      <c r="C14" s="25" t="inlineStr">
        <is>
          <t>Abidjan - Cocody</t>
        </is>
      </c>
      <c r="D14" s="25" t="inlineStr">
        <is>
          <t>+225 07 11 01 37 32</t>
        </is>
      </c>
      <c r="E14" s="25" t="inlineStr">
        <is>
          <t>+225 07 11 01 37 32</t>
        </is>
      </c>
      <c r="F14" s="25" t="inlineStr">
        <is>
          <t>aseabidjan@africanschoolofeconomics.com</t>
        </is>
      </c>
      <c r="G14" s="26" t="inlineStr"/>
      <c r="H14" s="26" t="inlineStr"/>
      <c r="I14" s="26" t="inlineStr">
        <is>
          <t>A contacter</t>
        </is>
      </c>
      <c r="J14" s="27" t="n"/>
      <c r="K14" s="26" t="n"/>
      <c r="L14" s="26" t="n">
        <v>1</v>
      </c>
      <c r="M14" s="26" t="n"/>
      <c r="N14" s="26" t="inlineStr"/>
      <c r="O14" s="28">
        <f>IF(OR($J14="",$K14="",$M14=""),"",($J14+IF(AND($L14&gt;=2,$J14=5000),3000,0))*$K14*$M14)</f>
        <v/>
      </c>
      <c r="P14" s="26" t="inlineStr"/>
    </row>
    <row r="15">
      <c r="A15" s="25" t="n">
        <v>1</v>
      </c>
      <c r="B15" s="25" t="inlineStr">
        <is>
          <t>AFRICAN VISION INSTITUT DE DEVELOPPEMENT ET D'ECONOMIE (AVIDE EDUCATION)</t>
        </is>
      </c>
      <c r="C15" s="25" t="inlineStr">
        <is>
          <t>Abidjan - Cocody</t>
        </is>
      </c>
      <c r="D15" s="25" t="inlineStr">
        <is>
          <t>+225 27 22 45 66 09</t>
        </is>
      </c>
      <c r="E15" s="25" t="inlineStr"/>
      <c r="F15" s="25" t="inlineStr">
        <is>
          <t>info@avide-edu.org</t>
        </is>
      </c>
      <c r="G15" s="26" t="inlineStr"/>
      <c r="H15" s="26" t="inlineStr"/>
      <c r="I15" s="26" t="inlineStr">
        <is>
          <t>A contacter</t>
        </is>
      </c>
      <c r="J15" s="27" t="n"/>
      <c r="K15" s="26" t="n"/>
      <c r="L15" s="26" t="n">
        <v>1</v>
      </c>
      <c r="M15" s="26" t="n"/>
      <c r="N15" s="26" t="inlineStr"/>
      <c r="O15" s="28">
        <f>IF(OR($J15="",$K15="",$M15=""),"",($J15+IF(AND($L15&gt;=2,$J15=5000),3000,0))*$K15*$M15)</f>
        <v/>
      </c>
      <c r="P15" s="26" t="inlineStr"/>
    </row>
    <row r="16">
      <c r="A16" s="25" t="n">
        <v>1</v>
      </c>
      <c r="B16" s="25" t="inlineStr">
        <is>
          <t>AFRIQUE FORMATION</t>
        </is>
      </c>
      <c r="C16" s="25" t="inlineStr">
        <is>
          <t>Abidjan - Koumassi</t>
        </is>
      </c>
      <c r="D16" s="25" t="inlineStr">
        <is>
          <t>+225 01 51 11 01 57</t>
        </is>
      </c>
      <c r="E16" s="25" t="inlineStr">
        <is>
          <t>+225 01 51 11 01 57</t>
        </is>
      </c>
      <c r="F16" s="25" t="inlineStr">
        <is>
          <t>directionafriqueformation@gmail.com</t>
        </is>
      </c>
      <c r="G16" s="26" t="inlineStr"/>
      <c r="H16" s="26" t="inlineStr"/>
      <c r="I16" s="26" t="inlineStr">
        <is>
          <t>A contacter</t>
        </is>
      </c>
      <c r="J16" s="27" t="n"/>
      <c r="K16" s="26" t="n"/>
      <c r="L16" s="26" t="n">
        <v>1</v>
      </c>
      <c r="M16" s="26" t="n"/>
      <c r="N16" s="26" t="inlineStr"/>
      <c r="O16" s="28">
        <f>IF(OR($J16="",$K16="",$M16=""),"",($J16+IF(AND($L16&gt;=2,$J16=5000),3000,0))*$K16*$M16)</f>
        <v/>
      </c>
      <c r="P16" s="26" t="inlineStr"/>
    </row>
    <row r="17">
      <c r="A17" s="25" t="n">
        <v>1</v>
      </c>
      <c r="B17" s="25" t="inlineStr">
        <is>
          <t>AGITEL-FORMATION</t>
        </is>
      </c>
      <c r="C17" s="25" t="inlineStr">
        <is>
          <t>Abidjan - Cocody Riviera Palmeraie</t>
        </is>
      </c>
      <c r="D17" s="25" t="inlineStr">
        <is>
          <t>+225 27 22 23 60 03</t>
        </is>
      </c>
      <c r="E17" s="25" t="inlineStr">
        <is>
          <t>+225 07 89 49 95 65</t>
        </is>
      </c>
      <c r="F17" s="25" t="inlineStr">
        <is>
          <t>infos@agitel-formation.net</t>
        </is>
      </c>
      <c r="G17" s="26" t="inlineStr"/>
      <c r="H17" s="26" t="inlineStr"/>
      <c r="I17" s="26" t="inlineStr">
        <is>
          <t>A contacter</t>
        </is>
      </c>
      <c r="J17" s="27" t="n"/>
      <c r="K17" s="26" t="n"/>
      <c r="L17" s="26" t="n">
        <v>1</v>
      </c>
      <c r="M17" s="26" t="n"/>
      <c r="N17" s="26" t="inlineStr"/>
      <c r="O17" s="28">
        <f>IF(OR($J17="",$K17="",$M17=""),"",($J17+IF(AND($L17&gt;=2,$J17=5000),3000,0))*$K17*$M17)</f>
        <v/>
      </c>
      <c r="P17" s="26" t="inlineStr"/>
    </row>
    <row r="18">
      <c r="A18" s="25" t="n">
        <v>1</v>
      </c>
      <c r="B18" s="25" t="inlineStr">
        <is>
          <t>AIST Plateau - Academie Internationale des Sciences et Techniques</t>
        </is>
      </c>
      <c r="C18" s="25" t="inlineStr">
        <is>
          <t>Abidjan - Plateau</t>
        </is>
      </c>
      <c r="D18" s="25" t="inlineStr">
        <is>
          <t>+225 27 20 22 60 20</t>
        </is>
      </c>
      <c r="E18" s="25" t="inlineStr">
        <is>
          <t>+225 05 05 99 45 13</t>
        </is>
      </c>
      <c r="F18" s="25" t="inlineStr">
        <is>
          <t>aistplateau@gmail.com</t>
        </is>
      </c>
      <c r="G18" s="26" t="inlineStr"/>
      <c r="H18" s="26" t="inlineStr"/>
      <c r="I18" s="26" t="inlineStr">
        <is>
          <t>A contacter</t>
        </is>
      </c>
      <c r="J18" s="27" t="n"/>
      <c r="K18" s="26" t="n"/>
      <c r="L18" s="26" t="n">
        <v>1</v>
      </c>
      <c r="M18" s="26" t="n"/>
      <c r="N18" s="26" t="inlineStr"/>
      <c r="O18" s="28">
        <f>IF(OR($J18="",$K18="",$M18=""),"",($J18+IF(AND($L18&gt;=2,$J18=5000),3000,0))*$K18*$M18)</f>
        <v/>
      </c>
      <c r="P18" s="26" t="inlineStr"/>
    </row>
    <row r="19">
      <c r="A19" s="25" t="n">
        <v>1</v>
      </c>
      <c r="B19" s="25" t="inlineStr">
        <is>
          <t>ALT - ISTEA</t>
        </is>
      </c>
      <c r="C19" s="25" t="inlineStr">
        <is>
          <t>Abidjan - Yopougon</t>
        </is>
      </c>
      <c r="D19" s="25" t="inlineStr">
        <is>
          <t>+225 27 20 21 13 58</t>
        </is>
      </c>
      <c r="E19" s="25" t="inlineStr"/>
      <c r="F19" s="25" t="inlineStr"/>
      <c r="G19" s="26" t="inlineStr"/>
      <c r="H19" s="26" t="inlineStr"/>
      <c r="I19" s="26" t="inlineStr">
        <is>
          <t>A contacter</t>
        </is>
      </c>
      <c r="J19" s="27" t="n"/>
      <c r="K19" s="26" t="n"/>
      <c r="L19" s="26" t="n">
        <v>1</v>
      </c>
      <c r="M19" s="26" t="n"/>
      <c r="N19" s="26" t="inlineStr"/>
      <c r="O19" s="28">
        <f>IF(OR($J19="",$K19="",$M19=""),"",($J19+IF(AND($L19&gt;=2,$J19=5000),3000,0))*$K19*$M19)</f>
        <v/>
      </c>
      <c r="P19" s="26" t="inlineStr"/>
    </row>
    <row r="20">
      <c r="A20" s="25" t="n">
        <v>1</v>
      </c>
      <c r="B20" s="25" t="inlineStr">
        <is>
          <t>ATLANTIQUE INTERNATIONAL BUSINESS SCHOOL (AIBS)</t>
        </is>
      </c>
      <c r="C20" s="25" t="inlineStr">
        <is>
          <t>Abidjan - Cocody</t>
        </is>
      </c>
      <c r="D20" s="25" t="inlineStr">
        <is>
          <t>+225 27 22 44 50 49</t>
        </is>
      </c>
      <c r="E20" s="25" t="inlineStr"/>
      <c r="F20" s="25" t="inlineStr">
        <is>
          <t>info@atlantique-ibs.net</t>
        </is>
      </c>
      <c r="G20" s="26" t="inlineStr"/>
      <c r="H20" s="26" t="inlineStr"/>
      <c r="I20" s="26" t="inlineStr">
        <is>
          <t>A contacter</t>
        </is>
      </c>
      <c r="J20" s="27" t="n"/>
      <c r="K20" s="26" t="n"/>
      <c r="L20" s="26" t="n">
        <v>1</v>
      </c>
      <c r="M20" s="26" t="n"/>
      <c r="N20" s="26" t="inlineStr"/>
      <c r="O20" s="28">
        <f>IF(OR($J20="",$K20="",$M20=""),"",($J20+IF(AND($L20&gt;=2,$J20=5000),3000,0))*$K20*$M20)</f>
        <v/>
      </c>
      <c r="P20" s="26" t="inlineStr"/>
    </row>
    <row r="21">
      <c r="A21" s="25" t="n">
        <v>1</v>
      </c>
      <c r="B21" s="25" t="inlineStr">
        <is>
          <t>ATSAM-AGI</t>
        </is>
      </c>
      <c r="C21" s="25" t="inlineStr">
        <is>
          <t>Abidjan - Yopougon</t>
        </is>
      </c>
      <c r="D21" s="25" t="inlineStr">
        <is>
          <t>+225 27 35 97 06 41</t>
        </is>
      </c>
      <c r="E21" s="25" t="inlineStr">
        <is>
          <t>+225 07 04 29 54 99</t>
        </is>
      </c>
      <c r="F21" s="25" t="inlineStr">
        <is>
          <t>atsam.agi@gmail.com</t>
        </is>
      </c>
      <c r="G21" s="26" t="inlineStr"/>
      <c r="H21" s="26" t="inlineStr"/>
      <c r="I21" s="26" t="inlineStr">
        <is>
          <t>A contacter</t>
        </is>
      </c>
      <c r="J21" s="27" t="n"/>
      <c r="K21" s="26" t="n"/>
      <c r="L21" s="26" t="n">
        <v>1</v>
      </c>
      <c r="M21" s="26" t="n"/>
      <c r="N21" s="26" t="inlineStr"/>
      <c r="O21" s="28">
        <f>IF(OR($J21="",$K21="",$M21=""),"",($J21+IF(AND($L21&gt;=2,$J21=5000),3000,0))*$K21*$M21)</f>
        <v/>
      </c>
      <c r="P21" s="26" t="inlineStr"/>
    </row>
    <row r="22">
      <c r="A22" s="25" t="n">
        <v>1</v>
      </c>
      <c r="B22" s="25" t="inlineStr">
        <is>
          <t>BA’OULEHN INSTITUTE OF TECHNOLOGIE (BIT )</t>
        </is>
      </c>
      <c r="C22" s="25" t="inlineStr">
        <is>
          <t>Abidjan - Cocody</t>
        </is>
      </c>
      <c r="D22" s="25" t="inlineStr">
        <is>
          <t>+225 05 05 59 91 56</t>
        </is>
      </c>
      <c r="E22" s="25" t="inlineStr">
        <is>
          <t>+225 05 05 59 91 56</t>
        </is>
      </c>
      <c r="F22" s="25" t="inlineStr">
        <is>
          <t>baoulehninstitute@gmail.com</t>
        </is>
      </c>
      <c r="G22" s="26" t="inlineStr"/>
      <c r="H22" s="26" t="inlineStr"/>
      <c r="I22" s="26" t="inlineStr">
        <is>
          <t>A contacter</t>
        </is>
      </c>
      <c r="J22" s="27" t="n"/>
      <c r="K22" s="26" t="n"/>
      <c r="L22" s="26" t="n">
        <v>1</v>
      </c>
      <c r="M22" s="26" t="n"/>
      <c r="N22" s="26" t="inlineStr"/>
      <c r="O22" s="28">
        <f>IF(OR($J22="",$K22="",$M22=""),"",($J22+IF(AND($L22&gt;=2,$J22=5000),3000,0))*$K22*$M22)</f>
        <v/>
      </c>
      <c r="P22" s="26" t="inlineStr"/>
    </row>
    <row r="23">
      <c r="A23" s="25" t="n">
        <v>1</v>
      </c>
      <c r="B23" s="25" t="inlineStr">
        <is>
          <t>BEM Ecole de Banque et de Finance</t>
        </is>
      </c>
      <c r="C23" s="25" t="inlineStr">
        <is>
          <t>Abidjan Cocody</t>
        </is>
      </c>
      <c r="D23" s="25" t="inlineStr">
        <is>
          <t>+225 27 21 77 67 41</t>
        </is>
      </c>
      <c r="E23" s="25" t="inlineStr">
        <is>
          <t>+225 07 77 49 77 49</t>
        </is>
      </c>
      <c r="F23" s="25" t="inlineStr">
        <is>
          <t>contact@bem.ci</t>
        </is>
      </c>
      <c r="G23" s="26" t="inlineStr"/>
      <c r="H23" s="26" t="inlineStr"/>
      <c r="I23" s="26" t="inlineStr">
        <is>
          <t>A contacter</t>
        </is>
      </c>
      <c r="J23" s="27" t="n"/>
      <c r="K23" s="26" t="n"/>
      <c r="L23" s="26" t="n">
        <v>1</v>
      </c>
      <c r="M23" s="26" t="n"/>
      <c r="N23" s="26" t="inlineStr"/>
      <c r="O23" s="28">
        <f>IF(OR($J23="",$K23="",$M23=""),"",($J23+IF(AND($L23&gt;=2,$J23=5000),3000,0))*$K23*$M23)</f>
        <v/>
      </c>
      <c r="P23" s="26" t="inlineStr"/>
    </row>
    <row r="24">
      <c r="A24" s="25" t="n">
        <v>1</v>
      </c>
      <c r="B24" s="25" t="inlineStr">
        <is>
          <t>BRITISH INTERNATIONALUNIVERSITY (BIU)</t>
        </is>
      </c>
      <c r="C24" s="25" t="inlineStr">
        <is>
          <t>Abidjan - Cocody</t>
        </is>
      </c>
      <c r="D24" s="25" t="inlineStr">
        <is>
          <t>+225 27 22 24 63 17</t>
        </is>
      </c>
      <c r="E24" s="25" t="inlineStr">
        <is>
          <t>+225 07 88 20 20 20</t>
        </is>
      </c>
      <c r="F24" s="25" t="inlineStr">
        <is>
          <t>admission@biu.education</t>
        </is>
      </c>
      <c r="G24" s="26" t="inlineStr"/>
      <c r="H24" s="26" t="inlineStr"/>
      <c r="I24" s="26" t="inlineStr">
        <is>
          <t>A contacter</t>
        </is>
      </c>
      <c r="J24" s="27" t="n"/>
      <c r="K24" s="26" t="n"/>
      <c r="L24" s="26" t="n">
        <v>1</v>
      </c>
      <c r="M24" s="26" t="n"/>
      <c r="N24" s="26" t="inlineStr"/>
      <c r="O24" s="28">
        <f>IF(OR($J24="",$K24="",$M24=""),"",($J24+IF(AND($L24&gt;=2,$J24=5000),3000,0))*$K24*$M24)</f>
        <v/>
      </c>
      <c r="P24" s="26" t="inlineStr"/>
    </row>
    <row r="25">
      <c r="A25" s="25" t="n">
        <v>1</v>
      </c>
      <c r="B25" s="25" t="inlineStr">
        <is>
          <t>CELIA TREICHVILLE/EP2005</t>
        </is>
      </c>
      <c r="C25" s="25" t="inlineStr">
        <is>
          <t>Abidjan - Treichville</t>
        </is>
      </c>
      <c r="D25" s="25" t="inlineStr"/>
      <c r="E25" s="25" t="inlineStr"/>
      <c r="F25" s="25" t="inlineStr"/>
      <c r="G25" s="26" t="inlineStr"/>
      <c r="H25" s="26" t="inlineStr"/>
      <c r="I25" s="26" t="inlineStr">
        <is>
          <t>A contacter</t>
        </is>
      </c>
      <c r="J25" s="27" t="n"/>
      <c r="K25" s="26" t="n"/>
      <c r="L25" s="26" t="n">
        <v>1</v>
      </c>
      <c r="M25" s="26" t="n"/>
      <c r="N25" s="26" t="inlineStr"/>
      <c r="O25" s="28">
        <f>IF(OR($J25="",$K25="",$M25=""),"",($J25+IF(AND($L25&gt;=2,$J25=5000),3000,0))*$K25*$M25)</f>
        <v/>
      </c>
      <c r="P25" s="26" t="inlineStr"/>
    </row>
    <row r="26">
      <c r="A26" s="25" t="n">
        <v>1</v>
      </c>
      <c r="B26" s="25" t="inlineStr">
        <is>
          <t>CENTRALE SUP (CS)</t>
        </is>
      </c>
      <c r="C26" s="25" t="inlineStr">
        <is>
          <t>Abidjan - Cocody</t>
        </is>
      </c>
      <c r="D26" s="25" t="inlineStr">
        <is>
          <t>+225 07 77 87 83 93</t>
        </is>
      </c>
      <c r="E26" s="25" t="inlineStr">
        <is>
          <t>+225 07 77 87 83 93</t>
        </is>
      </c>
      <c r="F26" s="25" t="inlineStr"/>
      <c r="G26" s="26" t="inlineStr"/>
      <c r="H26" s="26" t="inlineStr"/>
      <c r="I26" s="26" t="inlineStr">
        <is>
          <t>A contacter</t>
        </is>
      </c>
      <c r="J26" s="27" t="n"/>
      <c r="K26" s="26" t="n"/>
      <c r="L26" s="26" t="n">
        <v>1</v>
      </c>
      <c r="M26" s="26" t="n"/>
      <c r="N26" s="26" t="inlineStr"/>
      <c r="O26" s="28">
        <f>IF(OR($J26="",$K26="",$M26=""),"",($J26+IF(AND($L26&gt;=2,$J26=5000),3000,0))*$K26*$M26)</f>
        <v/>
      </c>
      <c r="P26" s="26" t="inlineStr"/>
    </row>
    <row r="27">
      <c r="A27" s="25" t="n">
        <v>1</v>
      </c>
      <c r="B27" s="25" t="inlineStr">
        <is>
          <t>CENTRE D ENSEIGNEMENT SUPERIEUR ET DES TECHNOLOGIES INTERNATIONALES D'ABIDJAN (CESTIA-2EP)</t>
        </is>
      </c>
      <c r="C27" s="25" t="inlineStr">
        <is>
          <t>Abidjan - Cocody</t>
        </is>
      </c>
      <c r="D27" s="25" t="inlineStr">
        <is>
          <t>+225 27 22 42 01 66</t>
        </is>
      </c>
      <c r="E27" s="25" t="inlineStr"/>
      <c r="F27" s="25" t="inlineStr">
        <is>
          <t>infos.groupecestia@gmail.com</t>
        </is>
      </c>
      <c r="G27" s="26" t="inlineStr"/>
      <c r="H27" s="26" t="inlineStr"/>
      <c r="I27" s="26" t="inlineStr">
        <is>
          <t>A contacter</t>
        </is>
      </c>
      <c r="J27" s="27" t="n"/>
      <c r="K27" s="26" t="n"/>
      <c r="L27" s="26" t="n">
        <v>1</v>
      </c>
      <c r="M27" s="26" t="n"/>
      <c r="N27" s="26" t="inlineStr"/>
      <c r="O27" s="28">
        <f>IF(OR($J27="",$K27="",$M27=""),"",($J27+IF(AND($L27&gt;=2,$J27=5000),3000,0))*$K27*$M27)</f>
        <v/>
      </c>
      <c r="P27" s="26" t="inlineStr"/>
    </row>
    <row r="28">
      <c r="A28" s="25" t="n">
        <v>1</v>
      </c>
      <c r="B28" s="25" t="inlineStr">
        <is>
          <t>CENTRE D'ENSEIGNEMENT TECHNIQUE PROFESSIONNEL DES METIERS ET DE L'ENERGIE RENOUVELABLES (CETPMER)</t>
        </is>
      </c>
      <c r="C28" s="25" t="inlineStr">
        <is>
          <t>Abidjan - Adjame</t>
        </is>
      </c>
      <c r="D28" s="25" t="inlineStr">
        <is>
          <t>+225 27 20 21 81 21</t>
        </is>
      </c>
      <c r="E28" s="25" t="inlineStr">
        <is>
          <t>+225 01 01 05 11 42</t>
        </is>
      </c>
      <c r="F28" s="25" t="inlineStr"/>
      <c r="G28" s="26" t="inlineStr"/>
      <c r="H28" s="26" t="inlineStr"/>
      <c r="I28" s="26" t="inlineStr">
        <is>
          <t>A contacter</t>
        </is>
      </c>
      <c r="J28" s="27" t="n"/>
      <c r="K28" s="26" t="n"/>
      <c r="L28" s="26" t="n">
        <v>1</v>
      </c>
      <c r="M28" s="26" t="n"/>
      <c r="N28" s="26" t="inlineStr"/>
      <c r="O28" s="28">
        <f>IF(OR($J28="",$K28="",$M28=""),"",($J28+IF(AND($L28&gt;=2,$J28=5000),3000,0))*$K28*$M28)</f>
        <v/>
      </c>
      <c r="P28" s="26" t="inlineStr"/>
    </row>
    <row r="29">
      <c r="A29" s="25" t="n">
        <v>1</v>
      </c>
      <c r="B29" s="25" t="inlineStr">
        <is>
          <t>CENTRE D'ETUDES, DE FORMATION EN INFORMATIQUE ET VISIO ENSEIGNEMENT (CEFIVE)</t>
        </is>
      </c>
      <c r="C29" s="25" t="inlineStr">
        <is>
          <t>Abidjan - Cocody</t>
        </is>
      </c>
      <c r="D29" s="25" t="inlineStr">
        <is>
          <t>+225 27 22 48 62 82</t>
        </is>
      </c>
      <c r="E29" s="25" t="inlineStr"/>
      <c r="F29" s="25" t="inlineStr">
        <is>
          <t>cefive@cefive-ci.com</t>
        </is>
      </c>
      <c r="G29" s="26" t="inlineStr"/>
      <c r="H29" s="26" t="inlineStr"/>
      <c r="I29" s="26" t="inlineStr">
        <is>
          <t>A contacter</t>
        </is>
      </c>
      <c r="J29" s="27" t="n"/>
      <c r="K29" s="26" t="n"/>
      <c r="L29" s="26" t="n">
        <v>1</v>
      </c>
      <c r="M29" s="26" t="n"/>
      <c r="N29" s="26" t="inlineStr"/>
      <c r="O29" s="28">
        <f>IF(OR($J29="",$K29="",$M29=""),"",($J29+IF(AND($L29&gt;=2,$J29=5000),3000,0))*$K29*$M29)</f>
        <v/>
      </c>
      <c r="P29" s="26" t="inlineStr"/>
    </row>
    <row r="30">
      <c r="A30" s="25" t="n">
        <v>1</v>
      </c>
      <c r="B30" s="25" t="inlineStr">
        <is>
          <t>CENTRE DE FORMATION A LA GESTION DES ENTREPRISES DE CÔTE D'IVOIRE (CFGE)</t>
        </is>
      </c>
      <c r="C30" s="25" t="inlineStr">
        <is>
          <t>Abidjan - Cocody</t>
        </is>
      </c>
      <c r="D30" s="25" t="inlineStr">
        <is>
          <t>+225 05 94 77 50 59</t>
        </is>
      </c>
      <c r="E30" s="25" t="inlineStr">
        <is>
          <t>+225 05 94 77 50 59</t>
        </is>
      </c>
      <c r="F30" s="25" t="inlineStr">
        <is>
          <t>cfgeci01@gmail.com</t>
        </is>
      </c>
      <c r="G30" s="26" t="inlineStr"/>
      <c r="H30" s="26" t="inlineStr"/>
      <c r="I30" s="26" t="inlineStr">
        <is>
          <t>A contacter</t>
        </is>
      </c>
      <c r="J30" s="27" t="n"/>
      <c r="K30" s="26" t="n"/>
      <c r="L30" s="26" t="n">
        <v>1</v>
      </c>
      <c r="M30" s="26" t="n"/>
      <c r="N30" s="26" t="inlineStr"/>
      <c r="O30" s="28">
        <f>IF(OR($J30="",$K30="",$M30=""),"",($J30+IF(AND($L30&gt;=2,$J30=5000),3000,0))*$K30*$M30)</f>
        <v/>
      </c>
      <c r="P30" s="26" t="inlineStr"/>
    </row>
    <row r="31">
      <c r="A31" s="25" t="n">
        <v>1</v>
      </c>
      <c r="B31" s="25" t="inlineStr">
        <is>
          <t>CENTRE DE FORMATION EN ADMINISTRATION ET EN MECANIQUE (CFAM)</t>
        </is>
      </c>
      <c r="C31" s="25" t="inlineStr">
        <is>
          <t>Abidjan - Cocody</t>
        </is>
      </c>
      <c r="D31" s="25" t="inlineStr">
        <is>
          <t>+225 07 57 10 74 63</t>
        </is>
      </c>
      <c r="E31" s="25" t="inlineStr">
        <is>
          <t>+225 07 57 10 74 63</t>
        </is>
      </c>
      <c r="F31" s="25" t="inlineStr"/>
      <c r="G31" s="26" t="inlineStr"/>
      <c r="H31" s="26" t="inlineStr"/>
      <c r="I31" s="26" t="inlineStr">
        <is>
          <t>A contacter</t>
        </is>
      </c>
      <c r="J31" s="27" t="n"/>
      <c r="K31" s="26" t="n"/>
      <c r="L31" s="26" t="n">
        <v>1</v>
      </c>
      <c r="M31" s="26" t="n"/>
      <c r="N31" s="26" t="inlineStr"/>
      <c r="O31" s="28">
        <f>IF(OR($J31="",$K31="",$M31=""),"",($J31+IF(AND($L31&gt;=2,$J31=5000),3000,0))*$K31*$M31)</f>
        <v/>
      </c>
      <c r="P31" s="26" t="inlineStr"/>
    </row>
    <row r="32">
      <c r="A32" s="25" t="n">
        <v>1</v>
      </c>
      <c r="B32" s="25" t="inlineStr">
        <is>
          <t>CENTRE DES ETUDES SUPERIEURES DES ETUDES D'ABIDJAN KOUMASSI (CESA KOUMASSI)</t>
        </is>
      </c>
      <c r="C32" s="25" t="inlineStr">
        <is>
          <t>Abidjan - Koumassi</t>
        </is>
      </c>
      <c r="D32" s="25" t="inlineStr">
        <is>
          <t>+225 27 21 56 31 74</t>
        </is>
      </c>
      <c r="E32" s="25" t="inlineStr"/>
      <c r="F32" s="25" t="inlineStr">
        <is>
          <t>cofecesa@cofecesa.net</t>
        </is>
      </c>
      <c r="G32" s="26" t="inlineStr"/>
      <c r="H32" s="26" t="inlineStr"/>
      <c r="I32" s="26" t="inlineStr">
        <is>
          <t>A contacter</t>
        </is>
      </c>
      <c r="J32" s="27" t="n"/>
      <c r="K32" s="26" t="n"/>
      <c r="L32" s="26" t="n">
        <v>1</v>
      </c>
      <c r="M32" s="26" t="n"/>
      <c r="N32" s="26" t="inlineStr"/>
      <c r="O32" s="28">
        <f>IF(OR($J32="",$K32="",$M32=""),"",($J32+IF(AND($L32&gt;=2,$J32=5000),3000,0))*$K32*$M32)</f>
        <v/>
      </c>
      <c r="P32" s="26" t="inlineStr"/>
    </row>
    <row r="33">
      <c r="A33" s="25" t="n">
        <v>1</v>
      </c>
      <c r="B33" s="25" t="inlineStr">
        <is>
          <t>CENTRE DES ETUDES SUPERIEURES DES ETUDES D'ABIDJAN PLATEAU (CESA PLATEAU)</t>
        </is>
      </c>
      <c r="C33" s="25" t="inlineStr">
        <is>
          <t>Abidjan - Plateau</t>
        </is>
      </c>
      <c r="D33" s="25" t="inlineStr">
        <is>
          <t>+225 27 20 21 97 56</t>
        </is>
      </c>
      <c r="E33" s="25" t="inlineStr"/>
      <c r="F33" s="25" t="inlineStr"/>
      <c r="G33" s="26" t="inlineStr"/>
      <c r="H33" s="26" t="inlineStr"/>
      <c r="I33" s="26" t="inlineStr">
        <is>
          <t>A contacter</t>
        </is>
      </c>
      <c r="J33" s="27" t="n"/>
      <c r="K33" s="26" t="n"/>
      <c r="L33" s="26" t="n">
        <v>1</v>
      </c>
      <c r="M33" s="26" t="n"/>
      <c r="N33" s="26" t="inlineStr"/>
      <c r="O33" s="28">
        <f>IF(OR($J33="",$K33="",$M33=""),"",($J33+IF(AND($L33&gt;=2,$J33=5000),3000,0))*$K33*$M33)</f>
        <v/>
      </c>
      <c r="P33" s="26" t="inlineStr"/>
    </row>
    <row r="34">
      <c r="A34" s="25" t="n">
        <v>1</v>
      </c>
      <c r="B34" s="25" t="inlineStr">
        <is>
          <t>CENTRE DES ETUDES SUPERIEURES DES ETUDES D'ABIDJAN YOPOUGON (CESA YOPOUGON)</t>
        </is>
      </c>
      <c r="C34" s="25" t="inlineStr">
        <is>
          <t>Abidjan - Yopougon</t>
        </is>
      </c>
      <c r="D34" s="25" t="inlineStr">
        <is>
          <t>+225 25 23 00 33 88</t>
        </is>
      </c>
      <c r="E34" s="25" t="inlineStr">
        <is>
          <t>+225 07 49 38 33 40</t>
        </is>
      </c>
      <c r="F34" s="25" t="inlineStr">
        <is>
          <t>alain_achi@yahoo.fr</t>
        </is>
      </c>
      <c r="G34" s="26" t="inlineStr"/>
      <c r="H34" s="26" t="inlineStr"/>
      <c r="I34" s="26" t="inlineStr">
        <is>
          <t>A contacter</t>
        </is>
      </c>
      <c r="J34" s="27" t="n"/>
      <c r="K34" s="26" t="n"/>
      <c r="L34" s="26" t="n">
        <v>1</v>
      </c>
      <c r="M34" s="26" t="n"/>
      <c r="N34" s="26" t="inlineStr"/>
      <c r="O34" s="28">
        <f>IF(OR($J34="",$K34="",$M34=""),"",($J34+IF(AND($L34&gt;=2,$J34=5000),3000,0))*$K34*$M34)</f>
        <v/>
      </c>
      <c r="P34" s="26" t="inlineStr"/>
    </row>
    <row r="35">
      <c r="A35" s="25" t="n">
        <v>1</v>
      </c>
      <c r="B35" s="25" t="inlineStr">
        <is>
          <t>CENTRE INTERNATIONAL DE FORMATION EN PRESENTIELLE ET A DISTANCE COCODY (CIFAD COCODY)</t>
        </is>
      </c>
      <c r="C35" s="25" t="inlineStr">
        <is>
          <t>Abidjan - Cocody</t>
        </is>
      </c>
      <c r="D35" s="25" t="inlineStr"/>
      <c r="E35" s="25" t="inlineStr"/>
      <c r="F35" s="25" t="inlineStr">
        <is>
          <t>rusta.cifad@gmail.com</t>
        </is>
      </c>
      <c r="G35" s="26" t="inlineStr"/>
      <c r="H35" s="26" t="inlineStr"/>
      <c r="I35" s="26" t="inlineStr">
        <is>
          <t>A contacter</t>
        </is>
      </c>
      <c r="J35" s="27" t="n"/>
      <c r="K35" s="26" t="n"/>
      <c r="L35" s="26" t="n">
        <v>1</v>
      </c>
      <c r="M35" s="26" t="n"/>
      <c r="N35" s="26" t="inlineStr"/>
      <c r="O35" s="28">
        <f>IF(OR($J35="",$K35="",$M35=""),"",($J35+IF(AND($L35&gt;=2,$J35=5000),3000,0))*$K35*$M35)</f>
        <v/>
      </c>
      <c r="P35" s="26" t="inlineStr"/>
    </row>
    <row r="36">
      <c r="A36" s="25" t="n">
        <v>1</v>
      </c>
      <c r="B36" s="25" t="inlineStr">
        <is>
          <t>CENTRE INTERNATIONAL DE FORMATION EN PRESENTIELLE ET A DISTANCE YOPOUGON (CIFAD YOPOUGON)</t>
        </is>
      </c>
      <c r="C36" s="25" t="inlineStr">
        <is>
          <t>Abidjan - Yopougon</t>
        </is>
      </c>
      <c r="D36" s="25" t="inlineStr"/>
      <c r="E36" s="25" t="inlineStr"/>
      <c r="F36" s="25" t="inlineStr">
        <is>
          <t>rusta.cifad@gmail.com</t>
        </is>
      </c>
      <c r="G36" s="26" t="inlineStr"/>
      <c r="H36" s="26" t="inlineStr"/>
      <c r="I36" s="26" t="inlineStr">
        <is>
          <t>A contacter</t>
        </is>
      </c>
      <c r="J36" s="27" t="n"/>
      <c r="K36" s="26" t="n"/>
      <c r="L36" s="26" t="n">
        <v>1</v>
      </c>
      <c r="M36" s="26" t="n"/>
      <c r="N36" s="26" t="inlineStr"/>
      <c r="O36" s="28">
        <f>IF(OR($J36="",$K36="",$M36=""),"",($J36+IF(AND($L36&gt;=2,$J36=5000),3000,0))*$K36*$M36)</f>
        <v/>
      </c>
      <c r="P36" s="26" t="inlineStr"/>
    </row>
    <row r="37">
      <c r="A37" s="25" t="n">
        <v>1</v>
      </c>
      <c r="B37" s="25" t="inlineStr">
        <is>
          <t>CENTRE INTERNATIONAL DU MANAGEMENT ET DE L'ENTREPRENEURIAT (CIME-FORMATION ABIDJAN)</t>
        </is>
      </c>
      <c r="C37" s="25" t="inlineStr">
        <is>
          <t>Abidjan - Cocody</t>
        </is>
      </c>
      <c r="D37" s="25" t="inlineStr">
        <is>
          <t>+225 27 22 52 87 80</t>
        </is>
      </c>
      <c r="E37" s="25" t="inlineStr"/>
      <c r="F37" s="25" t="inlineStr">
        <is>
          <t>ecime.formation@yahoo.fr</t>
        </is>
      </c>
      <c r="G37" s="26" t="inlineStr"/>
      <c r="H37" s="26" t="inlineStr"/>
      <c r="I37" s="26" t="inlineStr">
        <is>
          <t>A contacter</t>
        </is>
      </c>
      <c r="J37" s="27" t="n"/>
      <c r="K37" s="26" t="n"/>
      <c r="L37" s="26" t="n">
        <v>1</v>
      </c>
      <c r="M37" s="26" t="n"/>
      <c r="N37" s="26" t="inlineStr"/>
      <c r="O37" s="28">
        <f>IF(OR($J37="",$K37="",$M37=""),"",($J37+IF(AND($L37&gt;=2,$J37=5000),3000,0))*$K37*$M37)</f>
        <v/>
      </c>
      <c r="P37" s="26" t="inlineStr"/>
    </row>
    <row r="38">
      <c r="A38" s="25" t="n">
        <v>1</v>
      </c>
      <c r="B38" s="25" t="inlineStr">
        <is>
          <t>CFOMIS</t>
        </is>
      </c>
      <c r="C38" s="25" t="inlineStr">
        <is>
          <t>Abidjan Yopougon</t>
        </is>
      </c>
      <c r="D38" s="25" t="inlineStr">
        <is>
          <t>+225 27 23 48 90 95</t>
        </is>
      </c>
      <c r="E38" s="25" t="inlineStr">
        <is>
          <t>+225 07 67 65 17 67</t>
        </is>
      </c>
      <c r="F38" s="25" t="inlineStr">
        <is>
          <t>infos@cfomis-ci.com</t>
        </is>
      </c>
      <c r="G38" s="26" t="inlineStr"/>
      <c r="H38" s="26" t="inlineStr"/>
      <c r="I38" s="26" t="inlineStr">
        <is>
          <t>A contacter</t>
        </is>
      </c>
      <c r="J38" s="27" t="n"/>
      <c r="K38" s="26" t="n"/>
      <c r="L38" s="26" t="n">
        <v>1</v>
      </c>
      <c r="M38" s="26" t="n"/>
      <c r="N38" s="26" t="inlineStr"/>
      <c r="O38" s="28">
        <f>IF(OR($J38="",$K38="",$M38=""),"",($J38+IF(AND($L38&gt;=2,$J38=5000),3000,0))*$K38*$M38)</f>
        <v/>
      </c>
      <c r="P38" s="26" t="inlineStr"/>
    </row>
    <row r="39">
      <c r="A39" s="25" t="n">
        <v>1</v>
      </c>
      <c r="B39" s="25" t="inlineStr">
        <is>
          <t>CHANTIERS ECOLE DES METIERS DU BATIMENT ET DES TRAVAUX PUBLICS (CEM-BTP COCODY)</t>
        </is>
      </c>
      <c r="C39" s="25" t="inlineStr">
        <is>
          <t>Abidjan - Cocody</t>
        </is>
      </c>
      <c r="D39" s="25" t="inlineStr">
        <is>
          <t>+225 27 22 40 40 07</t>
        </is>
      </c>
      <c r="E39" s="25" t="inlineStr">
        <is>
          <t>+225 07 07 54 77 48</t>
        </is>
      </c>
      <c r="F39" s="25" t="inlineStr"/>
      <c r="G39" s="26" t="inlineStr"/>
      <c r="H39" s="26" t="inlineStr"/>
      <c r="I39" s="26" t="inlineStr">
        <is>
          <t>A contacter</t>
        </is>
      </c>
      <c r="J39" s="27" t="n"/>
      <c r="K39" s="26" t="n"/>
      <c r="L39" s="26" t="n">
        <v>1</v>
      </c>
      <c r="M39" s="26" t="n"/>
      <c r="N39" s="26" t="inlineStr"/>
      <c r="O39" s="28">
        <f>IF(OR($J39="",$K39="",$M39=""),"",($J39+IF(AND($L39&gt;=2,$J39=5000),3000,0))*$K39*$M39)</f>
        <v/>
      </c>
      <c r="P39" s="26" t="inlineStr"/>
    </row>
    <row r="40">
      <c r="A40" s="25" t="n">
        <v>1</v>
      </c>
      <c r="B40" s="25" t="inlineStr">
        <is>
          <t>CIFC ABIDJAN</t>
        </is>
      </c>
      <c r="C40" s="25" t="inlineStr">
        <is>
          <t>Abidjan - Cocody</t>
        </is>
      </c>
      <c r="D40" s="25" t="inlineStr"/>
      <c r="E40" s="25" t="inlineStr"/>
      <c r="F40" s="25" t="inlineStr">
        <is>
          <t>abidjancifc@gmail.com</t>
        </is>
      </c>
      <c r="G40" s="26" t="inlineStr"/>
      <c r="H40" s="26" t="inlineStr"/>
      <c r="I40" s="26" t="inlineStr">
        <is>
          <t>A contacter</t>
        </is>
      </c>
      <c r="J40" s="27" t="n"/>
      <c r="K40" s="26" t="n"/>
      <c r="L40" s="26" t="n">
        <v>1</v>
      </c>
      <c r="M40" s="26" t="n"/>
      <c r="N40" s="26" t="inlineStr"/>
      <c r="O40" s="28">
        <f>IF(OR($J40="",$K40="",$M40=""),"",($J40+IF(AND($L40&gt;=2,$J40=5000),3000,0))*$K40*$M40)</f>
        <v/>
      </c>
      <c r="P40" s="26" t="inlineStr"/>
    </row>
    <row r="41">
      <c r="A41" s="25" t="n">
        <v>1</v>
      </c>
      <c r="B41" s="25" t="inlineStr">
        <is>
          <t>CIFEC ABIDJAN</t>
        </is>
      </c>
      <c r="C41" s="25" t="inlineStr">
        <is>
          <t>Abidjan - Plateau</t>
        </is>
      </c>
      <c r="D41" s="25" t="inlineStr">
        <is>
          <t>+225 27 20 32 22 48</t>
        </is>
      </c>
      <c r="E41" s="25" t="inlineStr"/>
      <c r="F41" s="25" t="inlineStr">
        <is>
          <t>cifec2011@yahoo.fr</t>
        </is>
      </c>
      <c r="G41" s="26" t="inlineStr"/>
      <c r="H41" s="26" t="inlineStr"/>
      <c r="I41" s="26" t="inlineStr">
        <is>
          <t>A contacter</t>
        </is>
      </c>
      <c r="J41" s="27" t="n"/>
      <c r="K41" s="26" t="n"/>
      <c r="L41" s="26" t="n">
        <v>1</v>
      </c>
      <c r="M41" s="26" t="n"/>
      <c r="N41" s="26" t="inlineStr"/>
      <c r="O41" s="28">
        <f>IF(OR($J41="",$K41="",$M41=""),"",($J41+IF(AND($L41&gt;=2,$J41=5000),3000,0))*$K41*$M41)</f>
        <v/>
      </c>
      <c r="P41" s="26" t="inlineStr"/>
    </row>
    <row r="42">
      <c r="A42" s="25" t="n">
        <v>1</v>
      </c>
      <c r="B42" s="25" t="inlineStr">
        <is>
          <t>COURS SUPERIEUR NOTRE DAME DU PLATEAU (CSNDP)</t>
        </is>
      </c>
      <c r="C42" s="25" t="inlineStr">
        <is>
          <t>Abidjan - Plateau</t>
        </is>
      </c>
      <c r="D42" s="25" t="inlineStr">
        <is>
          <t>+225 27 20 22 71 29</t>
        </is>
      </c>
      <c r="E42" s="25" t="inlineStr">
        <is>
          <t>+225 27 20 21 89 16</t>
        </is>
      </c>
      <c r="F42" s="25" t="inlineStr">
        <is>
          <t>csbsndp@aviso.ci</t>
        </is>
      </c>
      <c r="G42" s="26" t="inlineStr"/>
      <c r="H42" s="26" t="inlineStr"/>
      <c r="I42" s="26" t="inlineStr">
        <is>
          <t>A contacter</t>
        </is>
      </c>
      <c r="J42" s="27" t="n"/>
      <c r="K42" s="26" t="n"/>
      <c r="L42" s="26" t="n">
        <v>1</v>
      </c>
      <c r="M42" s="26" t="n"/>
      <c r="N42" s="26" t="inlineStr"/>
      <c r="O42" s="28">
        <f>IF(OR($J42="",$K42="",$M42=""),"",($J42+IF(AND($L42&gt;=2,$J42=5000),3000,0))*$K42*$M42)</f>
        <v/>
      </c>
      <c r="P42" s="26" t="inlineStr"/>
    </row>
    <row r="43">
      <c r="A43" s="25" t="n">
        <v>1</v>
      </c>
      <c r="B43" s="25" t="inlineStr">
        <is>
          <t>COURS SUPERIEUR SAINT PIERRE MARCORY (CSSP MARCORY)</t>
        </is>
      </c>
      <c r="C43" s="25" t="inlineStr">
        <is>
          <t>Abidjan - Marcory</t>
        </is>
      </c>
      <c r="D43" s="25" t="inlineStr">
        <is>
          <t>+225 27 21 26 62 73</t>
        </is>
      </c>
      <c r="E43" s="25" t="inlineStr"/>
      <c r="F43" s="25" t="inlineStr">
        <is>
          <t>csspci@yahoo.fr</t>
        </is>
      </c>
      <c r="G43" s="26" t="inlineStr"/>
      <c r="H43" s="26" t="inlineStr"/>
      <c r="I43" s="26" t="inlineStr">
        <is>
          <t>A contacter</t>
        </is>
      </c>
      <c r="J43" s="27" t="n"/>
      <c r="K43" s="26" t="n"/>
      <c r="L43" s="26" t="n">
        <v>1</v>
      </c>
      <c r="M43" s="26" t="n"/>
      <c r="N43" s="26" t="inlineStr"/>
      <c r="O43" s="28">
        <f>IF(OR($J43="",$K43="",$M43=""),"",($J43+IF(AND($L43&gt;=2,$J43=5000),3000,0))*$K43*$M43)</f>
        <v/>
      </c>
      <c r="P43" s="26" t="inlineStr"/>
    </row>
    <row r="44">
      <c r="A44" s="25" t="n">
        <v>1</v>
      </c>
      <c r="B44" s="25" t="inlineStr">
        <is>
          <t>CUP - Centre Universitaire Professionnalise d'Abidjan</t>
        </is>
      </c>
      <c r="C44" s="25" t="inlineStr">
        <is>
          <t>Abidjan - Cocody Riviera 3</t>
        </is>
      </c>
      <c r="D44" s="25" t="inlineStr">
        <is>
          <t>+225 27 22 48 64 27</t>
        </is>
      </c>
      <c r="E44" s="25" t="inlineStr">
        <is>
          <t>+225 07 07 98 50 00</t>
        </is>
      </c>
      <c r="F44" s="25" t="inlineStr">
        <is>
          <t>infos@cup-ci.org</t>
        </is>
      </c>
      <c r="G44" s="26" t="inlineStr"/>
      <c r="H44" s="26" t="inlineStr"/>
      <c r="I44" s="26" t="inlineStr">
        <is>
          <t>A contacter</t>
        </is>
      </c>
      <c r="J44" s="27" t="n"/>
      <c r="K44" s="26" t="n"/>
      <c r="L44" s="26" t="n">
        <v>1</v>
      </c>
      <c r="M44" s="26" t="n"/>
      <c r="N44" s="26" t="inlineStr"/>
      <c r="O44" s="28">
        <f>IF(OR($J44="",$K44="",$M44=""),"",($J44+IF(AND($L44&gt;=2,$J44=5000),3000,0))*$K44*$M44)</f>
        <v/>
      </c>
      <c r="P44" s="26" t="inlineStr"/>
    </row>
    <row r="45">
      <c r="A45" s="25" t="n">
        <v>1</v>
      </c>
      <c r="B45" s="25" t="inlineStr">
        <is>
          <t>DEMING EXCELLENCE INSTITUTE GRANDE ÉCOLE (DEI)</t>
        </is>
      </c>
      <c r="C45" s="25" t="inlineStr">
        <is>
          <t>Abidjan - Cocody</t>
        </is>
      </c>
      <c r="D45" s="25" t="inlineStr">
        <is>
          <t>+225 27 22 00 89 34</t>
        </is>
      </c>
      <c r="E45" s="25" t="inlineStr"/>
      <c r="F45" s="25" t="inlineStr">
        <is>
          <t>infos@q2e-dei.net</t>
        </is>
      </c>
      <c r="G45" s="26" t="inlineStr"/>
      <c r="H45" s="26" t="inlineStr"/>
      <c r="I45" s="26" t="inlineStr">
        <is>
          <t>A contacter</t>
        </is>
      </c>
      <c r="J45" s="27" t="n"/>
      <c r="K45" s="26" t="n"/>
      <c r="L45" s="26" t="n">
        <v>1</v>
      </c>
      <c r="M45" s="26" t="n"/>
      <c r="N45" s="26" t="inlineStr"/>
      <c r="O45" s="28">
        <f>IF(OR($J45="",$K45="",$M45=""),"",($J45+IF(AND($L45&gt;=2,$J45=5000),3000,0))*$K45*$M45)</f>
        <v/>
      </c>
      <c r="P45" s="26" t="inlineStr"/>
    </row>
    <row r="46">
      <c r="A46" s="25" t="n">
        <v>1</v>
      </c>
      <c r="B46" s="25" t="inlineStr">
        <is>
          <t>ECG - Ecole de Commerce et de Gestion</t>
        </is>
      </c>
      <c r="C46" s="25" t="inlineStr">
        <is>
          <t>Abidjan - Marcory Zone 4</t>
        </is>
      </c>
      <c r="D46" s="25" t="inlineStr">
        <is>
          <t>+225 27 21 24 42 23</t>
        </is>
      </c>
      <c r="E46" s="25" t="inlineStr">
        <is>
          <t>+225 01 51 70 70 20</t>
        </is>
      </c>
      <c r="F46" s="25" t="inlineStr">
        <is>
          <t>infos@ecgecole.com</t>
        </is>
      </c>
      <c r="G46" s="26" t="inlineStr"/>
      <c r="H46" s="26" t="inlineStr"/>
      <c r="I46" s="26" t="inlineStr">
        <is>
          <t>A contacter</t>
        </is>
      </c>
      <c r="J46" s="27" t="n"/>
      <c r="K46" s="26" t="n"/>
      <c r="L46" s="26" t="n">
        <v>1</v>
      </c>
      <c r="M46" s="26" t="n"/>
      <c r="N46" s="26" t="inlineStr"/>
      <c r="O46" s="28">
        <f>IF(OR($J46="",$K46="",$M46=""),"",($J46+IF(AND($L46&gt;=2,$J46=5000),3000,0))*$K46*$M46)</f>
        <v/>
      </c>
      <c r="P46" s="26" t="inlineStr"/>
    </row>
    <row r="47">
      <c r="A47" s="25" t="n">
        <v>1</v>
      </c>
      <c r="B47" s="25" t="inlineStr">
        <is>
          <t>ECOEL SUPERIEURE DE MANAGEMENT ET DE TECHNOLOGIE (EMATECH)</t>
        </is>
      </c>
      <c r="C47" s="25" t="inlineStr">
        <is>
          <t>Abidjan - Cocody</t>
        </is>
      </c>
      <c r="D47" s="25" t="inlineStr">
        <is>
          <t>+225 07 59 22 22 19</t>
        </is>
      </c>
      <c r="E47" s="25" t="inlineStr">
        <is>
          <t>+225 07 59 22 22 19</t>
        </is>
      </c>
      <c r="F47" s="25" t="inlineStr">
        <is>
          <t>ematechci@gmail.com</t>
        </is>
      </c>
      <c r="G47" s="26" t="inlineStr"/>
      <c r="H47" s="26" t="inlineStr"/>
      <c r="I47" s="26" t="inlineStr">
        <is>
          <t>A contacter</t>
        </is>
      </c>
      <c r="J47" s="27" t="n"/>
      <c r="K47" s="26" t="n"/>
      <c r="L47" s="26" t="n">
        <v>1</v>
      </c>
      <c r="M47" s="26" t="n"/>
      <c r="N47" s="26" t="inlineStr"/>
      <c r="O47" s="28">
        <f>IF(OR($J47="",$K47="",$M47=""),"",($J47+IF(AND($L47&gt;=2,$J47=5000),3000,0))*$K47*$M47)</f>
        <v/>
      </c>
      <c r="P47" s="26" t="inlineStr"/>
    </row>
    <row r="48">
      <c r="A48" s="25" t="n">
        <v>1</v>
      </c>
      <c r="B48" s="25" t="inlineStr">
        <is>
          <t>ECOLE CENTRALE D'ABIDJAN (ECA)</t>
        </is>
      </c>
      <c r="C48" s="25" t="inlineStr">
        <is>
          <t>Abidjan - Cocody</t>
        </is>
      </c>
      <c r="D48" s="25" t="inlineStr">
        <is>
          <t>+225 27 22 54 62 58</t>
        </is>
      </c>
      <c r="E48" s="25" t="inlineStr">
        <is>
          <t>+225 07 57 18 18 37</t>
        </is>
      </c>
      <c r="F48" s="25" t="inlineStr">
        <is>
          <t>ecolecentrale.abidjan@gmail.com</t>
        </is>
      </c>
      <c r="G48" s="26" t="inlineStr"/>
      <c r="H48" s="26" t="inlineStr"/>
      <c r="I48" s="26" t="inlineStr">
        <is>
          <t>A contacter</t>
        </is>
      </c>
      <c r="J48" s="27" t="n"/>
      <c r="K48" s="26" t="n"/>
      <c r="L48" s="26" t="n">
        <v>1</v>
      </c>
      <c r="M48" s="26" t="n"/>
      <c r="N48" s="26" t="inlineStr"/>
      <c r="O48" s="28">
        <f>IF(OR($J48="",$K48="",$M48=""),"",($J48+IF(AND($L48&gt;=2,$J48=5000),3000,0))*$K48*$M48)</f>
        <v/>
      </c>
      <c r="P48" s="26" t="inlineStr"/>
    </row>
    <row r="49">
      <c r="A49" s="25" t="n">
        <v>1</v>
      </c>
      <c r="B49" s="25" t="inlineStr">
        <is>
          <t>ECOLE DE FORMATION EN GESTION ET EN TECHNOLOGIE (EFGT ABIDJAN)</t>
        </is>
      </c>
      <c r="C49" s="25" t="inlineStr">
        <is>
          <t>Abidjan - Abobo</t>
        </is>
      </c>
      <c r="D49" s="25" t="inlineStr">
        <is>
          <t>+225 27 24 52 00 14</t>
        </is>
      </c>
      <c r="E49" s="25" t="inlineStr">
        <is>
          <t>+225 05 05 35 25 29</t>
        </is>
      </c>
      <c r="F49" s="25" t="inlineStr">
        <is>
          <t>efgt.info@gmail.com</t>
        </is>
      </c>
      <c r="G49" s="26" t="inlineStr"/>
      <c r="H49" s="26" t="inlineStr"/>
      <c r="I49" s="26" t="inlineStr">
        <is>
          <t>A contacter</t>
        </is>
      </c>
      <c r="J49" s="27" t="n"/>
      <c r="K49" s="26" t="n"/>
      <c r="L49" s="26" t="n">
        <v>1</v>
      </c>
      <c r="M49" s="26" t="n"/>
      <c r="N49" s="26" t="inlineStr"/>
      <c r="O49" s="28">
        <f>IF(OR($J49="",$K49="",$M49=""),"",($J49+IF(AND($L49&gt;=2,$J49=5000),3000,0))*$K49*$M49)</f>
        <v/>
      </c>
      <c r="P49" s="26" t="inlineStr"/>
    </row>
    <row r="50">
      <c r="A50" s="25" t="n">
        <v>1</v>
      </c>
      <c r="B50" s="25" t="inlineStr">
        <is>
          <t>ECOLE DE FORMATION INDUSTRIELLE ET TERTIAIRE (EFIT-CESTIA)</t>
        </is>
      </c>
      <c r="C50" s="25" t="inlineStr">
        <is>
          <t>Abidjan - Cocody</t>
        </is>
      </c>
      <c r="D50" s="25" t="inlineStr">
        <is>
          <t>+225 27 22 42 32 52</t>
        </is>
      </c>
      <c r="E50" s="25" t="inlineStr"/>
      <c r="F50" s="25" t="inlineStr">
        <is>
          <t>infos@cestia-2ep.com</t>
        </is>
      </c>
      <c r="G50" s="26" t="inlineStr"/>
      <c r="H50" s="26" t="inlineStr"/>
      <c r="I50" s="26" t="inlineStr">
        <is>
          <t>A contacter</t>
        </is>
      </c>
      <c r="J50" s="27" t="n"/>
      <c r="K50" s="26" t="n"/>
      <c r="L50" s="26" t="n">
        <v>1</v>
      </c>
      <c r="M50" s="26" t="n"/>
      <c r="N50" s="26" t="inlineStr"/>
      <c r="O50" s="28">
        <f>IF(OR($J50="",$K50="",$M50=""),"",($J50+IF(AND($L50&gt;=2,$J50=5000),3000,0))*$K50*$M50)</f>
        <v/>
      </c>
      <c r="P50" s="26" t="inlineStr"/>
    </row>
    <row r="51">
      <c r="A51" s="25" t="n">
        <v>1</v>
      </c>
      <c r="B51" s="25" t="inlineStr">
        <is>
          <t>ECOLE DE GEOMATIQUE ET DU TERRITOIRE (EGT-ABIDJAN)</t>
        </is>
      </c>
      <c r="C51" s="25" t="inlineStr">
        <is>
          <t>Abidjan - Cocody</t>
        </is>
      </c>
      <c r="D51" s="25" t="inlineStr">
        <is>
          <t>+225 27 22 55 18 79</t>
        </is>
      </c>
      <c r="E51" s="25" t="inlineStr">
        <is>
          <t>+225 07 05 20 74 85</t>
        </is>
      </c>
      <c r="F51" s="25" t="inlineStr">
        <is>
          <t>info@egt.ci</t>
        </is>
      </c>
      <c r="G51" s="26" t="inlineStr"/>
      <c r="H51" s="26" t="inlineStr"/>
      <c r="I51" s="26" t="inlineStr">
        <is>
          <t>A contacter</t>
        </is>
      </c>
      <c r="J51" s="27" t="n"/>
      <c r="K51" s="26" t="n"/>
      <c r="L51" s="26" t="n">
        <v>1</v>
      </c>
      <c r="M51" s="26" t="n"/>
      <c r="N51" s="26" t="inlineStr"/>
      <c r="O51" s="28">
        <f>IF(OR($J51="",$K51="",$M51=""),"",($J51+IF(AND($L51&gt;=2,$J51=5000),3000,0))*$K51*$M51)</f>
        <v/>
      </c>
      <c r="P51" s="26" t="inlineStr"/>
    </row>
    <row r="52">
      <c r="A52" s="25" t="n">
        <v>1</v>
      </c>
      <c r="B52" s="25" t="inlineStr">
        <is>
          <t>ECOLE DE GESTION ET DE TECHNOLOGIES (EGETECH)</t>
        </is>
      </c>
      <c r="C52" s="25" t="inlineStr">
        <is>
          <t>Abidjan - Riviera</t>
        </is>
      </c>
      <c r="D52" s="25" t="inlineStr">
        <is>
          <t>+225 07 00 77 79 96</t>
        </is>
      </c>
      <c r="E52" s="25" t="inlineStr">
        <is>
          <t>+225 07 00 77 79 96</t>
        </is>
      </c>
      <c r="F52" s="25" t="inlineStr">
        <is>
          <t>egetech.ci@gmail.com</t>
        </is>
      </c>
      <c r="G52" s="26" t="inlineStr"/>
      <c r="H52" s="26" t="inlineStr"/>
      <c r="I52" s="26" t="inlineStr">
        <is>
          <t>A contacter</t>
        </is>
      </c>
      <c r="J52" s="27" t="n"/>
      <c r="K52" s="26" t="n"/>
      <c r="L52" s="26" t="n">
        <v>1</v>
      </c>
      <c r="M52" s="26" t="n"/>
      <c r="N52" s="26" t="inlineStr"/>
      <c r="O52" s="28">
        <f>IF(OR($J52="",$K52="",$M52=""),"",($J52+IF(AND($L52&gt;=2,$J52=5000),3000,0))*$K52*$M52)</f>
        <v/>
      </c>
      <c r="P52" s="26" t="inlineStr"/>
    </row>
    <row r="53">
      <c r="A53" s="25" t="n">
        <v>1</v>
      </c>
      <c r="B53" s="25" t="inlineStr">
        <is>
          <t>ECOLE DES CADRES D'ABIDJAN MARCORY (EDCA)</t>
        </is>
      </c>
      <c r="C53" s="25" t="inlineStr">
        <is>
          <t>Abidjan - Marcory</t>
        </is>
      </c>
      <c r="D53" s="25" t="inlineStr">
        <is>
          <t>+225 05 54 82 01 66</t>
        </is>
      </c>
      <c r="E53" s="25" t="inlineStr">
        <is>
          <t>+225 05 54 82 01 66</t>
        </is>
      </c>
      <c r="F53" s="25" t="inlineStr">
        <is>
          <t>ecoledescadresdabidjanedca@gmail.com</t>
        </is>
      </c>
      <c r="G53" s="26" t="inlineStr"/>
      <c r="H53" s="26" t="inlineStr"/>
      <c r="I53" s="26" t="inlineStr">
        <is>
          <t>A contacter</t>
        </is>
      </c>
      <c r="J53" s="27" t="n"/>
      <c r="K53" s="26" t="n"/>
      <c r="L53" s="26" t="n">
        <v>1</v>
      </c>
      <c r="M53" s="26" t="n"/>
      <c r="N53" s="26" t="inlineStr"/>
      <c r="O53" s="28">
        <f>IF(OR($J53="",$K53="",$M53=""),"",($J53+IF(AND($L53&gt;=2,$J53=5000),3000,0))*$K53*$M53)</f>
        <v/>
      </c>
      <c r="P53" s="26" t="inlineStr"/>
    </row>
    <row r="54">
      <c r="A54" s="25" t="n">
        <v>1</v>
      </c>
      <c r="B54" s="25" t="inlineStr">
        <is>
          <t>ECOLE DES ETUDES COMMERCIALES ET ECONOMIQUES (EECE YOPOUGON)</t>
        </is>
      </c>
      <c r="C54" s="25" t="inlineStr">
        <is>
          <t>Abidjan - Yopougon</t>
        </is>
      </c>
      <c r="D54" s="25" t="inlineStr">
        <is>
          <t>+225 05 05 05 98 93</t>
        </is>
      </c>
      <c r="E54" s="25" t="inlineStr">
        <is>
          <t>+225 05 05 05 98 93</t>
        </is>
      </c>
      <c r="F54" s="25" t="inlineStr"/>
      <c r="G54" s="26" t="inlineStr"/>
      <c r="H54" s="26" t="inlineStr"/>
      <c r="I54" s="26" t="inlineStr">
        <is>
          <t>A contacter</t>
        </is>
      </c>
      <c r="J54" s="27" t="n"/>
      <c r="K54" s="26" t="n"/>
      <c r="L54" s="26" t="n">
        <v>1</v>
      </c>
      <c r="M54" s="26" t="n"/>
      <c r="N54" s="26" t="inlineStr"/>
      <c r="O54" s="28">
        <f>IF(OR($J54="",$K54="",$M54=""),"",($J54+IF(AND($L54&gt;=2,$J54=5000),3000,0))*$K54*$M54)</f>
        <v/>
      </c>
      <c r="P54" s="26" t="inlineStr"/>
    </row>
    <row r="55">
      <c r="A55" s="25" t="n">
        <v>1</v>
      </c>
      <c r="B55" s="25" t="inlineStr">
        <is>
          <t>ECOLE DES ETUDES COMMERCIALES ET ECONOMIQUES (EECE)</t>
        </is>
      </c>
      <c r="C55" s="25" t="inlineStr">
        <is>
          <t>Abidjan - Cocody</t>
        </is>
      </c>
      <c r="D55" s="25" t="inlineStr">
        <is>
          <t>+225 27 22 50 91 14</t>
        </is>
      </c>
      <c r="E55" s="25" t="inlineStr">
        <is>
          <t>+225 05 05 05 98 93</t>
        </is>
      </c>
      <c r="F55" s="25" t="inlineStr">
        <is>
          <t>2eceecole@gmail.com</t>
        </is>
      </c>
      <c r="G55" s="26" t="inlineStr"/>
      <c r="H55" s="26" t="inlineStr"/>
      <c r="I55" s="26" t="inlineStr">
        <is>
          <t>A contacter</t>
        </is>
      </c>
      <c r="J55" s="27" t="n"/>
      <c r="K55" s="26" t="n"/>
      <c r="L55" s="26" t="n">
        <v>1</v>
      </c>
      <c r="M55" s="26" t="n"/>
      <c r="N55" s="26" t="inlineStr"/>
      <c r="O55" s="28">
        <f>IF(OR($J55="",$K55="",$M55=""),"",($J55+IF(AND($L55&gt;=2,$J55=5000),3000,0))*$K55*$M55)</f>
        <v/>
      </c>
      <c r="P55" s="26" t="inlineStr"/>
    </row>
    <row r="56">
      <c r="A56" s="25" t="n">
        <v>1</v>
      </c>
      <c r="B56" s="25" t="inlineStr">
        <is>
          <t>ECOLE DES NUMERIQUES, DE L'ADMINISTRATION ET DE TELECOMMUNICATION ABOBO (ENATEL)</t>
        </is>
      </c>
      <c r="C56" s="25" t="inlineStr">
        <is>
          <t>Abidjan - Abobo</t>
        </is>
      </c>
      <c r="D56" s="25" t="inlineStr">
        <is>
          <t>+225 07 08 41 53 42</t>
        </is>
      </c>
      <c r="E56" s="25" t="inlineStr">
        <is>
          <t>+225 07 08 41 53 42</t>
        </is>
      </c>
      <c r="F56" s="25" t="inlineStr">
        <is>
          <t>enatel2022@gmail.com</t>
        </is>
      </c>
      <c r="G56" s="26" t="inlineStr"/>
      <c r="H56" s="26" t="inlineStr"/>
      <c r="I56" s="26" t="inlineStr">
        <is>
          <t>A contacter</t>
        </is>
      </c>
      <c r="J56" s="27" t="n"/>
      <c r="K56" s="26" t="n"/>
      <c r="L56" s="26" t="n">
        <v>1</v>
      </c>
      <c r="M56" s="26" t="n"/>
      <c r="N56" s="26" t="inlineStr"/>
      <c r="O56" s="28">
        <f>IF(OR($J56="",$K56="",$M56=""),"",($J56+IF(AND($L56&gt;=2,$J56=5000),3000,0))*$K56*$M56)</f>
        <v/>
      </c>
      <c r="P56" s="26" t="inlineStr"/>
    </row>
    <row r="57">
      <c r="A57" s="25" t="n">
        <v>1</v>
      </c>
      <c r="B57" s="25" t="inlineStr">
        <is>
          <t>ECOLE DES SCIENCES APPLIQUEES</t>
        </is>
      </c>
      <c r="C57" s="25" t="inlineStr">
        <is>
          <t>Abidjan - Yopougon</t>
        </is>
      </c>
      <c r="D57" s="25" t="inlineStr">
        <is>
          <t>+225 07 59 19 00 04</t>
        </is>
      </c>
      <c r="E57" s="25" t="inlineStr">
        <is>
          <t>+225 07 59 19 00 04</t>
        </is>
      </c>
      <c r="F57" s="25" t="inlineStr">
        <is>
          <t>esapecole@gmail.com</t>
        </is>
      </c>
      <c r="G57" s="26" t="inlineStr"/>
      <c r="H57" s="26" t="inlineStr"/>
      <c r="I57" s="26" t="inlineStr">
        <is>
          <t>A contacter</t>
        </is>
      </c>
      <c r="J57" s="27" t="n"/>
      <c r="K57" s="26" t="n"/>
      <c r="L57" s="26" t="n">
        <v>1</v>
      </c>
      <c r="M57" s="26" t="n"/>
      <c r="N57" s="26" t="inlineStr"/>
      <c r="O57" s="28">
        <f>IF(OR($J57="",$K57="",$M57=""),"",($J57+IF(AND($L57&gt;=2,$J57=5000),3000,0))*$K57*$M57)</f>
        <v/>
      </c>
      <c r="P57" s="26" t="inlineStr"/>
    </row>
    <row r="58">
      <c r="A58" s="25" t="n">
        <v>1</v>
      </c>
      <c r="B58" s="25" t="inlineStr">
        <is>
          <t>ECOLE DES SPÉCIALITÉS MULTIMÉDIA D'ABIDJAN MARCORY (ESMA MARCORY)</t>
        </is>
      </c>
      <c r="C58" s="25" t="inlineStr">
        <is>
          <t>Abidjan - Marcory</t>
        </is>
      </c>
      <c r="D58" s="25" t="inlineStr">
        <is>
          <t>+225 07 47 96 17 21</t>
        </is>
      </c>
      <c r="E58" s="25" t="inlineStr">
        <is>
          <t>+225 07 47 96 17 21</t>
        </is>
      </c>
      <c r="F58" s="25" t="inlineStr">
        <is>
          <t>infos@esma-edu.net</t>
        </is>
      </c>
      <c r="G58" s="26" t="inlineStr"/>
      <c r="H58" s="26" t="inlineStr"/>
      <c r="I58" s="26" t="inlineStr">
        <is>
          <t>A contacter</t>
        </is>
      </c>
      <c r="J58" s="27" t="n"/>
      <c r="K58" s="26" t="n"/>
      <c r="L58" s="26" t="n">
        <v>1</v>
      </c>
      <c r="M58" s="26" t="n"/>
      <c r="N58" s="26" t="inlineStr"/>
      <c r="O58" s="28">
        <f>IF(OR($J58="",$K58="",$M58=""),"",($J58+IF(AND($L58&gt;=2,$J58=5000),3000,0))*$K58*$M58)</f>
        <v/>
      </c>
      <c r="P58" s="26" t="inlineStr"/>
    </row>
    <row r="59">
      <c r="A59" s="25" t="n">
        <v>1</v>
      </c>
      <c r="B59" s="25" t="inlineStr">
        <is>
          <t>ECOLE INTERNATIONALE DES PONTS ET CHAUSSEES D'ABIDJAN (EIPC-ABIDJAN)</t>
        </is>
      </c>
      <c r="C59" s="25" t="inlineStr">
        <is>
          <t>Abidjan - Cocody</t>
        </is>
      </c>
      <c r="D59" s="25" t="inlineStr">
        <is>
          <t>+225 27 22 50 38 74</t>
        </is>
      </c>
      <c r="E59" s="25" t="inlineStr">
        <is>
          <t>+225 07 59 06 33 01</t>
        </is>
      </c>
      <c r="F59" s="25" t="inlineStr">
        <is>
          <t>bo_zobe@yahoo.fr</t>
        </is>
      </c>
      <c r="G59" s="26" t="inlineStr"/>
      <c r="H59" s="26" t="inlineStr"/>
      <c r="I59" s="26" t="inlineStr">
        <is>
          <t>A contacter</t>
        </is>
      </c>
      <c r="J59" s="27" t="n"/>
      <c r="K59" s="26" t="n"/>
      <c r="L59" s="26" t="n">
        <v>1</v>
      </c>
      <c r="M59" s="26" t="n"/>
      <c r="N59" s="26" t="inlineStr"/>
      <c r="O59" s="28">
        <f>IF(OR($J59="",$K59="",$M59=""),"",($J59+IF(AND($L59&gt;=2,$J59=5000),3000,0))*$K59*$M59)</f>
        <v/>
      </c>
      <c r="P59" s="26" t="inlineStr"/>
    </row>
    <row r="60">
      <c r="A60" s="25" t="n">
        <v>1</v>
      </c>
      <c r="B60" s="25" t="inlineStr">
        <is>
          <t>ECOLE INTERNATIONALE TERTIAIRE DES NOUVELLES TECHNOLOGIES DE L'INFORMATION ET DE LA COMMUNICATION COCODY (EIT-NTIC COCODY)</t>
        </is>
      </c>
      <c r="C60" s="25" t="inlineStr">
        <is>
          <t>Abidjan - Cocody</t>
        </is>
      </c>
      <c r="D60" s="25" t="inlineStr">
        <is>
          <t>+225 27 22 43 24 73</t>
        </is>
      </c>
      <c r="E60" s="25" t="inlineStr"/>
      <c r="F60" s="25" t="inlineStr">
        <is>
          <t>groupeitntic@yahoo.fr</t>
        </is>
      </c>
      <c r="G60" s="26" t="inlineStr"/>
      <c r="H60" s="26" t="inlineStr"/>
      <c r="I60" s="26" t="inlineStr">
        <is>
          <t>A contacter</t>
        </is>
      </c>
      <c r="J60" s="27" t="n"/>
      <c r="K60" s="26" t="n"/>
      <c r="L60" s="26" t="n">
        <v>1</v>
      </c>
      <c r="M60" s="26" t="n"/>
      <c r="N60" s="26" t="inlineStr"/>
      <c r="O60" s="28">
        <f>IF(OR($J60="",$K60="",$M60=""),"",($J60+IF(AND($L60&gt;=2,$J60=5000),3000,0))*$K60*$M60)</f>
        <v/>
      </c>
      <c r="P60" s="26" t="inlineStr"/>
    </row>
    <row r="61">
      <c r="A61" s="25" t="n">
        <v>1</v>
      </c>
      <c r="B61" s="25" t="inlineStr">
        <is>
          <t>ECOLE POLYFINANCE ET DE TECHNOLOGIE APPLIQUEE (EPTA)</t>
        </is>
      </c>
      <c r="C61" s="25" t="inlineStr">
        <is>
          <t>Abidjan - Cocody</t>
        </is>
      </c>
      <c r="D61" s="25" t="inlineStr">
        <is>
          <t>+225 27 22 49 86 05</t>
        </is>
      </c>
      <c r="E61" s="25" t="inlineStr">
        <is>
          <t>+225 07 97 27 01 02</t>
        </is>
      </c>
      <c r="F61" s="25" t="inlineStr">
        <is>
          <t>ecolepolyfinance@gmail.com</t>
        </is>
      </c>
      <c r="G61" s="26" t="inlineStr"/>
      <c r="H61" s="26" t="inlineStr"/>
      <c r="I61" s="26" t="inlineStr">
        <is>
          <t>A contacter</t>
        </is>
      </c>
      <c r="J61" s="27" t="n"/>
      <c r="K61" s="26" t="n"/>
      <c r="L61" s="26" t="n">
        <v>1</v>
      </c>
      <c r="M61" s="26" t="n"/>
      <c r="N61" s="26" t="inlineStr"/>
      <c r="O61" s="28">
        <f>IF(OR($J61="",$K61="",$M61=""),"",($J61+IF(AND($L61&gt;=2,$J61=5000),3000,0))*$K61*$M61)</f>
        <v/>
      </c>
      <c r="P61" s="26" t="inlineStr"/>
    </row>
    <row r="62">
      <c r="A62" s="25" t="n">
        <v>1</v>
      </c>
      <c r="B62" s="25" t="inlineStr">
        <is>
          <t>ECOLE POLYTECHNIQUE D'ABIDJAN (EPA)</t>
        </is>
      </c>
      <c r="C62" s="25" t="inlineStr">
        <is>
          <t>Abidjan - Yopougon</t>
        </is>
      </c>
      <c r="D62" s="25" t="inlineStr">
        <is>
          <t>+225 07 77 87 83 93</t>
        </is>
      </c>
      <c r="E62" s="25" t="inlineStr">
        <is>
          <t>+225 07 77 87 83 93</t>
        </is>
      </c>
      <c r="F62" s="25" t="inlineStr"/>
      <c r="G62" s="26" t="inlineStr"/>
      <c r="H62" s="26" t="inlineStr"/>
      <c r="I62" s="26" t="inlineStr">
        <is>
          <t>A contacter</t>
        </is>
      </c>
      <c r="J62" s="27" t="n"/>
      <c r="K62" s="26" t="n"/>
      <c r="L62" s="26" t="n">
        <v>1</v>
      </c>
      <c r="M62" s="26" t="n"/>
      <c r="N62" s="26" t="inlineStr"/>
      <c r="O62" s="28">
        <f>IF(OR($J62="",$K62="",$M62=""),"",($J62+IF(AND($L62&gt;=2,$J62=5000),3000,0))*$K62*$M62)</f>
        <v/>
      </c>
      <c r="P62" s="26" t="inlineStr"/>
    </row>
    <row r="63">
      <c r="A63" s="25" t="n">
        <v>1</v>
      </c>
      <c r="B63" s="25" t="inlineStr">
        <is>
          <t>ECOLE PRATIQUE DE LA CHAMBRE DE COMMERCE ET D'INDUSTRIE DE CÔTE D'IVOIRE (EPCCI)</t>
        </is>
      </c>
      <c r="C63" s="25" t="inlineStr">
        <is>
          <t>Abidjan - Plateau</t>
        </is>
      </c>
      <c r="D63" s="25" t="inlineStr">
        <is>
          <t>+225 27 20 30 97 21</t>
        </is>
      </c>
      <c r="E63" s="25" t="inlineStr"/>
      <c r="F63" s="25" t="inlineStr">
        <is>
          <t>epcci@cci.ci</t>
        </is>
      </c>
      <c r="G63" s="26" t="inlineStr"/>
      <c r="H63" s="26" t="inlineStr"/>
      <c r="I63" s="26" t="inlineStr">
        <is>
          <t>A contacter</t>
        </is>
      </c>
      <c r="J63" s="27" t="n"/>
      <c r="K63" s="26" t="n"/>
      <c r="L63" s="26" t="n">
        <v>1</v>
      </c>
      <c r="M63" s="26" t="n"/>
      <c r="N63" s="26" t="inlineStr"/>
      <c r="O63" s="28">
        <f>IF(OR($J63="",$K63="",$M63=""),"",($J63+IF(AND($L63&gt;=2,$J63=5000),3000,0))*$K63*$M63)</f>
        <v/>
      </c>
      <c r="P63" s="26" t="inlineStr"/>
    </row>
    <row r="64">
      <c r="A64" s="25" t="n">
        <v>1</v>
      </c>
      <c r="B64" s="25" t="inlineStr">
        <is>
          <t>ECOLE SPECIALE DU BÂTIMENT ET DES TRAVAUX PUBLICS PLATEAU (ESBTP PLATEAU)</t>
        </is>
      </c>
      <c r="C64" s="25" t="inlineStr">
        <is>
          <t>Abidjan - Plateau</t>
        </is>
      </c>
      <c r="D64" s="25" t="inlineStr">
        <is>
          <t>+225 27 20 32 80 01</t>
        </is>
      </c>
      <c r="E64" s="25" t="inlineStr"/>
      <c r="F64" s="25" t="inlineStr">
        <is>
          <t>dakoff007@yahoo.fr</t>
        </is>
      </c>
      <c r="G64" s="26" t="inlineStr"/>
      <c r="H64" s="26" t="inlineStr"/>
      <c r="I64" s="26" t="inlineStr">
        <is>
          <t>A contacter</t>
        </is>
      </c>
      <c r="J64" s="27" t="n"/>
      <c r="K64" s="26" t="n"/>
      <c r="L64" s="26" t="n">
        <v>1</v>
      </c>
      <c r="M64" s="26" t="n"/>
      <c r="N64" s="26" t="inlineStr"/>
      <c r="O64" s="28">
        <f>IF(OR($J64="",$K64="",$M64=""),"",($J64+IF(AND($L64&gt;=2,$J64=5000),3000,0))*$K64*$M64)</f>
        <v/>
      </c>
      <c r="P64" s="26" t="inlineStr"/>
    </row>
    <row r="65">
      <c r="A65" s="25" t="n">
        <v>1</v>
      </c>
      <c r="B65" s="25" t="inlineStr">
        <is>
          <t>ECOLE SPECIALE DU BÂTIMENT ET DES TRAVAUX PUBLICS TREICHVILLE (ESBTP TREICHVILLE)</t>
        </is>
      </c>
      <c r="C65" s="25" t="inlineStr">
        <is>
          <t>Abidjan - Treichville</t>
        </is>
      </c>
      <c r="D65" s="25" t="inlineStr">
        <is>
          <t>+225 27 20 32 80 01</t>
        </is>
      </c>
      <c r="E65" s="25" t="inlineStr"/>
      <c r="F65" s="25" t="inlineStr">
        <is>
          <t>dakoff007@yahoo.fr</t>
        </is>
      </c>
      <c r="G65" s="26" t="inlineStr"/>
      <c r="H65" s="26" t="inlineStr"/>
      <c r="I65" s="26" t="inlineStr">
        <is>
          <t>A contacter</t>
        </is>
      </c>
      <c r="J65" s="27" t="n"/>
      <c r="K65" s="26" t="n"/>
      <c r="L65" s="26" t="n">
        <v>1</v>
      </c>
      <c r="M65" s="26" t="n"/>
      <c r="N65" s="26" t="inlineStr"/>
      <c r="O65" s="28">
        <f>IF(OR($J65="",$K65="",$M65=""),"",($J65+IF(AND($L65&gt;=2,$J65=5000),3000,0))*$K65*$M65)</f>
        <v/>
      </c>
      <c r="P65" s="26" t="inlineStr"/>
    </row>
    <row r="66">
      <c r="A66" s="25" t="n">
        <v>1</v>
      </c>
      <c r="B66" s="25" t="inlineStr">
        <is>
          <t>ECOLE SPECIALE DU BÂTIMENT ET DES TRAVAUX PUBLICS YOPOUGON (ESBTP YOPOUGON)</t>
        </is>
      </c>
      <c r="C66" s="25" t="inlineStr">
        <is>
          <t>Abidjan - Yopougon</t>
        </is>
      </c>
      <c r="D66" s="25" t="inlineStr">
        <is>
          <t>+225 27 20 32 80 01</t>
        </is>
      </c>
      <c r="E66" s="25" t="inlineStr"/>
      <c r="F66" s="25" t="inlineStr">
        <is>
          <t>dakoff007@yahoo.fr</t>
        </is>
      </c>
      <c r="G66" s="26" t="inlineStr"/>
      <c r="H66" s="26" t="inlineStr"/>
      <c r="I66" s="26" t="inlineStr">
        <is>
          <t>A contacter</t>
        </is>
      </c>
      <c r="J66" s="27" t="n"/>
      <c r="K66" s="26" t="n"/>
      <c r="L66" s="26" t="n">
        <v>1</v>
      </c>
      <c r="M66" s="26" t="n"/>
      <c r="N66" s="26" t="inlineStr"/>
      <c r="O66" s="28">
        <f>IF(OR($J66="",$K66="",$M66=""),"",($J66+IF(AND($L66&gt;=2,$J66=5000),3000,0))*$K66*$M66)</f>
        <v/>
      </c>
      <c r="P66" s="26" t="inlineStr"/>
    </row>
    <row r="67">
      <c r="A67" s="25" t="n">
        <v>1</v>
      </c>
      <c r="B67" s="25" t="inlineStr">
        <is>
          <t>ECOLE SUPERIEUR DE COMMERCE ET DE GESTION LA SORBONNE (ESCG LA SORBONNE)</t>
        </is>
      </c>
      <c r="C67" s="25" t="inlineStr">
        <is>
          <t>Abidjan - Yopougon</t>
        </is>
      </c>
      <c r="D67" s="25" t="inlineStr">
        <is>
          <t>+225 27 23 46 85 82</t>
        </is>
      </c>
      <c r="E67" s="25" t="inlineStr"/>
      <c r="F67" s="25" t="inlineStr">
        <is>
          <t>k_n_m1975@yahoo.fr</t>
        </is>
      </c>
      <c r="G67" s="26" t="inlineStr"/>
      <c r="H67" s="26" t="inlineStr"/>
      <c r="I67" s="26" t="inlineStr">
        <is>
          <t>A contacter</t>
        </is>
      </c>
      <c r="J67" s="27" t="n"/>
      <c r="K67" s="26" t="n"/>
      <c r="L67" s="26" t="n">
        <v>1</v>
      </c>
      <c r="M67" s="26" t="n"/>
      <c r="N67" s="26" t="inlineStr"/>
      <c r="O67" s="28">
        <f>IF(OR($J67="",$K67="",$M67=""),"",($J67+IF(AND($L67&gt;=2,$J67=5000),3000,0))*$K67*$M67)</f>
        <v/>
      </c>
      <c r="P67" s="26" t="inlineStr"/>
    </row>
    <row r="68">
      <c r="A68" s="25" t="n">
        <v>1</v>
      </c>
      <c r="B68" s="25" t="inlineStr">
        <is>
          <t>ECOLE SUPERIEUR FATOUMABA</t>
        </is>
      </c>
      <c r="C68" s="25" t="inlineStr">
        <is>
          <t>Abidjan - Yopougon</t>
        </is>
      </c>
      <c r="D68" s="25" t="inlineStr"/>
      <c r="E68" s="25" t="inlineStr"/>
      <c r="F68" s="25" t="inlineStr">
        <is>
          <t>ladjifonde@gmail.com</t>
        </is>
      </c>
      <c r="G68" s="26" t="inlineStr"/>
      <c r="H68" s="26" t="inlineStr"/>
      <c r="I68" s="26" t="inlineStr">
        <is>
          <t>A contacter</t>
        </is>
      </c>
      <c r="J68" s="27" t="n"/>
      <c r="K68" s="26" t="n"/>
      <c r="L68" s="26" t="n">
        <v>1</v>
      </c>
      <c r="M68" s="26" t="n"/>
      <c r="N68" s="26" t="inlineStr"/>
      <c r="O68" s="28">
        <f>IF(OR($J68="",$K68="",$M68=""),"",($J68+IF(AND($L68&gt;=2,$J68=5000),3000,0))*$K68*$M68)</f>
        <v/>
      </c>
      <c r="P68" s="26" t="inlineStr"/>
    </row>
    <row r="69">
      <c r="A69" s="25" t="n">
        <v>1</v>
      </c>
      <c r="B69" s="25" t="inlineStr">
        <is>
          <t>ECOLE SUPERIEUR FATOUMABA (ESFAT)</t>
        </is>
      </c>
      <c r="C69" s="25" t="inlineStr">
        <is>
          <t>Abidjan - Yopougon</t>
        </is>
      </c>
      <c r="D69" s="25" t="inlineStr">
        <is>
          <t>+225 07 07 69 09 46</t>
        </is>
      </c>
      <c r="E69" s="25" t="inlineStr">
        <is>
          <t>+225 07 07 69 09 46</t>
        </is>
      </c>
      <c r="F69" s="25" t="inlineStr">
        <is>
          <t>esfatabidjan@gmail.com</t>
        </is>
      </c>
      <c r="G69" s="26" t="inlineStr"/>
      <c r="H69" s="26" t="inlineStr"/>
      <c r="I69" s="26" t="inlineStr">
        <is>
          <t>A contacter</t>
        </is>
      </c>
      <c r="J69" s="27" t="n"/>
      <c r="K69" s="26" t="n"/>
      <c r="L69" s="26" t="n">
        <v>1</v>
      </c>
      <c r="M69" s="26" t="n"/>
      <c r="N69" s="26" t="inlineStr"/>
      <c r="O69" s="28">
        <f>IF(OR($J69="",$K69="",$M69=""),"",($J69+IF(AND($L69&gt;=2,$J69=5000),3000,0))*$K69*$M69)</f>
        <v/>
      </c>
      <c r="P69" s="26" t="inlineStr"/>
    </row>
    <row r="70">
      <c r="A70" s="25" t="n">
        <v>1</v>
      </c>
      <c r="B70" s="25" t="inlineStr">
        <is>
          <t>ECOLE SUPERIEUR POLYTECHNIQUE (ESP)</t>
        </is>
      </c>
      <c r="C70" s="25" t="inlineStr">
        <is>
          <t>Abidjan - Cocody</t>
        </is>
      </c>
      <c r="D70" s="25" t="inlineStr"/>
      <c r="E70" s="25" t="inlineStr"/>
      <c r="F70" s="25" t="inlineStr"/>
      <c r="G70" s="26" t="inlineStr"/>
      <c r="H70" s="26" t="inlineStr"/>
      <c r="I70" s="26" t="inlineStr">
        <is>
          <t>A contacter</t>
        </is>
      </c>
      <c r="J70" s="27" t="n"/>
      <c r="K70" s="26" t="n"/>
      <c r="L70" s="26" t="n">
        <v>1</v>
      </c>
      <c r="M70" s="26" t="n"/>
      <c r="N70" s="26" t="inlineStr"/>
      <c r="O70" s="28">
        <f>IF(OR($J70="",$K70="",$M70=""),"",($J70+IF(AND($L70&gt;=2,$J70=5000),3000,0))*$K70*$M70)</f>
        <v/>
      </c>
      <c r="P70" s="26" t="inlineStr"/>
    </row>
    <row r="71">
      <c r="A71" s="25" t="n">
        <v>1</v>
      </c>
      <c r="B71" s="25" t="inlineStr">
        <is>
          <t>ECOLE SUPERIEURE AMINA (ESA)</t>
        </is>
      </c>
      <c r="C71" s="25" t="inlineStr">
        <is>
          <t>Abidjan - Riviera</t>
        </is>
      </c>
      <c r="D71" s="25" t="inlineStr">
        <is>
          <t>+225 27 22 47 18 21</t>
        </is>
      </c>
      <c r="E71" s="25" t="inlineStr"/>
      <c r="F71" s="25" t="inlineStr">
        <is>
          <t>etep01esa@gmail.com</t>
        </is>
      </c>
      <c r="G71" s="26" t="inlineStr"/>
      <c r="H71" s="26" t="inlineStr"/>
      <c r="I71" s="26" t="inlineStr">
        <is>
          <t>A contacter</t>
        </is>
      </c>
      <c r="J71" s="27" t="n"/>
      <c r="K71" s="26" t="n"/>
      <c r="L71" s="26" t="n">
        <v>1</v>
      </c>
      <c r="M71" s="26" t="n"/>
      <c r="N71" s="26" t="inlineStr"/>
      <c r="O71" s="28">
        <f>IF(OR($J71="",$K71="",$M71=""),"",($J71+IF(AND($L71&gt;=2,$J71=5000),3000,0))*$K71*$M71)</f>
        <v/>
      </c>
      <c r="P71" s="26" t="inlineStr"/>
    </row>
    <row r="72">
      <c r="A72" s="25" t="n">
        <v>1</v>
      </c>
      <c r="B72" s="25" t="inlineStr">
        <is>
          <t>ECOLE SUPERIEURE D'ENSEIGNEMENT TECHNIQUE ET PROFESSIONNELLE (ESETP) YOPOUGON</t>
        </is>
      </c>
      <c r="C72" s="25" t="inlineStr">
        <is>
          <t>Abidjan - Yopougon</t>
        </is>
      </c>
      <c r="D72" s="25" t="inlineStr">
        <is>
          <t>+225 07 48 77 54 58</t>
        </is>
      </c>
      <c r="E72" s="25" t="inlineStr">
        <is>
          <t>+225 07 48 77 54 58</t>
        </is>
      </c>
      <c r="F72" s="25" t="inlineStr">
        <is>
          <t>sonahabibkgo@gmail.com</t>
        </is>
      </c>
      <c r="G72" s="26" t="inlineStr"/>
      <c r="H72" s="26" t="inlineStr"/>
      <c r="I72" s="26" t="inlineStr">
        <is>
          <t>A contacter</t>
        </is>
      </c>
      <c r="J72" s="27" t="n"/>
      <c r="K72" s="26" t="n"/>
      <c r="L72" s="26" t="n">
        <v>1</v>
      </c>
      <c r="M72" s="26" t="n"/>
      <c r="N72" s="26" t="inlineStr"/>
      <c r="O72" s="28">
        <f>IF(OR($J72="",$K72="",$M72=""),"",($J72+IF(AND($L72&gt;=2,$J72=5000),3000,0))*$K72*$M72)</f>
        <v/>
      </c>
      <c r="P72" s="26" t="inlineStr"/>
    </row>
    <row r="73">
      <c r="A73" s="25" t="n">
        <v>1</v>
      </c>
      <c r="B73" s="25" t="inlineStr">
        <is>
          <t>ECOLE SUPERIEURE D'EXPERTISE COMPTABLE (ESEC)</t>
        </is>
      </c>
      <c r="C73" s="25" t="inlineStr">
        <is>
          <t>Abidjan - Cocody</t>
        </is>
      </c>
      <c r="D73" s="25" t="inlineStr">
        <is>
          <t>+225 05 03 72 66 66</t>
        </is>
      </c>
      <c r="E73" s="25" t="inlineStr">
        <is>
          <t>+225 05 03 72 66 66</t>
        </is>
      </c>
      <c r="F73" s="25" t="inlineStr">
        <is>
          <t>directionesec@gmail.com</t>
        </is>
      </c>
      <c r="G73" s="26" t="inlineStr"/>
      <c r="H73" s="26" t="inlineStr"/>
      <c r="I73" s="26" t="inlineStr">
        <is>
          <t>A contacter</t>
        </is>
      </c>
      <c r="J73" s="27" t="n"/>
      <c r="K73" s="26" t="n"/>
      <c r="L73" s="26" t="n">
        <v>1</v>
      </c>
      <c r="M73" s="26" t="n"/>
      <c r="N73" s="26" t="inlineStr"/>
      <c r="O73" s="28">
        <f>IF(OR($J73="",$K73="",$M73=""),"",($J73+IF(AND($L73&gt;=2,$J73=5000),3000,0))*$K73*$M73)</f>
        <v/>
      </c>
      <c r="P73" s="26" t="inlineStr"/>
    </row>
    <row r="74">
      <c r="A74" s="25" t="n">
        <v>1</v>
      </c>
      <c r="B74" s="25" t="inlineStr">
        <is>
          <t>ECOLE SUPERIEURE D'INFORMATIQUE ET DE COMMERCE COCODY (ESICOM COCODY)</t>
        </is>
      </c>
      <c r="C74" s="25" t="inlineStr">
        <is>
          <t>Abidjan - Cocody</t>
        </is>
      </c>
      <c r="D74" s="25" t="inlineStr">
        <is>
          <t>+225 27 20 33 54 80</t>
        </is>
      </c>
      <c r="E74" s="25" t="inlineStr"/>
      <c r="F74" s="25" t="inlineStr">
        <is>
          <t>esicomplatteau@yahoo.fr</t>
        </is>
      </c>
      <c r="G74" s="26" t="inlineStr"/>
      <c r="H74" s="26" t="inlineStr"/>
      <c r="I74" s="26" t="inlineStr">
        <is>
          <t>A contacter</t>
        </is>
      </c>
      <c r="J74" s="27" t="n"/>
      <c r="K74" s="26" t="n"/>
      <c r="L74" s="26" t="n">
        <v>1</v>
      </c>
      <c r="M74" s="26" t="n"/>
      <c r="N74" s="26" t="inlineStr"/>
      <c r="O74" s="28">
        <f>IF(OR($J74="",$K74="",$M74=""),"",($J74+IF(AND($L74&gt;=2,$J74=5000),3000,0))*$K74*$M74)</f>
        <v/>
      </c>
      <c r="P74" s="26" t="inlineStr"/>
    </row>
    <row r="75">
      <c r="A75" s="25" t="n">
        <v>1</v>
      </c>
      <c r="B75" s="25" t="inlineStr">
        <is>
          <t>ECOLE SUPERIEURE D'INFORMATIQUE ET DE L'INNOVATION PLATEAU (ES2I PLATEAU)</t>
        </is>
      </c>
      <c r="C75" s="25" t="inlineStr">
        <is>
          <t>Abidjan - Plateau</t>
        </is>
      </c>
      <c r="D75" s="25" t="inlineStr">
        <is>
          <t>+225 01 01 15 33 44</t>
        </is>
      </c>
      <c r="E75" s="25" t="inlineStr">
        <is>
          <t>+225 01 01 15 33 44</t>
        </is>
      </c>
      <c r="F75" s="25" t="inlineStr">
        <is>
          <t>akaabedy@yahoo.fr</t>
        </is>
      </c>
      <c r="G75" s="26" t="inlineStr"/>
      <c r="H75" s="26" t="inlineStr"/>
      <c r="I75" s="26" t="inlineStr">
        <is>
          <t>A contacter</t>
        </is>
      </c>
      <c r="J75" s="27" t="n"/>
      <c r="K75" s="26" t="n"/>
      <c r="L75" s="26" t="n">
        <v>1</v>
      </c>
      <c r="M75" s="26" t="n"/>
      <c r="N75" s="26" t="inlineStr"/>
      <c r="O75" s="28">
        <f>IF(OR($J75="",$K75="",$M75=""),"",($J75+IF(AND($L75&gt;=2,$J75=5000),3000,0))*$K75*$M75)</f>
        <v/>
      </c>
      <c r="P75" s="26" t="inlineStr"/>
    </row>
    <row r="76">
      <c r="A76" s="25" t="n">
        <v>1</v>
      </c>
      <c r="B76" s="25" t="inlineStr">
        <is>
          <t>ECOLE SUPERIEURE D'INFORMATIQUE ET DE L'INNOVATION YOPOUGON (ES2I YOPOUGON)</t>
        </is>
      </c>
      <c r="C76" s="25" t="inlineStr">
        <is>
          <t>Abidjan - Yopougon</t>
        </is>
      </c>
      <c r="D76" s="25" t="inlineStr">
        <is>
          <t>+225 27 21 37 28 86</t>
        </is>
      </c>
      <c r="E76" s="25" t="inlineStr">
        <is>
          <t>+225 07 07 25 48 80</t>
        </is>
      </c>
      <c r="F76" s="25" t="inlineStr"/>
      <c r="G76" s="26" t="inlineStr"/>
      <c r="H76" s="26" t="inlineStr"/>
      <c r="I76" s="26" t="inlineStr">
        <is>
          <t>A contacter</t>
        </is>
      </c>
      <c r="J76" s="27" t="n"/>
      <c r="K76" s="26" t="n"/>
      <c r="L76" s="26" t="n">
        <v>1</v>
      </c>
      <c r="M76" s="26" t="n"/>
      <c r="N76" s="26" t="inlineStr"/>
      <c r="O76" s="28">
        <f>IF(OR($J76="",$K76="",$M76=""),"",($J76+IF(AND($L76&gt;=2,$J76=5000),3000,0))*$K76*$M76)</f>
        <v/>
      </c>
      <c r="P76" s="26" t="inlineStr"/>
    </row>
    <row r="77">
      <c r="A77" s="25" t="n">
        <v>1</v>
      </c>
      <c r="B77" s="25" t="inlineStr">
        <is>
          <t>ECOLE SUPERIEURE D'INTELLIGENCE ECONOMIQUE COCODY (ESIE COCODY)</t>
        </is>
      </c>
      <c r="C77" s="25" t="inlineStr">
        <is>
          <t>Abidjan - Cocody</t>
        </is>
      </c>
      <c r="D77" s="25" t="inlineStr">
        <is>
          <t>+225 07 07 33 60 50</t>
        </is>
      </c>
      <c r="E77" s="25" t="inlineStr">
        <is>
          <t>+225 07 07 33 60 50</t>
        </is>
      </c>
      <c r="F77" s="25" t="inlineStr"/>
      <c r="G77" s="26" t="inlineStr"/>
      <c r="H77" s="26" t="inlineStr"/>
      <c r="I77" s="26" t="inlineStr">
        <is>
          <t>A contacter</t>
        </is>
      </c>
      <c r="J77" s="27" t="n"/>
      <c r="K77" s="26" t="n"/>
      <c r="L77" s="26" t="n">
        <v>1</v>
      </c>
      <c r="M77" s="26" t="n"/>
      <c r="N77" s="26" t="inlineStr"/>
      <c r="O77" s="28">
        <f>IF(OR($J77="",$K77="",$M77=""),"",($J77+IF(AND($L77&gt;=2,$J77=5000),3000,0))*$K77*$M77)</f>
        <v/>
      </c>
      <c r="P77" s="26" t="inlineStr"/>
    </row>
    <row r="78">
      <c r="A78" s="25" t="n">
        <v>1</v>
      </c>
      <c r="B78" s="25" t="inlineStr">
        <is>
          <t>ECOLE SUPERIEURE D'INTELLIGENCE ECONOMIQUE YOPOUGON (ESIE YOPOUGON)</t>
        </is>
      </c>
      <c r="C78" s="25" t="inlineStr">
        <is>
          <t>Abidjan - Yopougon</t>
        </is>
      </c>
      <c r="D78" s="25" t="inlineStr"/>
      <c r="E78" s="25" t="inlineStr"/>
      <c r="F78" s="25" t="inlineStr"/>
      <c r="G78" s="26" t="inlineStr"/>
      <c r="H78" s="26" t="inlineStr"/>
      <c r="I78" s="26" t="inlineStr">
        <is>
          <t>A contacter</t>
        </is>
      </c>
      <c r="J78" s="27" t="n"/>
      <c r="K78" s="26" t="n"/>
      <c r="L78" s="26" t="n">
        <v>1</v>
      </c>
      <c r="M78" s="26" t="n"/>
      <c r="N78" s="26" t="inlineStr"/>
      <c r="O78" s="28">
        <f>IF(OR($J78="",$K78="",$M78=""),"",($J78+IF(AND($L78&gt;=2,$J78=5000),3000,0))*$K78*$M78)</f>
        <v/>
      </c>
      <c r="P78" s="26" t="inlineStr"/>
    </row>
    <row r="79">
      <c r="A79" s="25" t="n">
        <v>1</v>
      </c>
      <c r="B79" s="25" t="inlineStr">
        <is>
          <t>ECOLE SUPERIEURE DE COMMERCE D'ADMINISTRATION ET DE MANAGEMENT COCODY (ESCAM COCODY)</t>
        </is>
      </c>
      <c r="C79" s="25" t="inlineStr">
        <is>
          <t>Abidjan - Cocody</t>
        </is>
      </c>
      <c r="D79" s="25" t="inlineStr">
        <is>
          <t>+225 07 07 21 86 32</t>
        </is>
      </c>
      <c r="E79" s="25" t="inlineStr">
        <is>
          <t>+225 07 07 21 86 32</t>
        </is>
      </c>
      <c r="F79" s="25" t="inlineStr"/>
      <c r="G79" s="26" t="inlineStr"/>
      <c r="H79" s="26" t="inlineStr"/>
      <c r="I79" s="26" t="inlineStr">
        <is>
          <t>A contacter</t>
        </is>
      </c>
      <c r="J79" s="27" t="n"/>
      <c r="K79" s="26" t="n"/>
      <c r="L79" s="26" t="n">
        <v>1</v>
      </c>
      <c r="M79" s="26" t="n"/>
      <c r="N79" s="26" t="inlineStr"/>
      <c r="O79" s="28">
        <f>IF(OR($J79="",$K79="",$M79=""),"",($J79+IF(AND($L79&gt;=2,$J79=5000),3000,0))*$K79*$M79)</f>
        <v/>
      </c>
      <c r="P79" s="26" t="inlineStr"/>
    </row>
    <row r="80">
      <c r="A80" s="25" t="n">
        <v>1</v>
      </c>
      <c r="B80" s="25" t="inlineStr">
        <is>
          <t>ECOLE SUPERIEURE DE FORMATION AUX METIERS D'INFORMATIQUE ET DE GESTION (ESFIG)</t>
        </is>
      </c>
      <c r="C80" s="25" t="inlineStr">
        <is>
          <t>Abidjan - Cocody</t>
        </is>
      </c>
      <c r="D80" s="25" t="inlineStr">
        <is>
          <t>+225 27 21 00 34 28</t>
        </is>
      </c>
      <c r="E80" s="25" t="inlineStr"/>
      <c r="F80" s="25" t="inlineStr">
        <is>
          <t>accueil@esfig.com</t>
        </is>
      </c>
      <c r="G80" s="26" t="inlineStr"/>
      <c r="H80" s="26" t="inlineStr"/>
      <c r="I80" s="26" t="inlineStr">
        <is>
          <t>A contacter</t>
        </is>
      </c>
      <c r="J80" s="27" t="n"/>
      <c r="K80" s="26" t="n"/>
      <c r="L80" s="26" t="n">
        <v>1</v>
      </c>
      <c r="M80" s="26" t="n"/>
      <c r="N80" s="26" t="inlineStr"/>
      <c r="O80" s="28">
        <f>IF(OR($J80="",$K80="",$M80=""),"",($J80+IF(AND($L80&gt;=2,$J80=5000),3000,0))*$K80*$M80)</f>
        <v/>
      </c>
      <c r="P80" s="26" t="inlineStr"/>
    </row>
    <row r="81">
      <c r="A81" s="25" t="n">
        <v>1</v>
      </c>
      <c r="B81" s="25" t="inlineStr">
        <is>
          <t>Ecole Superieure de Gestion (ESG)</t>
        </is>
      </c>
      <c r="C81" s="25" t="inlineStr">
        <is>
          <t>Abidjan Cocody</t>
        </is>
      </c>
      <c r="D81" s="25" t="inlineStr">
        <is>
          <t>+225 07 08 58 08 88</t>
        </is>
      </c>
      <c r="E81" s="25" t="inlineStr"/>
      <c r="F81" s="25" t="inlineStr">
        <is>
          <t>infos@esg-ci.com</t>
        </is>
      </c>
      <c r="G81" s="26" t="inlineStr"/>
      <c r="H81" s="26" t="inlineStr"/>
      <c r="I81" s="26" t="inlineStr">
        <is>
          <t>A contacter</t>
        </is>
      </c>
      <c r="J81" s="27" t="n"/>
      <c r="K81" s="26" t="n"/>
      <c r="L81" s="26" t="n">
        <v>1</v>
      </c>
      <c r="M81" s="26" t="n"/>
      <c r="N81" s="26" t="inlineStr"/>
      <c r="O81" s="28">
        <f>IF(OR($J81="",$K81="",$M81=""),"",($J81+IF(AND($L81&gt;=2,$J81=5000),3000,0))*$K81*$M81)</f>
        <v/>
      </c>
      <c r="P81" s="26" t="inlineStr"/>
    </row>
    <row r="82">
      <c r="A82" s="25" t="n">
        <v>1</v>
      </c>
      <c r="B82" s="25" t="inlineStr">
        <is>
          <t>ECOLE SUPERIEURE DE GESTION DES SCIENCES ET DE COMMUNICATION (ES-GSC)</t>
        </is>
      </c>
      <c r="C82" s="25" t="inlineStr">
        <is>
          <t>Abidjan - Cocody</t>
        </is>
      </c>
      <c r="D82" s="25" t="inlineStr">
        <is>
          <t>+225 27 22 24 32 23</t>
        </is>
      </c>
      <c r="E82" s="25" t="inlineStr">
        <is>
          <t>+225 01 02 59 92 39</t>
        </is>
      </c>
      <c r="F82" s="25" t="inlineStr">
        <is>
          <t>esgscinfo@gmail.com</t>
        </is>
      </c>
      <c r="G82" s="26" t="inlineStr"/>
      <c r="H82" s="26" t="inlineStr"/>
      <c r="I82" s="26" t="inlineStr">
        <is>
          <t>A contacter</t>
        </is>
      </c>
      <c r="J82" s="27" t="n"/>
      <c r="K82" s="26" t="n"/>
      <c r="L82" s="26" t="n">
        <v>1</v>
      </c>
      <c r="M82" s="26" t="n"/>
      <c r="N82" s="26" t="inlineStr"/>
      <c r="O82" s="28">
        <f>IF(OR($J82="",$K82="",$M82=""),"",($J82+IF(AND($L82&gt;=2,$J82=5000),3000,0))*$K82*$M82)</f>
        <v/>
      </c>
      <c r="P82" s="26" t="inlineStr"/>
    </row>
    <row r="83">
      <c r="A83" s="25" t="n">
        <v>1</v>
      </c>
      <c r="B83" s="25" t="inlineStr">
        <is>
          <t>ECOLE SUPERIEURE DE L'ELITE AFRICAINE (ESEA)</t>
        </is>
      </c>
      <c r="C83" s="25" t="inlineStr">
        <is>
          <t>Abidjan - Cocody</t>
        </is>
      </c>
      <c r="D83" s="25" t="inlineStr">
        <is>
          <t>+225 07 57 50 18 59</t>
        </is>
      </c>
      <c r="E83" s="25" t="inlineStr">
        <is>
          <t>+225 07 57 50 18 59</t>
        </is>
      </c>
      <c r="F83" s="25" t="inlineStr">
        <is>
          <t>info@esea.ci</t>
        </is>
      </c>
      <c r="G83" s="26" t="inlineStr"/>
      <c r="H83" s="26" t="inlineStr"/>
      <c r="I83" s="26" t="inlineStr">
        <is>
          <t>A contacter</t>
        </is>
      </c>
      <c r="J83" s="27" t="n"/>
      <c r="K83" s="26" t="n"/>
      <c r="L83" s="26" t="n">
        <v>1</v>
      </c>
      <c r="M83" s="26" t="n"/>
      <c r="N83" s="26" t="inlineStr"/>
      <c r="O83" s="28">
        <f>IF(OR($J83="",$K83="",$M83=""),"",($J83+IF(AND($L83&gt;=2,$J83=5000),3000,0))*$K83*$M83)</f>
        <v/>
      </c>
      <c r="P83" s="26" t="inlineStr"/>
    </row>
    <row r="84">
      <c r="A84" s="25" t="n">
        <v>1</v>
      </c>
      <c r="B84" s="25" t="inlineStr">
        <is>
          <t>ECOLE SUPERIEURE DE L'ENSEIGNEMENT TECHNIQUE ET COMMERCIAL COCODY (ESETEC COCODY)</t>
        </is>
      </c>
      <c r="C84" s="25" t="inlineStr">
        <is>
          <t>Abidjan - Cocody</t>
        </is>
      </c>
      <c r="D84" s="25" t="inlineStr">
        <is>
          <t>+225 07 07 86 73 38</t>
        </is>
      </c>
      <c r="E84" s="25" t="inlineStr">
        <is>
          <t>+225 07 07 86 73 38</t>
        </is>
      </c>
      <c r="F84" s="25" t="inlineStr"/>
      <c r="G84" s="26" t="inlineStr"/>
      <c r="H84" s="26" t="inlineStr"/>
      <c r="I84" s="26" t="inlineStr">
        <is>
          <t>A contacter</t>
        </is>
      </c>
      <c r="J84" s="27" t="n"/>
      <c r="K84" s="26" t="n"/>
      <c r="L84" s="26" t="n">
        <v>1</v>
      </c>
      <c r="M84" s="26" t="n"/>
      <c r="N84" s="26" t="inlineStr"/>
      <c r="O84" s="28">
        <f>IF(OR($J84="",$K84="",$M84=""),"",($J84+IF(AND($L84&gt;=2,$J84=5000),3000,0))*$K84*$M84)</f>
        <v/>
      </c>
      <c r="P84" s="26" t="inlineStr"/>
    </row>
    <row r="85">
      <c r="A85" s="25" t="n">
        <v>1</v>
      </c>
      <c r="B85" s="25" t="inlineStr">
        <is>
          <t>ECOLE SUPERIEURE DE LA MER (ESM)</t>
        </is>
      </c>
      <c r="C85" s="25" t="inlineStr">
        <is>
          <t>Abidjan - Cocody</t>
        </is>
      </c>
      <c r="D85" s="25" t="inlineStr">
        <is>
          <t>+225 05 03 72 44 44</t>
        </is>
      </c>
      <c r="E85" s="25" t="inlineStr">
        <is>
          <t>+225 05 03 72 44 44</t>
        </is>
      </c>
      <c r="F85" s="25" t="inlineStr">
        <is>
          <t>administrationesm@gmail.com</t>
        </is>
      </c>
      <c r="G85" s="26" t="inlineStr"/>
      <c r="H85" s="26" t="inlineStr"/>
      <c r="I85" s="26" t="inlineStr">
        <is>
          <t>A contacter</t>
        </is>
      </c>
      <c r="J85" s="27" t="n"/>
      <c r="K85" s="26" t="n"/>
      <c r="L85" s="26" t="n">
        <v>1</v>
      </c>
      <c r="M85" s="26" t="n"/>
      <c r="N85" s="26" t="inlineStr"/>
      <c r="O85" s="28">
        <f>IF(OR($J85="",$K85="",$M85=""),"",($J85+IF(AND($L85&gt;=2,$J85=5000),3000,0))*$K85*$M85)</f>
        <v/>
      </c>
      <c r="P85" s="26" t="inlineStr"/>
    </row>
    <row r="86">
      <c r="A86" s="25" t="n">
        <v>1</v>
      </c>
      <c r="B86" s="25" t="inlineStr">
        <is>
          <t>ECOLE SUPERIEURE DE L’ELITE INTERNATIONALE COCODY (E.S.E.I.)</t>
        </is>
      </c>
      <c r="C86" s="25" t="inlineStr">
        <is>
          <t>Abidjan - Cocody</t>
        </is>
      </c>
      <c r="D86" s="25" t="inlineStr">
        <is>
          <t>+225 07 03 99 66 65</t>
        </is>
      </c>
      <c r="E86" s="25" t="inlineStr">
        <is>
          <t>+225 07 03 99 66 65</t>
        </is>
      </c>
      <c r="F86" s="25" t="inlineStr">
        <is>
          <t>es.eliteinter23sc@gmail.com</t>
        </is>
      </c>
      <c r="G86" s="26" t="inlineStr"/>
      <c r="H86" s="26" t="inlineStr"/>
      <c r="I86" s="26" t="inlineStr">
        <is>
          <t>A contacter</t>
        </is>
      </c>
      <c r="J86" s="27" t="n"/>
      <c r="K86" s="26" t="n"/>
      <c r="L86" s="26" t="n">
        <v>1</v>
      </c>
      <c r="M86" s="26" t="n"/>
      <c r="N86" s="26" t="inlineStr"/>
      <c r="O86" s="28">
        <f>IF(OR($J86="",$K86="",$M86=""),"",($J86+IF(AND($L86&gt;=2,$J86=5000),3000,0))*$K86*$M86)</f>
        <v/>
      </c>
      <c r="P86" s="26" t="inlineStr"/>
    </row>
    <row r="87">
      <c r="A87" s="25" t="n">
        <v>1</v>
      </c>
      <c r="B87" s="25" t="inlineStr">
        <is>
          <t>ECOLE SUPERIEURE DE MANAGEMENT ET DE COMMUNICATION (ESMC)</t>
        </is>
      </c>
      <c r="C87" s="25" t="inlineStr">
        <is>
          <t>Abidjan - Bingerville</t>
        </is>
      </c>
      <c r="D87" s="25" t="inlineStr">
        <is>
          <t>+225 07 58 89 39 88</t>
        </is>
      </c>
      <c r="E87" s="25" t="inlineStr">
        <is>
          <t>+225 07 58 89 39 88</t>
        </is>
      </c>
      <c r="F87" s="25" t="inlineStr">
        <is>
          <t>informationesmc@gmail.com</t>
        </is>
      </c>
      <c r="G87" s="26" t="inlineStr"/>
      <c r="H87" s="26" t="inlineStr"/>
      <c r="I87" s="26" t="inlineStr">
        <is>
          <t>A contacter</t>
        </is>
      </c>
      <c r="J87" s="27" t="n"/>
      <c r="K87" s="26" t="n"/>
      <c r="L87" s="26" t="n">
        <v>1</v>
      </c>
      <c r="M87" s="26" t="n"/>
      <c r="N87" s="26" t="inlineStr"/>
      <c r="O87" s="28">
        <f>IF(OR($J87="",$K87="",$M87=""),"",($J87+IF(AND($L87&gt;=2,$J87=5000),3000,0))*$K87*$M87)</f>
        <v/>
      </c>
      <c r="P87" s="26" t="inlineStr"/>
    </row>
    <row r="88">
      <c r="A88" s="25" t="n">
        <v>1</v>
      </c>
      <c r="B88" s="25" t="inlineStr">
        <is>
          <t>ECOLE SUPERIEURE DE MANAGEMENT ET DE TECHNOLOGIE LE GROUPE BOWL (ESMAT LE GROUPE BOWL) (LGB)</t>
        </is>
      </c>
      <c r="C88" s="25" t="inlineStr">
        <is>
          <t>Abidjan - Yopougon</t>
        </is>
      </c>
      <c r="D88" s="25" t="inlineStr">
        <is>
          <t>+225 27 23 45 68 68</t>
        </is>
      </c>
      <c r="E88" s="25" t="inlineStr"/>
      <c r="F88" s="25" t="inlineStr">
        <is>
          <t>pjdodo2002@yahoo.fr</t>
        </is>
      </c>
      <c r="G88" s="26" t="inlineStr"/>
      <c r="H88" s="26" t="inlineStr"/>
      <c r="I88" s="26" t="inlineStr">
        <is>
          <t>A contacter</t>
        </is>
      </c>
      <c r="J88" s="27" t="n"/>
      <c r="K88" s="26" t="n"/>
      <c r="L88" s="26" t="n">
        <v>1</v>
      </c>
      <c r="M88" s="26" t="n"/>
      <c r="N88" s="26" t="inlineStr"/>
      <c r="O88" s="28">
        <f>IF(OR($J88="",$K88="",$M88=""),"",($J88+IF(AND($L88&gt;=2,$J88=5000),3000,0))*$K88*$M88)</f>
        <v/>
      </c>
      <c r="P88" s="26" t="inlineStr"/>
    </row>
    <row r="89">
      <c r="A89" s="25" t="n">
        <v>1</v>
      </c>
      <c r="B89" s="25" t="inlineStr">
        <is>
          <t>ECOLE SUPERIEURE DE MANAGEMENT ET DES TECHNOLOGIES (ESUMAT ABIDJAN)</t>
        </is>
      </c>
      <c r="C89" s="25" t="inlineStr">
        <is>
          <t>Abidjan - Yopougon</t>
        </is>
      </c>
      <c r="D89" s="25" t="inlineStr">
        <is>
          <t>+225 07 12 12 85 92</t>
        </is>
      </c>
      <c r="E89" s="25" t="inlineStr">
        <is>
          <t>+225 07 12 12 85 92</t>
        </is>
      </c>
      <c r="F89" s="25" t="inlineStr">
        <is>
          <t>esumatabidjan1@gmail.com</t>
        </is>
      </c>
      <c r="G89" s="26" t="inlineStr"/>
      <c r="H89" s="26" t="inlineStr"/>
      <c r="I89" s="26" t="inlineStr">
        <is>
          <t>A contacter</t>
        </is>
      </c>
      <c r="J89" s="27" t="n"/>
      <c r="K89" s="26" t="n"/>
      <c r="L89" s="26" t="n">
        <v>1</v>
      </c>
      <c r="M89" s="26" t="n"/>
      <c r="N89" s="26" t="inlineStr"/>
      <c r="O89" s="28">
        <f>IF(OR($J89="",$K89="",$M89=""),"",($J89+IF(AND($L89&gt;=2,$J89=5000),3000,0))*$K89*$M89)</f>
        <v/>
      </c>
      <c r="P89" s="26" t="inlineStr"/>
    </row>
    <row r="90">
      <c r="A90" s="25" t="n">
        <v>1</v>
      </c>
      <c r="B90" s="25" t="inlineStr">
        <is>
          <t>ECOLE SUPERIEURE DE TECHNOLOGIE DE COMMERCE ET DE MANAGEMENT ANYAMA (ESTCOM)</t>
        </is>
      </c>
      <c r="C90" s="25" t="inlineStr">
        <is>
          <t>Abidjan - Anyama</t>
        </is>
      </c>
      <c r="D90" s="25" t="inlineStr">
        <is>
          <t>+225 07 07 70 73 54</t>
        </is>
      </c>
      <c r="E90" s="25" t="inlineStr">
        <is>
          <t>+225 07 07 70 73 54</t>
        </is>
      </c>
      <c r="F90" s="25" t="inlineStr">
        <is>
          <t>estcom.anyama@gmail.com</t>
        </is>
      </c>
      <c r="G90" s="26" t="inlineStr"/>
      <c r="H90" s="26" t="inlineStr"/>
      <c r="I90" s="26" t="inlineStr">
        <is>
          <t>A contacter</t>
        </is>
      </c>
      <c r="J90" s="27" t="n"/>
      <c r="K90" s="26" t="n"/>
      <c r="L90" s="26" t="n">
        <v>1</v>
      </c>
      <c r="M90" s="26" t="n"/>
      <c r="N90" s="26" t="inlineStr"/>
      <c r="O90" s="28">
        <f>IF(OR($J90="",$K90="",$M90=""),"",($J90+IF(AND($L90&gt;=2,$J90=5000),3000,0))*$K90*$M90)</f>
        <v/>
      </c>
      <c r="P90" s="26" t="inlineStr"/>
    </row>
    <row r="91">
      <c r="A91" s="25" t="n">
        <v>1</v>
      </c>
      <c r="B91" s="25" t="inlineStr">
        <is>
          <t>ECOLE SUPERIEURE DES AFFAIRES ET MANAGEMENT YOPOUGON (ESAM YOPOUGON)</t>
        </is>
      </c>
      <c r="C91" s="25" t="inlineStr">
        <is>
          <t>Abidjan - Yopougon</t>
        </is>
      </c>
      <c r="D91" s="25" t="inlineStr"/>
      <c r="E91" s="25" t="inlineStr"/>
      <c r="F91" s="25" t="inlineStr">
        <is>
          <t>franciscokouassikoko@hotmail.com</t>
        </is>
      </c>
      <c r="G91" s="26" t="inlineStr"/>
      <c r="H91" s="26" t="inlineStr"/>
      <c r="I91" s="26" t="inlineStr">
        <is>
          <t>A contacter</t>
        </is>
      </c>
      <c r="J91" s="27" t="n"/>
      <c r="K91" s="26" t="n"/>
      <c r="L91" s="26" t="n">
        <v>1</v>
      </c>
      <c r="M91" s="26" t="n"/>
      <c r="N91" s="26" t="inlineStr"/>
      <c r="O91" s="28">
        <f>IF(OR($J91="",$K91="",$M91=""),"",($J91+IF(AND($L91&gt;=2,$J91=5000),3000,0))*$K91*$M91)</f>
        <v/>
      </c>
      <c r="P91" s="26" t="inlineStr"/>
    </row>
    <row r="92">
      <c r="A92" s="25" t="n">
        <v>1</v>
      </c>
      <c r="B92" s="25" t="inlineStr">
        <is>
          <t>ECOLE SUPERIEURE DES AFFAIRES ET MANAGEMENT/INSTITUT DES HAUTES ETUDES PROFESSIONNELLES ET TECHNIQUES (ESAM/IHPT)</t>
        </is>
      </c>
      <c r="C92" s="25" t="inlineStr">
        <is>
          <t>Abidjan - Plateau</t>
        </is>
      </c>
      <c r="D92" s="25" t="inlineStr"/>
      <c r="E92" s="25" t="inlineStr"/>
      <c r="F92" s="25" t="inlineStr">
        <is>
          <t>esamihpt@gmail.com</t>
        </is>
      </c>
      <c r="G92" s="26" t="inlineStr"/>
      <c r="H92" s="26" t="inlineStr"/>
      <c r="I92" s="26" t="inlineStr">
        <is>
          <t>A contacter</t>
        </is>
      </c>
      <c r="J92" s="27" t="n"/>
      <c r="K92" s="26" t="n"/>
      <c r="L92" s="26" t="n">
        <v>1</v>
      </c>
      <c r="M92" s="26" t="n"/>
      <c r="N92" s="26" t="inlineStr"/>
      <c r="O92" s="28">
        <f>IF(OR($J92="",$K92="",$M92=""),"",($J92+IF(AND($L92&gt;=2,$J92=5000),3000,0))*$K92*$M92)</f>
        <v/>
      </c>
      <c r="P92" s="26" t="inlineStr"/>
    </row>
    <row r="93">
      <c r="A93" s="25" t="n">
        <v>1</v>
      </c>
      <c r="B93" s="25" t="inlineStr">
        <is>
          <t>ECOLE SUPERIEURE DES AFFAIRES ET MANAGEMENT/INSTITUT POLYTECHNIQUE KOKO N'GUESSAN (ESAM/IPKN)</t>
        </is>
      </c>
      <c r="C93" s="25" t="inlineStr">
        <is>
          <t>Abidjan - Plateau</t>
        </is>
      </c>
      <c r="D93" s="25" t="inlineStr"/>
      <c r="E93" s="25" t="inlineStr"/>
      <c r="F93" s="25" t="inlineStr">
        <is>
          <t>esamihpt@gmail.com</t>
        </is>
      </c>
      <c r="G93" s="26" t="inlineStr"/>
      <c r="H93" s="26" t="inlineStr"/>
      <c r="I93" s="26" t="inlineStr">
        <is>
          <t>A contacter</t>
        </is>
      </c>
      <c r="J93" s="27" t="n"/>
      <c r="K93" s="26" t="n"/>
      <c r="L93" s="26" t="n">
        <v>1</v>
      </c>
      <c r="M93" s="26" t="n"/>
      <c r="N93" s="26" t="inlineStr"/>
      <c r="O93" s="28">
        <f>IF(OR($J93="",$K93="",$M93=""),"",($J93+IF(AND($L93&gt;=2,$J93=5000),3000,0))*$K93*$M93)</f>
        <v/>
      </c>
      <c r="P93" s="26" t="inlineStr"/>
    </row>
    <row r="94">
      <c r="A94" s="25" t="n">
        <v>1</v>
      </c>
      <c r="B94" s="25" t="inlineStr">
        <is>
          <t>ECOLE SUPERIEURE DES SCIENCES ECONOMIQUES COMMERCIALES ET DE TECHNOLOGIES POINCARE COCODY (ESSECT POINCARE COCODY)</t>
        </is>
      </c>
      <c r="C94" s="25" t="inlineStr">
        <is>
          <t>Abidjan - Cocody</t>
        </is>
      </c>
      <c r="D94" s="25" t="inlineStr">
        <is>
          <t>+225 27 22 41 67 94</t>
        </is>
      </c>
      <c r="E94" s="25" t="inlineStr">
        <is>
          <t>+225 27 22 42 28 15</t>
        </is>
      </c>
      <c r="F94" s="25" t="inlineStr">
        <is>
          <t>poincareabidjan@yahoo.fr</t>
        </is>
      </c>
      <c r="G94" s="26" t="inlineStr"/>
      <c r="H94" s="26" t="inlineStr"/>
      <c r="I94" s="26" t="inlineStr">
        <is>
          <t>A contacter</t>
        </is>
      </c>
      <c r="J94" s="27" t="n"/>
      <c r="K94" s="26" t="n"/>
      <c r="L94" s="26" t="n">
        <v>1</v>
      </c>
      <c r="M94" s="26" t="n"/>
      <c r="N94" s="26" t="inlineStr"/>
      <c r="O94" s="28">
        <f>IF(OR($J94="",$K94="",$M94=""),"",($J94+IF(AND($L94&gt;=2,$J94=5000),3000,0))*$K94*$M94)</f>
        <v/>
      </c>
      <c r="P94" s="26" t="inlineStr"/>
    </row>
    <row r="95">
      <c r="A95" s="25" t="n">
        <v>1</v>
      </c>
      <c r="B95" s="25" t="inlineStr">
        <is>
          <t>ECOLE SUPERIEURE DES TECHNIQUES ET SPECIALITES POUR L'EDUCATION ET LA FORMATION (EDUFOR)</t>
        </is>
      </c>
      <c r="C95" s="25" t="inlineStr">
        <is>
          <t>Abidjan - Yopougon</t>
        </is>
      </c>
      <c r="D95" s="25" t="inlineStr">
        <is>
          <t>+225 27 23 48 56 73</t>
        </is>
      </c>
      <c r="E95" s="25" t="inlineStr"/>
      <c r="F95" s="25" t="inlineStr">
        <is>
          <t>enseignetechedufor@gmail.com</t>
        </is>
      </c>
      <c r="G95" s="26" t="inlineStr"/>
      <c r="H95" s="26" t="inlineStr"/>
      <c r="I95" s="26" t="inlineStr">
        <is>
          <t>A contacter</t>
        </is>
      </c>
      <c r="J95" s="27" t="n"/>
      <c r="K95" s="26" t="n"/>
      <c r="L95" s="26" t="n">
        <v>1</v>
      </c>
      <c r="M95" s="26" t="n"/>
      <c r="N95" s="26" t="inlineStr"/>
      <c r="O95" s="28">
        <f>IF(OR($J95="",$K95="",$M95=""),"",($J95+IF(AND($L95&gt;=2,$J95=5000),3000,0))*$K95*$M95)</f>
        <v/>
      </c>
      <c r="P95" s="26" t="inlineStr"/>
    </row>
    <row r="96">
      <c r="A96" s="25" t="n">
        <v>1</v>
      </c>
      <c r="B96" s="25" t="inlineStr">
        <is>
          <t>ECOLE SUPERIEURE DES TECHNOLOGIES AVANCEES ET DE MANAGEMENT COCODY (ESTAM COCODY)</t>
        </is>
      </c>
      <c r="C96" s="25" t="inlineStr">
        <is>
          <t>Abidjan - Cocody</t>
        </is>
      </c>
      <c r="D96" s="25" t="inlineStr">
        <is>
          <t>+225 27 22 42 93 69</t>
        </is>
      </c>
      <c r="E96" s="25" t="inlineStr"/>
      <c r="F96" s="25" t="inlineStr">
        <is>
          <t>estamtechnologie@aviso.ci</t>
        </is>
      </c>
      <c r="G96" s="26" t="inlineStr"/>
      <c r="H96" s="26" t="inlineStr"/>
      <c r="I96" s="26" t="inlineStr">
        <is>
          <t>A contacter</t>
        </is>
      </c>
      <c r="J96" s="27" t="n"/>
      <c r="K96" s="26" t="n"/>
      <c r="L96" s="26" t="n">
        <v>1</v>
      </c>
      <c r="M96" s="26" t="n"/>
      <c r="N96" s="26" t="inlineStr"/>
      <c r="O96" s="28">
        <f>IF(OR($J96="",$K96="",$M96=""),"",($J96+IF(AND($L96&gt;=2,$J96=5000),3000,0))*$K96*$M96)</f>
        <v/>
      </c>
      <c r="P96" s="26" t="inlineStr"/>
    </row>
    <row r="97">
      <c r="A97" s="25" t="n">
        <v>1</v>
      </c>
      <c r="B97" s="25" t="inlineStr">
        <is>
          <t>ECOLE SUPERIEURE DES TECHNOLOGIES DE L'INDUSTRIE, DU MANAGEMENT ET DE L'ENTREPRENEURIAT (ESTIME)</t>
        </is>
      </c>
      <c r="C97" s="25" t="inlineStr">
        <is>
          <t>Abidjan - Yopougon</t>
        </is>
      </c>
      <c r="D97" s="25" t="inlineStr">
        <is>
          <t>+225 27 23 46 95 40</t>
        </is>
      </c>
      <c r="E97" s="25" t="inlineStr"/>
      <c r="F97" s="25" t="inlineStr">
        <is>
          <t>kouadioyacouba@gmail.com</t>
        </is>
      </c>
      <c r="G97" s="26" t="inlineStr"/>
      <c r="H97" s="26" t="inlineStr"/>
      <c r="I97" s="26" t="inlineStr">
        <is>
          <t>A contacter</t>
        </is>
      </c>
      <c r="J97" s="27" t="n"/>
      <c r="K97" s="26" t="n"/>
      <c r="L97" s="26" t="n">
        <v>1</v>
      </c>
      <c r="M97" s="26" t="n"/>
      <c r="N97" s="26" t="inlineStr"/>
      <c r="O97" s="28">
        <f>IF(OR($J97="",$K97="",$M97=""),"",($J97+IF(AND($L97&gt;=2,$J97=5000),3000,0))*$K97*$M97)</f>
        <v/>
      </c>
      <c r="P97" s="26" t="inlineStr"/>
    </row>
    <row r="98">
      <c r="A98" s="25" t="n">
        <v>1</v>
      </c>
      <c r="B98" s="25" t="inlineStr">
        <is>
          <t>ECOLE SUPERIEURE FORMATION AGRICOLE LE PHENIX (ESFAP)</t>
        </is>
      </c>
      <c r="C98" s="25" t="inlineStr">
        <is>
          <t>Abidjan - Cocody</t>
        </is>
      </c>
      <c r="D98" s="25" t="inlineStr">
        <is>
          <t>+225 07 47 04 76 02</t>
        </is>
      </c>
      <c r="E98" s="25" t="inlineStr">
        <is>
          <t>+225 07 47 04 76 02</t>
        </is>
      </c>
      <c r="F98" s="25" t="inlineStr">
        <is>
          <t>infos@esfap-edu.com</t>
        </is>
      </c>
      <c r="G98" s="26" t="inlineStr"/>
      <c r="H98" s="26" t="inlineStr"/>
      <c r="I98" s="26" t="inlineStr">
        <is>
          <t>A contacter</t>
        </is>
      </c>
      <c r="J98" s="27" t="n"/>
      <c r="K98" s="26" t="n"/>
      <c r="L98" s="26" t="n">
        <v>1</v>
      </c>
      <c r="M98" s="26" t="n"/>
      <c r="N98" s="26" t="inlineStr"/>
      <c r="O98" s="28">
        <f>IF(OR($J98="",$K98="",$M98=""),"",($J98+IF(AND($L98&gt;=2,$J98=5000),3000,0))*$K98*$M98)</f>
        <v/>
      </c>
      <c r="P98" s="26" t="inlineStr"/>
    </row>
    <row r="99">
      <c r="A99" s="25" t="n">
        <v>1</v>
      </c>
      <c r="B99" s="25" t="inlineStr">
        <is>
          <t>ECOLE SUPERIEURE GADJI (ESUG)</t>
        </is>
      </c>
      <c r="C99" s="25" t="inlineStr">
        <is>
          <t>Abidjan - Plateau</t>
        </is>
      </c>
      <c r="D99" s="25" t="inlineStr">
        <is>
          <t>+225 27 31 96 43 63</t>
        </is>
      </c>
      <c r="E99" s="25" t="inlineStr">
        <is>
          <t>+225 05 05 74 16 15</t>
        </is>
      </c>
      <c r="F99" s="25" t="inlineStr">
        <is>
          <t>esug2019@gmail.com</t>
        </is>
      </c>
      <c r="G99" s="26" t="inlineStr"/>
      <c r="H99" s="26" t="inlineStr"/>
      <c r="I99" s="26" t="inlineStr">
        <is>
          <t>A contacter</t>
        </is>
      </c>
      <c r="J99" s="27" t="n"/>
      <c r="K99" s="26" t="n"/>
      <c r="L99" s="26" t="n">
        <v>1</v>
      </c>
      <c r="M99" s="26" t="n"/>
      <c r="N99" s="26" t="inlineStr"/>
      <c r="O99" s="28">
        <f>IF(OR($J99="",$K99="",$M99=""),"",($J99+IF(AND($L99&gt;=2,$J99=5000),3000,0))*$K99*$M99)</f>
        <v/>
      </c>
      <c r="P99" s="26" t="inlineStr"/>
    </row>
    <row r="100">
      <c r="A100" s="25" t="n">
        <v>1</v>
      </c>
      <c r="B100" s="25" t="inlineStr">
        <is>
          <t>ECOLE SUPERIEURE GADJI (ESUG) PORT-BOUET</t>
        </is>
      </c>
      <c r="C100" s="25" t="inlineStr">
        <is>
          <t>Abidjan - Port Bouet</t>
        </is>
      </c>
      <c r="D100" s="25" t="inlineStr">
        <is>
          <t>+225 01 01 51 72 58</t>
        </is>
      </c>
      <c r="E100" s="25" t="inlineStr">
        <is>
          <t>+225 01 01 51 72 58</t>
        </is>
      </c>
      <c r="F100" s="25" t="inlineStr">
        <is>
          <t>esugportbouet2024@outlook.com</t>
        </is>
      </c>
      <c r="G100" s="26" t="inlineStr"/>
      <c r="H100" s="26" t="inlineStr"/>
      <c r="I100" s="26" t="inlineStr">
        <is>
          <t>A contacter</t>
        </is>
      </c>
      <c r="J100" s="27" t="n"/>
      <c r="K100" s="26" t="n"/>
      <c r="L100" s="26" t="n">
        <v>1</v>
      </c>
      <c r="M100" s="26" t="n"/>
      <c r="N100" s="26" t="inlineStr"/>
      <c r="O100" s="28">
        <f>IF(OR($J100="",$K100="",$M100=""),"",($J100+IF(AND($L100&gt;=2,$J100=5000),3000,0))*$K100*$M100)</f>
        <v/>
      </c>
      <c r="P100" s="26" t="inlineStr"/>
    </row>
    <row r="101">
      <c r="A101" s="25" t="n">
        <v>1</v>
      </c>
      <c r="B101" s="25" t="inlineStr">
        <is>
          <t>ECOLE SUPERIEURE GADJI (ESUG) YOPOUGON</t>
        </is>
      </c>
      <c r="C101" s="25" t="inlineStr">
        <is>
          <t>Abidjan - Yopougon</t>
        </is>
      </c>
      <c r="D101" s="25" t="inlineStr">
        <is>
          <t>+225 01 01 51 72 58</t>
        </is>
      </c>
      <c r="E101" s="25" t="inlineStr">
        <is>
          <t>+225 01 01 51 72 58</t>
        </is>
      </c>
      <c r="F101" s="25" t="inlineStr">
        <is>
          <t>esug2019@gmail.com</t>
        </is>
      </c>
      <c r="G101" s="26" t="inlineStr"/>
      <c r="H101" s="26" t="inlineStr"/>
      <c r="I101" s="26" t="inlineStr">
        <is>
          <t>A contacter</t>
        </is>
      </c>
      <c r="J101" s="27" t="n"/>
      <c r="K101" s="26" t="n"/>
      <c r="L101" s="26" t="n">
        <v>1</v>
      </c>
      <c r="M101" s="26" t="n"/>
      <c r="N101" s="26" t="inlineStr"/>
      <c r="O101" s="28">
        <f>IF(OR($J101="",$K101="",$M101=""),"",($J101+IF(AND($L101&gt;=2,$J101=5000),3000,0))*$K101*$M101)</f>
        <v/>
      </c>
      <c r="P101" s="26" t="inlineStr"/>
    </row>
    <row r="102">
      <c r="A102" s="25" t="n">
        <v>1</v>
      </c>
      <c r="B102" s="25" t="inlineStr">
        <is>
          <t>ECOLE SUPERIEURE INTERNATIONALE DE GESTION ET DE MANAGEMENT (ESIGEM)</t>
        </is>
      </c>
      <c r="C102" s="25" t="inlineStr">
        <is>
          <t>Abidjan - Plateau</t>
        </is>
      </c>
      <c r="D102" s="25" t="inlineStr"/>
      <c r="E102" s="25" t="inlineStr"/>
      <c r="F102" s="25" t="inlineStr"/>
      <c r="G102" s="26" t="inlineStr"/>
      <c r="H102" s="26" t="inlineStr"/>
      <c r="I102" s="26" t="inlineStr">
        <is>
          <t>A contacter</t>
        </is>
      </c>
      <c r="J102" s="27" t="n"/>
      <c r="K102" s="26" t="n"/>
      <c r="L102" s="26" t="n">
        <v>1</v>
      </c>
      <c r="M102" s="26" t="n"/>
      <c r="N102" s="26" t="inlineStr"/>
      <c r="O102" s="28">
        <f>IF(OR($J102="",$K102="",$M102=""),"",($J102+IF(AND($L102&gt;=2,$J102=5000),3000,0))*$K102*$M102)</f>
        <v/>
      </c>
      <c r="P102" s="26" t="inlineStr"/>
    </row>
    <row r="103">
      <c r="A103" s="25" t="n">
        <v>1</v>
      </c>
      <c r="B103" s="25" t="inlineStr">
        <is>
          <t>ECOLE SUPERIEURE INTERNATIONALE LE ROI SALOMON YOPOUGON (ESIRS)</t>
        </is>
      </c>
      <c r="C103" s="25" t="inlineStr">
        <is>
          <t>Abidjan - Yopougon</t>
        </is>
      </c>
      <c r="D103" s="25" t="inlineStr">
        <is>
          <t>+225 07 79 00 00 00</t>
        </is>
      </c>
      <c r="E103" s="25" t="inlineStr">
        <is>
          <t>+225 07 79 00 00 00</t>
        </is>
      </c>
      <c r="F103" s="25" t="inlineStr">
        <is>
          <t>info@esirs.com</t>
        </is>
      </c>
      <c r="G103" s="26" t="inlineStr"/>
      <c r="H103" s="26" t="inlineStr"/>
      <c r="I103" s="26" t="inlineStr">
        <is>
          <t>A contacter</t>
        </is>
      </c>
      <c r="J103" s="27" t="n"/>
      <c r="K103" s="26" t="n"/>
      <c r="L103" s="26" t="n">
        <v>1</v>
      </c>
      <c r="M103" s="26" t="n"/>
      <c r="N103" s="26" t="inlineStr"/>
      <c r="O103" s="28">
        <f>IF(OR($J103="",$K103="",$M103=""),"",($J103+IF(AND($L103&gt;=2,$J103=5000),3000,0))*$K103*$M103)</f>
        <v/>
      </c>
      <c r="P103" s="26" t="inlineStr"/>
    </row>
    <row r="104">
      <c r="A104" s="25" t="n">
        <v>1</v>
      </c>
      <c r="B104" s="25" t="inlineStr">
        <is>
          <t>ECOLE SUPERIEURE INTERNATIONALE POLYTECHNIQUE ADAMA SANOGO (ESIAS)</t>
        </is>
      </c>
      <c r="C104" s="25" t="inlineStr">
        <is>
          <t>Abidjan - Abobo</t>
        </is>
      </c>
      <c r="D104" s="25" t="inlineStr">
        <is>
          <t>+225 07 47 00 00 49</t>
        </is>
      </c>
      <c r="E104" s="25" t="inlineStr">
        <is>
          <t>+225 07 47 00 00 49</t>
        </is>
      </c>
      <c r="F104" s="25" t="inlineStr">
        <is>
          <t>tchomba@hotmail.fr</t>
        </is>
      </c>
      <c r="G104" s="26" t="inlineStr"/>
      <c r="H104" s="26" t="inlineStr"/>
      <c r="I104" s="26" t="inlineStr">
        <is>
          <t>A contacter</t>
        </is>
      </c>
      <c r="J104" s="27" t="n"/>
      <c r="K104" s="26" t="n"/>
      <c r="L104" s="26" t="n">
        <v>1</v>
      </c>
      <c r="M104" s="26" t="n"/>
      <c r="N104" s="26" t="inlineStr"/>
      <c r="O104" s="28">
        <f>IF(OR($J104="",$K104="",$M104=""),"",($J104+IF(AND($L104&gt;=2,$J104=5000),3000,0))*$K104*$M104)</f>
        <v/>
      </c>
      <c r="P104" s="26" t="inlineStr"/>
    </row>
    <row r="105">
      <c r="A105" s="25" t="n">
        <v>1</v>
      </c>
      <c r="B105" s="25" t="inlineStr">
        <is>
          <t>ECOLE SUPERIEURE KINDALL (ESK)</t>
        </is>
      </c>
      <c r="C105" s="25" t="inlineStr">
        <is>
          <t>Abidjan - Anyama</t>
        </is>
      </c>
      <c r="D105" s="25" t="inlineStr">
        <is>
          <t>+225 07 09 56 50 09</t>
        </is>
      </c>
      <c r="E105" s="25" t="inlineStr">
        <is>
          <t>+225 07 09 56 50 09</t>
        </is>
      </c>
      <c r="F105" s="25" t="inlineStr"/>
      <c r="G105" s="26" t="inlineStr"/>
      <c r="H105" s="26" t="inlineStr"/>
      <c r="I105" s="26" t="inlineStr">
        <is>
          <t>A contacter</t>
        </is>
      </c>
      <c r="J105" s="27" t="n"/>
      <c r="K105" s="26" t="n"/>
      <c r="L105" s="26" t="n">
        <v>1</v>
      </c>
      <c r="M105" s="26" t="n"/>
      <c r="N105" s="26" t="inlineStr"/>
      <c r="O105" s="28">
        <f>IF(OR($J105="",$K105="",$M105=""),"",($J105+IF(AND($L105&gt;=2,$J105=5000),3000,0))*$K105*$M105)</f>
        <v/>
      </c>
      <c r="P105" s="26" t="inlineStr"/>
    </row>
    <row r="106">
      <c r="A106" s="25" t="n">
        <v>1</v>
      </c>
      <c r="B106" s="25" t="inlineStr">
        <is>
          <t>ECOLE SUPERIEURE LA BONNE ESPERANCE (ESBE)</t>
        </is>
      </c>
      <c r="C106" s="25" t="inlineStr">
        <is>
          <t>Abidjan - Cocody</t>
        </is>
      </c>
      <c r="D106" s="25" t="inlineStr">
        <is>
          <t>+225 07 47 47 79 26</t>
        </is>
      </c>
      <c r="E106" s="25" t="inlineStr">
        <is>
          <t>+225 07 47 47 79 26</t>
        </is>
      </c>
      <c r="F106" s="25" t="inlineStr">
        <is>
          <t>princeabidjanecole@gmail.com</t>
        </is>
      </c>
      <c r="G106" s="26" t="inlineStr"/>
      <c r="H106" s="26" t="inlineStr"/>
      <c r="I106" s="26" t="inlineStr">
        <is>
          <t>A contacter</t>
        </is>
      </c>
      <c r="J106" s="27" t="n"/>
      <c r="K106" s="26" t="n"/>
      <c r="L106" s="26" t="n">
        <v>1</v>
      </c>
      <c r="M106" s="26" t="n"/>
      <c r="N106" s="26" t="inlineStr"/>
      <c r="O106" s="28">
        <f>IF(OR($J106="",$K106="",$M106=""),"",($J106+IF(AND($L106&gt;=2,$J106=5000),3000,0))*$K106*$M106)</f>
        <v/>
      </c>
      <c r="P106" s="26" t="inlineStr"/>
    </row>
    <row r="107">
      <c r="A107" s="25" t="n">
        <v>1</v>
      </c>
      <c r="B107" s="25" t="inlineStr">
        <is>
          <t>ECOLE SUPERIEURE LE PETIT CHAMPION (ESPC)</t>
        </is>
      </c>
      <c r="C107" s="25" t="inlineStr">
        <is>
          <t>Abidjan - Abobo</t>
        </is>
      </c>
      <c r="D107" s="25" t="inlineStr">
        <is>
          <t>+225 07 07 04 73 11</t>
        </is>
      </c>
      <c r="E107" s="25" t="inlineStr">
        <is>
          <t>+225 07 07 04 73 11</t>
        </is>
      </c>
      <c r="F107" s="25" t="inlineStr">
        <is>
          <t>ecolesup.lepetitchampion@gmail.com</t>
        </is>
      </c>
      <c r="G107" s="26" t="inlineStr"/>
      <c r="H107" s="26" t="inlineStr"/>
      <c r="I107" s="26" t="inlineStr">
        <is>
          <t>A contacter</t>
        </is>
      </c>
      <c r="J107" s="27" t="n"/>
      <c r="K107" s="26" t="n"/>
      <c r="L107" s="26" t="n">
        <v>1</v>
      </c>
      <c r="M107" s="26" t="n"/>
      <c r="N107" s="26" t="inlineStr"/>
      <c r="O107" s="28">
        <f>IF(OR($J107="",$K107="",$M107=""),"",($J107+IF(AND($L107&gt;=2,$J107=5000),3000,0))*$K107*$M107)</f>
        <v/>
      </c>
      <c r="P107" s="26" t="inlineStr"/>
    </row>
    <row r="108">
      <c r="A108" s="25" t="n">
        <v>1</v>
      </c>
      <c r="B108" s="25" t="inlineStr">
        <is>
          <t>ECOLE SUPERIEURE POLYTECHNIQUE (ESP)</t>
        </is>
      </c>
      <c r="C108" s="25" t="inlineStr">
        <is>
          <t>Abidjan - Cocody</t>
        </is>
      </c>
      <c r="D108" s="25" t="inlineStr">
        <is>
          <t>+225 01 01 80 10 57</t>
        </is>
      </c>
      <c r="E108" s="25" t="inlineStr">
        <is>
          <t>+225 01 01 80 10 57</t>
        </is>
      </c>
      <c r="F108" s="25" t="inlineStr"/>
      <c r="G108" s="26" t="inlineStr"/>
      <c r="H108" s="26" t="inlineStr"/>
      <c r="I108" s="26" t="inlineStr">
        <is>
          <t>A contacter</t>
        </is>
      </c>
      <c r="J108" s="27" t="n"/>
      <c r="K108" s="26" t="n"/>
      <c r="L108" s="26" t="n">
        <v>1</v>
      </c>
      <c r="M108" s="26" t="n"/>
      <c r="N108" s="26" t="inlineStr"/>
      <c r="O108" s="28">
        <f>IF(OR($J108="",$K108="",$M108=""),"",($J108+IF(AND($L108&gt;=2,$J108=5000),3000,0))*$K108*$M108)</f>
        <v/>
      </c>
      <c r="P108" s="26" t="inlineStr"/>
    </row>
    <row r="109">
      <c r="A109" s="25" t="n">
        <v>1</v>
      </c>
      <c r="B109" s="25" t="inlineStr">
        <is>
          <t>ECOLE SUPERIEURE POLYTECHNIQUE MINCH (ESPM)</t>
        </is>
      </c>
      <c r="C109" s="25" t="inlineStr">
        <is>
          <t>Abidjan - Treichville</t>
        </is>
      </c>
      <c r="D109" s="25" t="inlineStr">
        <is>
          <t>+225 07 10 00 64 00</t>
        </is>
      </c>
      <c r="E109" s="25" t="inlineStr">
        <is>
          <t>+225 07 10 00 64 00</t>
        </is>
      </c>
      <c r="F109" s="25" t="inlineStr">
        <is>
          <t>esp1minch@gmail.com</t>
        </is>
      </c>
      <c r="G109" s="26" t="inlineStr"/>
      <c r="H109" s="26" t="inlineStr"/>
      <c r="I109" s="26" t="inlineStr">
        <is>
          <t>A contacter</t>
        </is>
      </c>
      <c r="J109" s="27" t="n"/>
      <c r="K109" s="26" t="n"/>
      <c r="L109" s="26" t="n">
        <v>1</v>
      </c>
      <c r="M109" s="26" t="n"/>
      <c r="N109" s="26" t="inlineStr"/>
      <c r="O109" s="28">
        <f>IF(OR($J109="",$K109="",$M109=""),"",($J109+IF(AND($L109&gt;=2,$J109=5000),3000,0))*$K109*$M109)</f>
        <v/>
      </c>
      <c r="P109" s="26" t="inlineStr"/>
    </row>
    <row r="110">
      <c r="A110" s="25" t="n">
        <v>1</v>
      </c>
      <c r="B110" s="25" t="inlineStr">
        <is>
          <t>ECOLE SUPERIEURE SAINT JEAN-MARIE VIANNEY (E2S-JMV)</t>
        </is>
      </c>
      <c r="C110" s="25" t="inlineStr">
        <is>
          <t>Abidjan - Yopougon</t>
        </is>
      </c>
      <c r="D110" s="25" t="inlineStr">
        <is>
          <t>+225 01 02 45 12 12</t>
        </is>
      </c>
      <c r="E110" s="25" t="inlineStr">
        <is>
          <t>+225 01 02 45 12 12</t>
        </is>
      </c>
      <c r="F110" s="25" t="inlineStr"/>
      <c r="G110" s="26" t="inlineStr"/>
      <c r="H110" s="26" t="inlineStr"/>
      <c r="I110" s="26" t="inlineStr">
        <is>
          <t>A contacter</t>
        </is>
      </c>
      <c r="J110" s="27" t="n"/>
      <c r="K110" s="26" t="n"/>
      <c r="L110" s="26" t="n">
        <v>1</v>
      </c>
      <c r="M110" s="26" t="n"/>
      <c r="N110" s="26" t="inlineStr"/>
      <c r="O110" s="28">
        <f>IF(OR($J110="",$K110="",$M110=""),"",($J110+IF(AND($L110&gt;=2,$J110=5000),3000,0))*$K110*$M110)</f>
        <v/>
      </c>
      <c r="P110" s="26" t="inlineStr"/>
    </row>
    <row r="111">
      <c r="A111" s="25" t="n">
        <v>1</v>
      </c>
      <c r="B111" s="25" t="inlineStr">
        <is>
          <t>ECOLE SUPERIEURE SKT (E2SKT)</t>
        </is>
      </c>
      <c r="C111" s="25" t="inlineStr">
        <is>
          <t>Abidjan - Yopougon</t>
        </is>
      </c>
      <c r="D111" s="25" t="inlineStr">
        <is>
          <t>+225 07 08 12 05 14</t>
        </is>
      </c>
      <c r="E111" s="25" t="inlineStr">
        <is>
          <t>+225 07 08 12 05 14</t>
        </is>
      </c>
      <c r="F111" s="25" t="inlineStr">
        <is>
          <t>ecolesuperieureskt@gmail.com</t>
        </is>
      </c>
      <c r="G111" s="26" t="inlineStr"/>
      <c r="H111" s="26" t="inlineStr"/>
      <c r="I111" s="26" t="inlineStr">
        <is>
          <t>A contacter</t>
        </is>
      </c>
      <c r="J111" s="27" t="n"/>
      <c r="K111" s="26" t="n"/>
      <c r="L111" s="26" t="n">
        <v>1</v>
      </c>
      <c r="M111" s="26" t="n"/>
      <c r="N111" s="26" t="inlineStr"/>
      <c r="O111" s="28">
        <f>IF(OR($J111="",$K111="",$M111=""),"",($J111+IF(AND($L111&gt;=2,$J111=5000),3000,0))*$K111*$M111)</f>
        <v/>
      </c>
      <c r="P111" s="26" t="inlineStr"/>
    </row>
    <row r="112">
      <c r="A112" s="25" t="n">
        <v>1</v>
      </c>
      <c r="B112" s="25" t="inlineStr">
        <is>
          <t>ECOLE SUPERIEURE TECHNIQUE ET PROFESSIONNELLE LE JOURDAIN (ESTP  LE JOURDAIN)</t>
        </is>
      </c>
      <c r="C112" s="25" t="inlineStr">
        <is>
          <t>Abidjan - Cocody</t>
        </is>
      </c>
      <c r="D112" s="25" t="inlineStr">
        <is>
          <t>+225 07 78 70 51 37</t>
        </is>
      </c>
      <c r="E112" s="25" t="inlineStr">
        <is>
          <t>+225 07 78 70 51 37</t>
        </is>
      </c>
      <c r="F112" s="25" t="inlineStr">
        <is>
          <t>vleiepousevanhovenirenelydie@gmail.com</t>
        </is>
      </c>
      <c r="G112" s="26" t="inlineStr"/>
      <c r="H112" s="26" t="inlineStr"/>
      <c r="I112" s="26" t="inlineStr">
        <is>
          <t>A contacter</t>
        </is>
      </c>
      <c r="J112" s="27" t="n"/>
      <c r="K112" s="26" t="n"/>
      <c r="L112" s="26" t="n">
        <v>1</v>
      </c>
      <c r="M112" s="26" t="n"/>
      <c r="N112" s="26" t="inlineStr"/>
      <c r="O112" s="28">
        <f>IF(OR($J112="",$K112="",$M112=""),"",($J112+IF(AND($L112&gt;=2,$J112=5000),3000,0))*$K112*$M112)</f>
        <v/>
      </c>
      <c r="P112" s="26" t="inlineStr"/>
    </row>
    <row r="113">
      <c r="A113" s="25" t="n">
        <v>1</v>
      </c>
      <c r="B113" s="25" t="inlineStr">
        <is>
          <t>ECOLE SUPERIEURE WONTO (ESW)</t>
        </is>
      </c>
      <c r="C113" s="25" t="inlineStr">
        <is>
          <t>Abidjan - Cocody</t>
        </is>
      </c>
      <c r="D113" s="25" t="inlineStr">
        <is>
          <t>+225 05 05 90 17 21</t>
        </is>
      </c>
      <c r="E113" s="25" t="inlineStr">
        <is>
          <t>+225 05 05 90 17 21</t>
        </is>
      </c>
      <c r="F113" s="25" t="inlineStr">
        <is>
          <t>ecolesuperieurewontoesw@gmail.com</t>
        </is>
      </c>
      <c r="G113" s="26" t="inlineStr"/>
      <c r="H113" s="26" t="inlineStr"/>
      <c r="I113" s="26" t="inlineStr">
        <is>
          <t>A contacter</t>
        </is>
      </c>
      <c r="J113" s="27" t="n"/>
      <c r="K113" s="26" t="n"/>
      <c r="L113" s="26" t="n">
        <v>1</v>
      </c>
      <c r="M113" s="26" t="n"/>
      <c r="N113" s="26" t="inlineStr"/>
      <c r="O113" s="28">
        <f>IF(OR($J113="",$K113="",$M113=""),"",($J113+IF(AND($L113&gt;=2,$J113=5000),3000,0))*$K113*$M113)</f>
        <v/>
      </c>
      <c r="P113" s="26" t="inlineStr"/>
    </row>
    <row r="114">
      <c r="A114" s="25" t="n">
        <v>1</v>
      </c>
      <c r="B114" s="25" t="inlineStr">
        <is>
          <t>ECOLE SUPERIEURE YAMOUSSO MACAU (ESYM)</t>
        </is>
      </c>
      <c r="C114" s="25" t="inlineStr">
        <is>
          <t>Abidjan - Cocody</t>
        </is>
      </c>
      <c r="D114" s="25" t="inlineStr">
        <is>
          <t>+225 27 22 59 17 19</t>
        </is>
      </c>
      <c r="E114" s="25" t="inlineStr">
        <is>
          <t>+225 07 87 63 81 05</t>
        </is>
      </c>
      <c r="F114" s="25" t="inlineStr">
        <is>
          <t>esym.abidjan@gmail.com</t>
        </is>
      </c>
      <c r="G114" s="26" t="inlineStr"/>
      <c r="H114" s="26" t="inlineStr"/>
      <c r="I114" s="26" t="inlineStr">
        <is>
          <t>A contacter</t>
        </is>
      </c>
      <c r="J114" s="27" t="n"/>
      <c r="K114" s="26" t="n"/>
      <c r="L114" s="26" t="n">
        <v>1</v>
      </c>
      <c r="M114" s="26" t="n"/>
      <c r="N114" s="26" t="inlineStr"/>
      <c r="O114" s="28">
        <f>IF(OR($J114="",$K114="",$M114=""),"",($J114+IF(AND($L114&gt;=2,$J114=5000),3000,0))*$K114*$M114)</f>
        <v/>
      </c>
      <c r="P114" s="26" t="inlineStr"/>
    </row>
    <row r="115">
      <c r="A115" s="25" t="n">
        <v>1</v>
      </c>
      <c r="B115" s="25" t="inlineStr">
        <is>
          <t>ECOLE SUPERIEURE YOBOUE KOUASSI BLE (ESYKB)</t>
        </is>
      </c>
      <c r="C115" s="25" t="inlineStr">
        <is>
          <t>Abidjan - Yopougon</t>
        </is>
      </c>
      <c r="D115" s="25" t="inlineStr">
        <is>
          <t>+225 01 01 60 29 69</t>
        </is>
      </c>
      <c r="E115" s="25" t="inlineStr">
        <is>
          <t>+225 01 01 60 29 69</t>
        </is>
      </c>
      <c r="F115" s="25" t="inlineStr">
        <is>
          <t>ecoleykb@gmail.com</t>
        </is>
      </c>
      <c r="G115" s="26" t="inlineStr"/>
      <c r="H115" s="26" t="inlineStr"/>
      <c r="I115" s="26" t="inlineStr">
        <is>
          <t>A contacter</t>
        </is>
      </c>
      <c r="J115" s="27" t="n"/>
      <c r="K115" s="26" t="n"/>
      <c r="L115" s="26" t="n">
        <v>1</v>
      </c>
      <c r="M115" s="26" t="n"/>
      <c r="N115" s="26" t="inlineStr"/>
      <c r="O115" s="28">
        <f>IF(OR($J115="",$K115="",$M115=""),"",($J115+IF(AND($L115&gt;=2,$J115=5000),3000,0))*$K115*$M115)</f>
        <v/>
      </c>
      <c r="P115" s="26" t="inlineStr"/>
    </row>
    <row r="116">
      <c r="A116" s="25" t="n">
        <v>1</v>
      </c>
      <c r="B116" s="25" t="inlineStr">
        <is>
          <t>ECOLE SUPÉRIEUR DE MARKETING, DE L'INFORMATION ET DE TECHNOLOGIE (ESMIT)</t>
        </is>
      </c>
      <c r="C116" s="25" t="inlineStr">
        <is>
          <t>Abidjan - Yopougon</t>
        </is>
      </c>
      <c r="D116" s="25" t="inlineStr">
        <is>
          <t>+225 27 23 00 27 73</t>
        </is>
      </c>
      <c r="E116" s="25" t="inlineStr"/>
      <c r="F116" s="25" t="inlineStr"/>
      <c r="G116" s="26" t="inlineStr"/>
      <c r="H116" s="26" t="inlineStr"/>
      <c r="I116" s="26" t="inlineStr">
        <is>
          <t>A contacter</t>
        </is>
      </c>
      <c r="J116" s="27" t="n"/>
      <c r="K116" s="26" t="n"/>
      <c r="L116" s="26" t="n">
        <v>1</v>
      </c>
      <c r="M116" s="26" t="n"/>
      <c r="N116" s="26" t="inlineStr"/>
      <c r="O116" s="28">
        <f>IF(OR($J116="",$K116="",$M116=""),"",($J116+IF(AND($L116&gt;=2,$J116=5000),3000,0))*$K116*$M116)</f>
        <v/>
      </c>
      <c r="P116" s="26" t="inlineStr"/>
    </row>
    <row r="117">
      <c r="A117" s="25" t="n">
        <v>1</v>
      </c>
      <c r="B117" s="25" t="inlineStr">
        <is>
          <t>Ecole Supérieure de Management La Perruche (ESM LA PERRUCHE)</t>
        </is>
      </c>
      <c r="C117" s="25" t="inlineStr">
        <is>
          <t>Abidjan - Anyama</t>
        </is>
      </c>
      <c r="D117" s="25" t="inlineStr"/>
      <c r="E117" s="25" t="inlineStr"/>
      <c r="F117" s="25" t="inlineStr"/>
      <c r="G117" s="26" t="inlineStr"/>
      <c r="H117" s="26" t="inlineStr"/>
      <c r="I117" s="26" t="inlineStr">
        <is>
          <t>A contacter</t>
        </is>
      </c>
      <c r="J117" s="27" t="n"/>
      <c r="K117" s="26" t="n"/>
      <c r="L117" s="26" t="n">
        <v>1</v>
      </c>
      <c r="M117" s="26" t="n"/>
      <c r="N117" s="26" t="inlineStr"/>
      <c r="O117" s="28">
        <f>IF(OR($J117="",$K117="",$M117=""),"",($J117+IF(AND($L117&gt;=2,$J117=5000),3000,0))*$K117*$M117)</f>
        <v/>
      </c>
      <c r="P117" s="26" t="inlineStr"/>
    </row>
    <row r="118">
      <c r="A118" s="25" t="n">
        <v>1</v>
      </c>
      <c r="B118" s="25" t="inlineStr">
        <is>
          <t>ECOLE SUPÉRIEURE DE TECHNOLOGIE (EST-LOKO)</t>
        </is>
      </c>
      <c r="C118" s="25" t="inlineStr">
        <is>
          <t>Abidjan - Marcory</t>
        </is>
      </c>
      <c r="D118" s="25" t="inlineStr">
        <is>
          <t>+225 07 88 12 27 06</t>
        </is>
      </c>
      <c r="E118" s="25" t="inlineStr">
        <is>
          <t>+225 07 88 12 27 06</t>
        </is>
      </c>
      <c r="F118" s="25" t="inlineStr">
        <is>
          <t>infos@groupeloko.com</t>
        </is>
      </c>
      <c r="G118" s="26" t="inlineStr"/>
      <c r="H118" s="26" t="inlineStr"/>
      <c r="I118" s="26" t="inlineStr">
        <is>
          <t>A contacter</t>
        </is>
      </c>
      <c r="J118" s="27" t="n"/>
      <c r="K118" s="26" t="n"/>
      <c r="L118" s="26" t="n">
        <v>1</v>
      </c>
      <c r="M118" s="26" t="n"/>
      <c r="N118" s="26" t="inlineStr"/>
      <c r="O118" s="28">
        <f>IF(OR($J118="",$K118="",$M118=""),"",($J118+IF(AND($L118&gt;=2,$J118=5000),3000,0))*$K118*$M118)</f>
        <v/>
      </c>
      <c r="P118" s="26" t="inlineStr"/>
    </row>
    <row r="119">
      <c r="A119" s="25" t="n">
        <v>1</v>
      </c>
      <c r="B119" s="25" t="inlineStr">
        <is>
          <t>Ecole Supérieure d’Interprétariat et de Traduction</t>
        </is>
      </c>
      <c r="C119" s="25" t="inlineStr">
        <is>
          <t>Abidjan - Cocody</t>
        </is>
      </c>
      <c r="D119" s="25" t="inlineStr"/>
      <c r="E119" s="25" t="inlineStr"/>
      <c r="F119" s="25" t="inlineStr"/>
      <c r="G119" s="26" t="inlineStr"/>
      <c r="H119" s="26" t="inlineStr"/>
      <c r="I119" s="26" t="inlineStr">
        <is>
          <t>A contacter</t>
        </is>
      </c>
      <c r="J119" s="27" t="n"/>
      <c r="K119" s="26" t="n"/>
      <c r="L119" s="26" t="n">
        <v>1</v>
      </c>
      <c r="M119" s="26" t="n"/>
      <c r="N119" s="26" t="inlineStr"/>
      <c r="O119" s="28">
        <f>IF(OR($J119="",$K119="",$M119=""),"",($J119+IF(AND($L119&gt;=2,$J119=5000),3000,0))*$K119*$M119)</f>
        <v/>
      </c>
      <c r="P119" s="26" t="inlineStr"/>
    </row>
    <row r="120">
      <c r="A120" s="25" t="n">
        <v>1</v>
      </c>
      <c r="B120" s="25" t="inlineStr">
        <is>
          <t>ECOLE SUPÉRIEURE TERTIAIRE ET DE TECHNOLOGIE APPLIQUÉE (ESTTA) - GROUPE LOKO</t>
        </is>
      </c>
      <c r="C120" s="25" t="inlineStr">
        <is>
          <t>Abidjan - Plateau</t>
        </is>
      </c>
      <c r="D120" s="25" t="inlineStr">
        <is>
          <t>+225 01 60 99 50 81</t>
        </is>
      </c>
      <c r="E120" s="25" t="inlineStr">
        <is>
          <t>+225 01 60 99 50 81</t>
        </is>
      </c>
      <c r="F120" s="25" t="inlineStr">
        <is>
          <t>estta2@groupeloko.com</t>
        </is>
      </c>
      <c r="G120" s="26" t="inlineStr"/>
      <c r="H120" s="26" t="inlineStr"/>
      <c r="I120" s="26" t="inlineStr">
        <is>
          <t>A contacter</t>
        </is>
      </c>
      <c r="J120" s="27" t="n"/>
      <c r="K120" s="26" t="n"/>
      <c r="L120" s="26" t="n">
        <v>1</v>
      </c>
      <c r="M120" s="26" t="n"/>
      <c r="N120" s="26" t="inlineStr"/>
      <c r="O120" s="28">
        <f>IF(OR($J120="",$K120="",$M120=""),"",($J120+IF(AND($L120&gt;=2,$J120=5000),3000,0))*$K120*$M120)</f>
        <v/>
      </c>
      <c r="P120" s="26" t="inlineStr"/>
    </row>
    <row r="121">
      <c r="A121" s="25" t="n">
        <v>1</v>
      </c>
      <c r="B121" s="25" t="inlineStr">
        <is>
          <t>ECOLE TECHNIQUE D'ENSEIGNEMENT PROFESSIONNEL PLATEAU (ETEP PLATEAU)</t>
        </is>
      </c>
      <c r="C121" s="25" t="inlineStr">
        <is>
          <t>Abidjan - Plateau</t>
        </is>
      </c>
      <c r="D121" s="25" t="inlineStr">
        <is>
          <t>+225 01 01 83 21 18</t>
        </is>
      </c>
      <c r="E121" s="25" t="inlineStr">
        <is>
          <t>+225 01 01 83 21 18</t>
        </is>
      </c>
      <c r="F121" s="25" t="inlineStr">
        <is>
          <t>etep01plateau@gmail.com</t>
        </is>
      </c>
      <c r="G121" s="26" t="inlineStr"/>
      <c r="H121" s="26" t="inlineStr"/>
      <c r="I121" s="26" t="inlineStr">
        <is>
          <t>A contacter</t>
        </is>
      </c>
      <c r="J121" s="27" t="n"/>
      <c r="K121" s="26" t="n"/>
      <c r="L121" s="26" t="n">
        <v>1</v>
      </c>
      <c r="M121" s="26" t="n"/>
      <c r="N121" s="26" t="inlineStr"/>
      <c r="O121" s="28">
        <f>IF(OR($J121="",$K121="",$M121=""),"",($J121+IF(AND($L121&gt;=2,$J121=5000),3000,0))*$K121*$M121)</f>
        <v/>
      </c>
      <c r="P121" s="26" t="inlineStr"/>
    </row>
    <row r="122">
      <c r="A122" s="25" t="n">
        <v>1</v>
      </c>
      <c r="B122" s="25" t="inlineStr">
        <is>
          <t>ECOLE TECHNIQUE INFORMATIQUE ET COMMERCIALE ABOBO (ETIC ABOBO)</t>
        </is>
      </c>
      <c r="C122" s="25" t="inlineStr">
        <is>
          <t>Abidjan - Abobo</t>
        </is>
      </c>
      <c r="D122" s="25" t="inlineStr">
        <is>
          <t>+225 27 22 41 54 06</t>
        </is>
      </c>
      <c r="E122" s="25" t="inlineStr">
        <is>
          <t>+225 05 05 79 02 20</t>
        </is>
      </c>
      <c r="F122" s="25" t="inlineStr"/>
      <c r="G122" s="26" t="inlineStr"/>
      <c r="H122" s="26" t="inlineStr"/>
      <c r="I122" s="26" t="inlineStr">
        <is>
          <t>A contacter</t>
        </is>
      </c>
      <c r="J122" s="27" t="n"/>
      <c r="K122" s="26" t="n"/>
      <c r="L122" s="26" t="n">
        <v>1</v>
      </c>
      <c r="M122" s="26" t="n"/>
      <c r="N122" s="26" t="inlineStr"/>
      <c r="O122" s="28">
        <f>IF(OR($J122="",$K122="",$M122=""),"",($J122+IF(AND($L122&gt;=2,$J122=5000),3000,0))*$K122*$M122)</f>
        <v/>
      </c>
      <c r="P122" s="26" t="inlineStr"/>
    </row>
    <row r="123">
      <c r="A123" s="25" t="n">
        <v>1</v>
      </c>
      <c r="B123" s="25" t="inlineStr">
        <is>
          <t>ECOLE TECHNIQUE INFORMATIQUE ET COMMERCIALE COCODY (ETIC COCODY)</t>
        </is>
      </c>
      <c r="C123" s="25" t="inlineStr">
        <is>
          <t>Abidjan - Cocody</t>
        </is>
      </c>
      <c r="D123" s="25" t="inlineStr">
        <is>
          <t>+225 27 22 41 54 06</t>
        </is>
      </c>
      <c r="E123" s="25" t="inlineStr"/>
      <c r="F123" s="25" t="inlineStr">
        <is>
          <t>etic.ecole@yahoo.com</t>
        </is>
      </c>
      <c r="G123" s="26" t="inlineStr"/>
      <c r="H123" s="26" t="inlineStr"/>
      <c r="I123" s="26" t="inlineStr">
        <is>
          <t>A contacter</t>
        </is>
      </c>
      <c r="J123" s="27" t="n"/>
      <c r="K123" s="26" t="n"/>
      <c r="L123" s="26" t="n">
        <v>1</v>
      </c>
      <c r="M123" s="26" t="n"/>
      <c r="N123" s="26" t="inlineStr"/>
      <c r="O123" s="28">
        <f>IF(OR($J123="",$K123="",$M123=""),"",($J123+IF(AND($L123&gt;=2,$J123=5000),3000,0))*$K123*$M123)</f>
        <v/>
      </c>
      <c r="P123" s="26" t="inlineStr"/>
    </row>
    <row r="124">
      <c r="A124" s="25" t="n">
        <v>1</v>
      </c>
      <c r="B124" s="25" t="inlineStr">
        <is>
          <t>ECOLE TECHNIQUE INFORMATIQUE ET COMMERCIALE MARCORY (ETIC MARCORY) (Groupe ETIC (ETIC MARCORY))</t>
        </is>
      </c>
      <c r="C124" s="25" t="inlineStr">
        <is>
          <t>Abidjan - Marcory</t>
        </is>
      </c>
      <c r="D124" s="25" t="inlineStr">
        <is>
          <t>+225 27 21 56 60 82</t>
        </is>
      </c>
      <c r="E124" s="25" t="inlineStr">
        <is>
          <t>+225 01 01 39 52 82</t>
        </is>
      </c>
      <c r="F124" s="25" t="inlineStr">
        <is>
          <t>eticmarcory@gmail.com</t>
        </is>
      </c>
      <c r="G124" s="26" t="inlineStr"/>
      <c r="H124" s="26" t="inlineStr"/>
      <c r="I124" s="26" t="inlineStr">
        <is>
          <t>A contacter</t>
        </is>
      </c>
      <c r="J124" s="27" t="n"/>
      <c r="K124" s="26" t="n"/>
      <c r="L124" s="26" t="n">
        <v>1</v>
      </c>
      <c r="M124" s="26" t="n"/>
      <c r="N124" s="26" t="inlineStr"/>
      <c r="O124" s="28">
        <f>IF(OR($J124="",$K124="",$M124=""),"",($J124+IF(AND($L124&gt;=2,$J124=5000),3000,0))*$K124*$M124)</f>
        <v/>
      </c>
      <c r="P124" s="26" t="inlineStr"/>
    </row>
    <row r="125">
      <c r="A125" s="25" t="n">
        <v>1</v>
      </c>
      <c r="B125" s="25" t="inlineStr">
        <is>
          <t>ECOLE TECHNIQUE INFORMATIQUE ET COMMERCIALE YOPOUGON (ETIC YOPOUGON) (GROUPE ETIC (ETIC YOPOUGON))</t>
        </is>
      </c>
      <c r="C125" s="25" t="inlineStr">
        <is>
          <t>Abidjan - Yopougon</t>
        </is>
      </c>
      <c r="D125" s="25" t="inlineStr">
        <is>
          <t>+225 27 22 45 40 60</t>
        </is>
      </c>
      <c r="E125" s="25" t="inlineStr"/>
      <c r="F125" s="25" t="inlineStr">
        <is>
          <t>eticyopougon@gmail.com</t>
        </is>
      </c>
      <c r="G125" s="26" t="inlineStr"/>
      <c r="H125" s="26" t="inlineStr"/>
      <c r="I125" s="26" t="inlineStr">
        <is>
          <t>A contacter</t>
        </is>
      </c>
      <c r="J125" s="27" t="n"/>
      <c r="K125" s="26" t="n"/>
      <c r="L125" s="26" t="n">
        <v>1</v>
      </c>
      <c r="M125" s="26" t="n"/>
      <c r="N125" s="26" t="inlineStr"/>
      <c r="O125" s="28">
        <f>IF(OR($J125="",$K125="",$M125=""),"",($J125+IF(AND($L125&gt;=2,$J125=5000),3000,0))*$K125*$M125)</f>
        <v/>
      </c>
      <c r="P125" s="26" t="inlineStr"/>
    </row>
    <row r="126">
      <c r="A126" s="25" t="n">
        <v>1</v>
      </c>
      <c r="B126" s="25" t="inlineStr">
        <is>
          <t>ECOLE TECHNIQUE SUPERIEURE SAGUIDIBA YOPOUGON (ESTA YOPOUGON) (ETSA)</t>
        </is>
      </c>
      <c r="C126" s="25" t="inlineStr">
        <is>
          <t>Abidjan - Yopougon</t>
        </is>
      </c>
      <c r="D126" s="25" t="inlineStr">
        <is>
          <t>+225 07 07 69 09 46</t>
        </is>
      </c>
      <c r="E126" s="25" t="inlineStr">
        <is>
          <t>+225 07 07 69 09 46</t>
        </is>
      </c>
      <c r="F126" s="25" t="inlineStr">
        <is>
          <t>ecolesupsaguidiba@gmail.com</t>
        </is>
      </c>
      <c r="G126" s="26" t="inlineStr"/>
      <c r="H126" s="26" t="inlineStr"/>
      <c r="I126" s="26" t="inlineStr">
        <is>
          <t>A contacter</t>
        </is>
      </c>
      <c r="J126" s="27" t="n"/>
      <c r="K126" s="26" t="n"/>
      <c r="L126" s="26" t="n">
        <v>1</v>
      </c>
      <c r="M126" s="26" t="n"/>
      <c r="N126" s="26" t="inlineStr"/>
      <c r="O126" s="28">
        <f>IF(OR($J126="",$K126="",$M126=""),"",($J126+IF(AND($L126&gt;=2,$J126=5000),3000,0))*$K126*$M126)</f>
        <v/>
      </c>
      <c r="P126" s="26" t="inlineStr"/>
    </row>
    <row r="127">
      <c r="A127" s="25" t="n">
        <v>1</v>
      </c>
      <c r="B127" s="25" t="inlineStr">
        <is>
          <t>EFAC (ECOLE DE FORMATION D’ASSISTANCE ET DE CONSEIL)</t>
        </is>
      </c>
      <c r="C127" s="25" t="inlineStr">
        <is>
          <t>Abidjan - Riviera</t>
        </is>
      </c>
      <c r="D127" s="25" t="inlineStr">
        <is>
          <t>+225 27 22 43 30 82</t>
        </is>
      </c>
      <c r="E127" s="25" t="inlineStr">
        <is>
          <t>+225 01 03 02 04 84</t>
        </is>
      </c>
      <c r="F127" s="25" t="inlineStr">
        <is>
          <t>efacabidjan@gmail.com</t>
        </is>
      </c>
      <c r="G127" s="26" t="inlineStr"/>
      <c r="H127" s="26" t="inlineStr"/>
      <c r="I127" s="26" t="inlineStr">
        <is>
          <t>A contacter</t>
        </is>
      </c>
      <c r="J127" s="27" t="n"/>
      <c r="K127" s="26" t="n"/>
      <c r="L127" s="26" t="n">
        <v>1</v>
      </c>
      <c r="M127" s="26" t="n"/>
      <c r="N127" s="26" t="inlineStr"/>
      <c r="O127" s="28">
        <f>IF(OR($J127="",$K127="",$M127=""),"",($J127+IF(AND($L127&gt;=2,$J127=5000),3000,0))*$K127*$M127)</f>
        <v/>
      </c>
      <c r="P127" s="26" t="inlineStr"/>
    </row>
    <row r="128">
      <c r="A128" s="25" t="n">
        <v>1</v>
      </c>
      <c r="B128" s="25" t="inlineStr">
        <is>
          <t>EGT Ecole de la Geomatique et du Territoire</t>
        </is>
      </c>
      <c r="C128" s="25" t="inlineStr">
        <is>
          <t>Abidjan Cocody</t>
        </is>
      </c>
      <c r="D128" s="25" t="inlineStr">
        <is>
          <t>+225 07 05 20 74 85</t>
        </is>
      </c>
      <c r="E128" s="25" t="inlineStr"/>
      <c r="F128" s="25" t="inlineStr">
        <is>
          <t>david.niamien@egt.ci</t>
        </is>
      </c>
      <c r="G128" s="26" t="inlineStr"/>
      <c r="H128" s="26" t="inlineStr"/>
      <c r="I128" s="26" t="inlineStr">
        <is>
          <t>A contacter</t>
        </is>
      </c>
      <c r="J128" s="27" t="n"/>
      <c r="K128" s="26" t="n"/>
      <c r="L128" s="26" t="n">
        <v>1</v>
      </c>
      <c r="M128" s="26" t="n"/>
      <c r="N128" s="26" t="inlineStr"/>
      <c r="O128" s="28">
        <f>IF(OR($J128="",$K128="",$M128=""),"",($J128+IF(AND($L128&gt;=2,$J128=5000),3000,0))*$K128*$M128)</f>
        <v/>
      </c>
      <c r="P128" s="26" t="inlineStr"/>
    </row>
    <row r="129">
      <c r="A129" s="25" t="n">
        <v>1</v>
      </c>
      <c r="B129" s="25" t="inlineStr">
        <is>
          <t>EIPC-Abidjan - Ecole Internationale des Ponts et Chaussees</t>
        </is>
      </c>
      <c r="C129" s="25" t="inlineStr">
        <is>
          <t>Abidjan - Cocody Angre et Bingerville</t>
        </is>
      </c>
      <c r="D129" s="25" t="inlineStr">
        <is>
          <t>+225 27 22 29 03 55</t>
        </is>
      </c>
      <c r="E129" s="25" t="inlineStr">
        <is>
          <t>+225 07 59 06 33 01</t>
        </is>
      </c>
      <c r="F129" s="25" t="inlineStr">
        <is>
          <t>secretariat@eipc-abidjan.ci</t>
        </is>
      </c>
      <c r="G129" s="26" t="inlineStr"/>
      <c r="H129" s="26" t="inlineStr"/>
      <c r="I129" s="26" t="inlineStr">
        <is>
          <t>A contacter</t>
        </is>
      </c>
      <c r="J129" s="27" t="n"/>
      <c r="K129" s="26" t="n"/>
      <c r="L129" s="26" t="n">
        <v>1</v>
      </c>
      <c r="M129" s="26" t="n"/>
      <c r="N129" s="26" t="inlineStr"/>
      <c r="O129" s="28">
        <f>IF(OR($J129="",$K129="",$M129=""),"",($J129+IF(AND($L129&gt;=2,$J129=5000),3000,0))*$K129*$M129)</f>
        <v/>
      </c>
      <c r="P129" s="26" t="inlineStr"/>
    </row>
    <row r="130">
      <c r="A130" s="25" t="n">
        <v>1</v>
      </c>
      <c r="B130" s="25" t="inlineStr">
        <is>
          <t>Entrepreneurs Business School (EBS)</t>
        </is>
      </c>
      <c r="C130" s="25" t="inlineStr">
        <is>
          <t>Abidjan - Treichville</t>
        </is>
      </c>
      <c r="D130" s="25" t="inlineStr">
        <is>
          <t>+225 27 21 51 06 25</t>
        </is>
      </c>
      <c r="E130" s="25" t="inlineStr">
        <is>
          <t>+225 05 05 98 34 98</t>
        </is>
      </c>
      <c r="F130" s="25" t="inlineStr">
        <is>
          <t>groupeebs.center@gmail.com</t>
        </is>
      </c>
      <c r="G130" s="26" t="inlineStr"/>
      <c r="H130" s="26" t="inlineStr"/>
      <c r="I130" s="26" t="inlineStr">
        <is>
          <t>A contacter</t>
        </is>
      </c>
      <c r="J130" s="27" t="n"/>
      <c r="K130" s="26" t="n"/>
      <c r="L130" s="26" t="n">
        <v>1</v>
      </c>
      <c r="M130" s="26" t="n"/>
      <c r="N130" s="26" t="inlineStr"/>
      <c r="O130" s="28">
        <f>IF(OR($J130="",$K130="",$M130=""),"",($J130+IF(AND($L130&gt;=2,$J130=5000),3000,0))*$K130*$M130)</f>
        <v/>
      </c>
      <c r="P130" s="26" t="inlineStr"/>
    </row>
    <row r="131">
      <c r="A131" s="25" t="n">
        <v>1</v>
      </c>
      <c r="B131" s="25" t="inlineStr">
        <is>
          <t>EPHESE-TECHNOLOGIE (ECOLE POLYTECHNIQUE DES HAUTES ETUDES D'ECONOMIE DE SCIENCES ET DE TECHNOLOGIE)</t>
        </is>
      </c>
      <c r="C131" s="25" t="inlineStr">
        <is>
          <t>Abidjan - Yopougon</t>
        </is>
      </c>
      <c r="D131" s="25" t="inlineStr"/>
      <c r="E131" s="25" t="inlineStr"/>
      <c r="F131" s="25" t="inlineStr">
        <is>
          <t>ephese.technologie@gmail.com</t>
        </is>
      </c>
      <c r="G131" s="26" t="inlineStr"/>
      <c r="H131" s="26" t="inlineStr"/>
      <c r="I131" s="26" t="inlineStr">
        <is>
          <t>A contacter</t>
        </is>
      </c>
      <c r="J131" s="27" t="n"/>
      <c r="K131" s="26" t="n"/>
      <c r="L131" s="26" t="n">
        <v>1</v>
      </c>
      <c r="M131" s="26" t="n"/>
      <c r="N131" s="26" t="inlineStr"/>
      <c r="O131" s="28">
        <f>IF(OR($J131="",$K131="",$M131=""),"",($J131+IF(AND($L131&gt;=2,$J131=5000),3000,0))*$K131*$M131)</f>
        <v/>
      </c>
      <c r="P131" s="26" t="inlineStr"/>
    </row>
    <row r="132">
      <c r="A132" s="25" t="n">
        <v>1</v>
      </c>
      <c r="B132" s="25" t="inlineStr">
        <is>
          <t>Epitech Cote d'Ivoire</t>
        </is>
      </c>
      <c r="C132" s="25" t="inlineStr">
        <is>
          <t>Abidjan - Cocody Riviera Faya</t>
        </is>
      </c>
      <c r="D132" s="25" t="inlineStr"/>
      <c r="E132" s="25" t="inlineStr"/>
      <c r="F132" s="25" t="inlineStr">
        <is>
          <t>info@epitech.bj</t>
        </is>
      </c>
      <c r="G132" s="26" t="inlineStr"/>
      <c r="H132" s="26" t="inlineStr"/>
      <c r="I132" s="26" t="inlineStr">
        <is>
          <t>A contacter</t>
        </is>
      </c>
      <c r="J132" s="27" t="n"/>
      <c r="K132" s="26" t="n"/>
      <c r="L132" s="26" t="n">
        <v>1</v>
      </c>
      <c r="M132" s="26" t="n"/>
      <c r="N132" s="26" t="inlineStr"/>
      <c r="O132" s="28">
        <f>IF(OR($J132="",$K132="",$M132=""),"",($J132+IF(AND($L132&gt;=2,$J132=5000),3000,0))*$K132*$M132)</f>
        <v/>
      </c>
      <c r="P132" s="26" t="inlineStr"/>
    </row>
    <row r="133">
      <c r="A133" s="25" t="n">
        <v>1</v>
      </c>
      <c r="B133" s="25" t="inlineStr">
        <is>
          <t>EPMACI - Ecole polyvalente du Maghreb en Côte d’Ivoire - RIVIERA (EPMACI RIVIERA)</t>
        </is>
      </c>
      <c r="C133" s="25" t="inlineStr">
        <is>
          <t>Abidjan - Riviera</t>
        </is>
      </c>
      <c r="D133" s="25" t="inlineStr">
        <is>
          <t>+225 27 22 43 95 19</t>
        </is>
      </c>
      <c r="E133" s="25" t="inlineStr"/>
      <c r="F133" s="25" t="inlineStr">
        <is>
          <t>universitemaghreb_ci@yahoo.fr</t>
        </is>
      </c>
      <c r="G133" s="26" t="inlineStr"/>
      <c r="H133" s="26" t="inlineStr"/>
      <c r="I133" s="26" t="inlineStr">
        <is>
          <t>A contacter</t>
        </is>
      </c>
      <c r="J133" s="27" t="n"/>
      <c r="K133" s="26" t="n"/>
      <c r="L133" s="26" t="n">
        <v>1</v>
      </c>
      <c r="M133" s="26" t="n"/>
      <c r="N133" s="26" t="inlineStr"/>
      <c r="O133" s="28">
        <f>IF(OR($J133="",$K133="",$M133=""),"",($J133+IF(AND($L133&gt;=2,$J133=5000),3000,0))*$K133*$M133)</f>
        <v/>
      </c>
      <c r="P133" s="26" t="inlineStr"/>
    </row>
    <row r="134">
      <c r="A134" s="25" t="n">
        <v>1</v>
      </c>
      <c r="B134" s="25" t="inlineStr">
        <is>
          <t>ESAM Vridi - Ecole Superieure des Affaires et du Management</t>
        </is>
      </c>
      <c r="C134" s="25" t="inlineStr">
        <is>
          <t>Abidjan - Port-Bouet</t>
        </is>
      </c>
      <c r="D134" s="25" t="inlineStr">
        <is>
          <t>+225 27 21 27 42 00</t>
        </is>
      </c>
      <c r="E134" s="25" t="inlineStr">
        <is>
          <t>+225 01 01 57 12 42</t>
        </is>
      </c>
      <c r="F134" s="25" t="inlineStr">
        <is>
          <t>groupeesam.ci.nv@gmail.com</t>
        </is>
      </c>
      <c r="G134" s="26" t="inlineStr"/>
      <c r="H134" s="26" t="inlineStr"/>
      <c r="I134" s="26" t="inlineStr">
        <is>
          <t>A contacter</t>
        </is>
      </c>
      <c r="J134" s="27" t="n"/>
      <c r="K134" s="26" t="n"/>
      <c r="L134" s="26" t="n">
        <v>1</v>
      </c>
      <c r="M134" s="26" t="n"/>
      <c r="N134" s="26" t="inlineStr"/>
      <c r="O134" s="28">
        <f>IF(OR($J134="",$K134="",$M134=""),"",($J134+IF(AND($L134&gt;=2,$J134=5000),3000,0))*$K134*$M134)</f>
        <v/>
      </c>
      <c r="P134" s="26" t="inlineStr"/>
    </row>
    <row r="135">
      <c r="A135" s="25" t="n">
        <v>1</v>
      </c>
      <c r="B135" s="25" t="inlineStr">
        <is>
          <t>ESBTP (Ecole Speciale du Batiment et des Travaux Publics)</t>
        </is>
      </c>
      <c r="C135" s="25" t="inlineStr">
        <is>
          <t>Abidjan - Plateau (+ Yopougon, Treichville, Riviera)</t>
        </is>
      </c>
      <c r="D135" s="25" t="inlineStr">
        <is>
          <t>+225 27 20 32 80 01</t>
        </is>
      </c>
      <c r="E135" s="25" t="inlineStr">
        <is>
          <t>+225 05 05 30 88 40</t>
        </is>
      </c>
      <c r="F135" s="25" t="inlineStr">
        <is>
          <t>esbtpab@aviso.ci</t>
        </is>
      </c>
      <c r="G135" s="26" t="inlineStr"/>
      <c r="H135" s="26" t="inlineStr"/>
      <c r="I135" s="26" t="inlineStr">
        <is>
          <t>A contacter</t>
        </is>
      </c>
      <c r="J135" s="27" t="n"/>
      <c r="K135" s="26" t="n"/>
      <c r="L135" s="26" t="n">
        <v>1</v>
      </c>
      <c r="M135" s="26" t="n"/>
      <c r="N135" s="26" t="inlineStr"/>
      <c r="O135" s="28">
        <f>IF(OR($J135="",$K135="",$M135=""),"",($J135+IF(AND($L135&gt;=2,$J135=5000),3000,0))*$K135*$M135)</f>
        <v/>
      </c>
      <c r="P135" s="26" t="inlineStr"/>
    </row>
    <row r="136">
      <c r="A136" s="25" t="n">
        <v>1</v>
      </c>
      <c r="B136" s="25" t="inlineStr">
        <is>
          <t>ESC Castaing - Ecole Superieure de Commerce Castaing</t>
        </is>
      </c>
      <c r="C136" s="25" t="inlineStr">
        <is>
          <t>Abidjan - Plateau</t>
        </is>
      </c>
      <c r="D136" s="25" t="inlineStr">
        <is>
          <t>+225 27 20 21 22 89</t>
        </is>
      </c>
      <c r="E136" s="25" t="inlineStr">
        <is>
          <t>+225 27 20 21 63 47</t>
        </is>
      </c>
      <c r="F136" s="25" t="inlineStr">
        <is>
          <t>castaing@aviso.ci</t>
        </is>
      </c>
      <c r="G136" s="26" t="inlineStr"/>
      <c r="H136" s="26" t="inlineStr"/>
      <c r="I136" s="26" t="inlineStr">
        <is>
          <t>A contacter</t>
        </is>
      </c>
      <c r="J136" s="27" t="n"/>
      <c r="K136" s="26" t="n"/>
      <c r="L136" s="26" t="n">
        <v>1</v>
      </c>
      <c r="M136" s="26" t="n"/>
      <c r="N136" s="26" t="inlineStr"/>
      <c r="O136" s="28">
        <f>IF(OR($J136="",$K136="",$M136=""),"",($J136+IF(AND($L136&gt;=2,$J136=5000),3000,0))*$K136*$M136)</f>
        <v/>
      </c>
      <c r="P136" s="26" t="inlineStr"/>
    </row>
    <row r="137">
      <c r="A137" s="25" t="n">
        <v>1</v>
      </c>
      <c r="B137" s="25" t="inlineStr">
        <is>
          <t>ESCA-CI (Ecole Supérieure de Commerce et desAffaires de CI)</t>
        </is>
      </c>
      <c r="C137" s="25" t="inlineStr">
        <is>
          <t>Abidjan - Cocody</t>
        </is>
      </c>
      <c r="D137" s="25" t="inlineStr">
        <is>
          <t>+225 27 20 00 68 20</t>
        </is>
      </c>
      <c r="E137" s="25" t="inlineStr"/>
      <c r="F137" s="25" t="inlineStr">
        <is>
          <t>infos@esca-ci.org</t>
        </is>
      </c>
      <c r="G137" s="26" t="inlineStr"/>
      <c r="H137" s="26" t="inlineStr"/>
      <c r="I137" s="26" t="inlineStr">
        <is>
          <t>A contacter</t>
        </is>
      </c>
      <c r="J137" s="27" t="n"/>
      <c r="K137" s="26" t="n"/>
      <c r="L137" s="26" t="n">
        <v>1</v>
      </c>
      <c r="M137" s="26" t="n"/>
      <c r="N137" s="26" t="inlineStr"/>
      <c r="O137" s="28">
        <f>IF(OR($J137="",$K137="",$M137=""),"",($J137+IF(AND($L137&gt;=2,$J137=5000),3000,0))*$K137*$M137)</f>
        <v/>
      </c>
      <c r="P137" s="26" t="inlineStr"/>
    </row>
    <row r="138">
      <c r="A138" s="25" t="n">
        <v>1</v>
      </c>
      <c r="B138" s="25" t="inlineStr">
        <is>
          <t>ESCAMT (ECOLE SUPERIEURE DE COMMERCE, D'ADMINISTRATION ET DE MANAGEMENT ET TECHNIQUE) YOPOUGON</t>
        </is>
      </c>
      <c r="C138" s="25" t="inlineStr">
        <is>
          <t>Abidjan - Yopougon</t>
        </is>
      </c>
      <c r="D138" s="25" t="inlineStr">
        <is>
          <t>+225 25 23 01 01 52</t>
        </is>
      </c>
      <c r="E138" s="25" t="inlineStr">
        <is>
          <t>+225 05 56 40 01 30</t>
        </is>
      </c>
      <c r="F138" s="25" t="inlineStr">
        <is>
          <t>info.escamci@gmail.com</t>
        </is>
      </c>
      <c r="G138" s="26" t="inlineStr"/>
      <c r="H138" s="26" t="inlineStr"/>
      <c r="I138" s="26" t="inlineStr">
        <is>
          <t>A contacter</t>
        </is>
      </c>
      <c r="J138" s="27" t="n"/>
      <c r="K138" s="26" t="n"/>
      <c r="L138" s="26" t="n">
        <v>1</v>
      </c>
      <c r="M138" s="26" t="n"/>
      <c r="N138" s="26" t="inlineStr"/>
      <c r="O138" s="28">
        <f>IF(OR($J138="",$K138="",$M138=""),"",($J138+IF(AND($L138&gt;=2,$J138=5000),3000,0))*$K138*$M138)</f>
        <v/>
      </c>
      <c r="P138" s="26" t="inlineStr"/>
    </row>
    <row r="139">
      <c r="A139" s="25" t="n">
        <v>1</v>
      </c>
      <c r="B139" s="25" t="inlineStr">
        <is>
          <t>ESCG La Sorbonne - Groupe La Sorbonne</t>
        </is>
      </c>
      <c r="C139" s="25" t="inlineStr">
        <is>
          <t>Abidjan Yopougon</t>
        </is>
      </c>
      <c r="D139" s="25" t="inlineStr">
        <is>
          <t>+225 27 23 46 85 82</t>
        </is>
      </c>
      <c r="E139" s="25" t="inlineStr">
        <is>
          <t>+225 07 08 91 46 30</t>
        </is>
      </c>
      <c r="F139" s="25" t="inlineStr"/>
      <c r="G139" s="26" t="inlineStr"/>
      <c r="H139" s="26" t="inlineStr"/>
      <c r="I139" s="26" t="inlineStr">
        <is>
          <t>A contacter</t>
        </is>
      </c>
      <c r="J139" s="27" t="n"/>
      <c r="K139" s="26" t="n"/>
      <c r="L139" s="26" t="n">
        <v>1</v>
      </c>
      <c r="M139" s="26" t="n"/>
      <c r="N139" s="26" t="inlineStr"/>
      <c r="O139" s="28">
        <f>IF(OR($J139="",$K139="",$M139=""),"",($J139+IF(AND($L139&gt;=2,$J139=5000),3000,0))*$K139*$M139)</f>
        <v/>
      </c>
      <c r="P139" s="26" t="inlineStr"/>
    </row>
    <row r="140">
      <c r="A140" s="25" t="n">
        <v>1</v>
      </c>
      <c r="B140" s="25" t="inlineStr">
        <is>
          <t>ESCI PLATEAU</t>
        </is>
      </c>
      <c r="C140" s="25" t="inlineStr">
        <is>
          <t>Abidjan - Plateau</t>
        </is>
      </c>
      <c r="D140" s="25" t="inlineStr">
        <is>
          <t>+225 27 20 21 20 80</t>
        </is>
      </c>
      <c r="E140" s="25" t="inlineStr"/>
      <c r="F140" s="25" t="inlineStr">
        <is>
          <t>2006.esci@gmail.com</t>
        </is>
      </c>
      <c r="G140" s="26" t="inlineStr"/>
      <c r="H140" s="26" t="inlineStr"/>
      <c r="I140" s="26" t="inlineStr">
        <is>
          <t>A contacter</t>
        </is>
      </c>
      <c r="J140" s="27" t="n"/>
      <c r="K140" s="26" t="n"/>
      <c r="L140" s="26" t="n">
        <v>1</v>
      </c>
      <c r="M140" s="26" t="n"/>
      <c r="N140" s="26" t="inlineStr"/>
      <c r="O140" s="28">
        <f>IF(OR($J140="",$K140="",$M140=""),"",($J140+IF(AND($L140&gt;=2,$J140=5000),3000,0))*$K140*$M140)</f>
        <v/>
      </c>
      <c r="P140" s="26" t="inlineStr"/>
    </row>
    <row r="141">
      <c r="A141" s="25" t="n">
        <v>1</v>
      </c>
      <c r="B141" s="25" t="inlineStr">
        <is>
          <t>ESCI YOPOUGON</t>
        </is>
      </c>
      <c r="C141" s="25" t="inlineStr">
        <is>
          <t>Abidjan - Yopougon</t>
        </is>
      </c>
      <c r="D141" s="25" t="inlineStr">
        <is>
          <t>+225 07 07 89 07 43</t>
        </is>
      </c>
      <c r="E141" s="25" t="inlineStr">
        <is>
          <t>+225 07 07 89 07 43</t>
        </is>
      </c>
      <c r="F141" s="25" t="inlineStr">
        <is>
          <t>esci.yop15@gmail.com</t>
        </is>
      </c>
      <c r="G141" s="26" t="inlineStr"/>
      <c r="H141" s="26" t="inlineStr"/>
      <c r="I141" s="26" t="inlineStr">
        <is>
          <t>A contacter</t>
        </is>
      </c>
      <c r="J141" s="27" t="n"/>
      <c r="K141" s="26" t="n"/>
      <c r="L141" s="26" t="n">
        <v>1</v>
      </c>
      <c r="M141" s="26" t="n"/>
      <c r="N141" s="26" t="inlineStr"/>
      <c r="O141" s="28">
        <f>IF(OR($J141="",$K141="",$M141=""),"",($J141+IF(AND($L141&gt;=2,$J141=5000),3000,0))*$K141*$M141)</f>
        <v/>
      </c>
      <c r="P141" s="26" t="inlineStr"/>
    </row>
    <row r="142">
      <c r="A142" s="25" t="n">
        <v>1</v>
      </c>
      <c r="B142" s="25" t="inlineStr">
        <is>
          <t>ESDE SUP</t>
        </is>
      </c>
      <c r="C142" s="25" t="inlineStr">
        <is>
          <t>Abidjan - Yopougon</t>
        </is>
      </c>
      <c r="D142" s="25" t="inlineStr">
        <is>
          <t>+225 27 23 00 28 58</t>
        </is>
      </c>
      <c r="E142" s="25" t="inlineStr">
        <is>
          <t>+225 05 76 21 22 25</t>
        </is>
      </c>
      <c r="F142" s="25" t="inlineStr">
        <is>
          <t>esdesup@gmail.com</t>
        </is>
      </c>
      <c r="G142" s="26" t="inlineStr"/>
      <c r="H142" s="26" t="inlineStr"/>
      <c r="I142" s="26" t="inlineStr">
        <is>
          <t>A contacter</t>
        </is>
      </c>
      <c r="J142" s="27" t="n"/>
      <c r="K142" s="26" t="n"/>
      <c r="L142" s="26" t="n">
        <v>1</v>
      </c>
      <c r="M142" s="26" t="n"/>
      <c r="N142" s="26" t="inlineStr"/>
      <c r="O142" s="28">
        <f>IF(OR($J142="",$K142="",$M142=""),"",($J142+IF(AND($L142&gt;=2,$J142=5000),3000,0))*$K142*$M142)</f>
        <v/>
      </c>
      <c r="P142" s="26" t="inlineStr"/>
    </row>
    <row r="143">
      <c r="A143" s="25" t="n">
        <v>1</v>
      </c>
      <c r="B143" s="25" t="inlineStr">
        <is>
          <t>ESEPT Ecole Supérieure d’Enseignement Professionnel et Technique</t>
        </is>
      </c>
      <c r="C143" s="25" t="inlineStr">
        <is>
          <t>Abidjan - Yopougon</t>
        </is>
      </c>
      <c r="D143" s="25" t="inlineStr"/>
      <c r="E143" s="25" t="inlineStr"/>
      <c r="F143" s="25" t="inlineStr"/>
      <c r="G143" s="26" t="inlineStr"/>
      <c r="H143" s="26" t="inlineStr"/>
      <c r="I143" s="26" t="inlineStr">
        <is>
          <t>A contacter</t>
        </is>
      </c>
      <c r="J143" s="27" t="n"/>
      <c r="K143" s="26" t="n"/>
      <c r="L143" s="26" t="n">
        <v>1</v>
      </c>
      <c r="M143" s="26" t="n"/>
      <c r="N143" s="26" t="inlineStr"/>
      <c r="O143" s="28">
        <f>IF(OR($J143="",$K143="",$M143=""),"",($J143+IF(AND($L143&gt;=2,$J143=5000),3000,0))*$K143*$M143)</f>
        <v/>
      </c>
      <c r="P143" s="26" t="inlineStr"/>
    </row>
    <row r="144">
      <c r="A144" s="25" t="n">
        <v>1</v>
      </c>
      <c r="B144" s="25" t="inlineStr">
        <is>
          <t>ESFIT S.A</t>
        </is>
      </c>
      <c r="C144" s="25" t="inlineStr">
        <is>
          <t>Abidjan - Cocody</t>
        </is>
      </c>
      <c r="D144" s="25" t="inlineStr">
        <is>
          <t>+225 27 22 41 32 52</t>
        </is>
      </c>
      <c r="E144" s="25" t="inlineStr"/>
      <c r="F144" s="25" t="inlineStr">
        <is>
          <t>infos@cestia-2ep.com</t>
        </is>
      </c>
      <c r="G144" s="26" t="inlineStr"/>
      <c r="H144" s="26" t="inlineStr"/>
      <c r="I144" s="26" t="inlineStr">
        <is>
          <t>A contacter</t>
        </is>
      </c>
      <c r="J144" s="27" t="n"/>
      <c r="K144" s="26" t="n"/>
      <c r="L144" s="26" t="n">
        <v>1</v>
      </c>
      <c r="M144" s="26" t="n"/>
      <c r="N144" s="26" t="inlineStr"/>
      <c r="O144" s="28">
        <f>IF(OR($J144="",$K144="",$M144=""),"",($J144+IF(AND($L144&gt;=2,$J144=5000),3000,0))*$K144*$M144)</f>
        <v/>
      </c>
      <c r="P144" s="26" t="inlineStr"/>
    </row>
    <row r="145">
      <c r="A145" s="25" t="n">
        <v>1</v>
      </c>
      <c r="B145" s="25" t="inlineStr">
        <is>
          <t>ESIA - Ecole Superieure d'Informatique Appliquee</t>
        </is>
      </c>
      <c r="C145" s="25" t="inlineStr">
        <is>
          <t>Abidjan - Cocody Deux-Plateaux Vallon</t>
        </is>
      </c>
      <c r="D145" s="25" t="inlineStr">
        <is>
          <t>+225 27 21 76 18 25</t>
        </is>
      </c>
      <c r="E145" s="25" t="inlineStr">
        <is>
          <t>+225 07 79 74 04 14</t>
        </is>
      </c>
      <c r="F145" s="25" t="inlineStr">
        <is>
          <t>infos@esia-ci.com</t>
        </is>
      </c>
      <c r="G145" s="26" t="inlineStr"/>
      <c r="H145" s="26" t="inlineStr"/>
      <c r="I145" s="26" t="inlineStr">
        <is>
          <t>A contacter</t>
        </is>
      </c>
      <c r="J145" s="27" t="n"/>
      <c r="K145" s="26" t="n"/>
      <c r="L145" s="26" t="n">
        <v>1</v>
      </c>
      <c r="M145" s="26" t="n"/>
      <c r="N145" s="26" t="inlineStr"/>
      <c r="O145" s="28">
        <f>IF(OR($J145="",$K145="",$M145=""),"",($J145+IF(AND($L145&gt;=2,$J145=5000),3000,0))*$K145*$M145)</f>
        <v/>
      </c>
      <c r="P145" s="26" t="inlineStr"/>
    </row>
    <row r="146">
      <c r="A146" s="25" t="n">
        <v>1</v>
      </c>
      <c r="B146" s="25" t="inlineStr">
        <is>
          <t>ESIGE (ECOLE SUPERIEURE D'INFORMATIQUE ET DE GESTION D'ENTREPRISE)</t>
        </is>
      </c>
      <c r="C146" s="25" t="inlineStr">
        <is>
          <t>Abidjan - Cocody</t>
        </is>
      </c>
      <c r="D146" s="25" t="inlineStr">
        <is>
          <t>+225 27 22 00 78 62</t>
        </is>
      </c>
      <c r="E146" s="25" t="inlineStr">
        <is>
          <t>+225 27 22 41 78 48</t>
        </is>
      </c>
      <c r="F146" s="25" t="inlineStr">
        <is>
          <t>esigevallon@gmail.com</t>
        </is>
      </c>
      <c r="G146" s="26" t="inlineStr"/>
      <c r="H146" s="26" t="inlineStr"/>
      <c r="I146" s="26" t="inlineStr">
        <is>
          <t>A contacter</t>
        </is>
      </c>
      <c r="J146" s="27" t="n"/>
      <c r="K146" s="26" t="n"/>
      <c r="L146" s="26" t="n">
        <v>1</v>
      </c>
      <c r="M146" s="26" t="n"/>
      <c r="N146" s="26" t="inlineStr"/>
      <c r="O146" s="28">
        <f>IF(OR($J146="",$K146="",$M146=""),"",($J146+IF(AND($L146&gt;=2,$J146=5000),3000,0))*$K146*$M146)</f>
        <v/>
      </c>
      <c r="P146" s="26" t="inlineStr"/>
    </row>
    <row r="147">
      <c r="A147" s="25" t="n">
        <v>1</v>
      </c>
      <c r="B147" s="25" t="inlineStr">
        <is>
          <t>ESIM Yopougon - Ecole Superieure d'Industrie et de Management</t>
        </is>
      </c>
      <c r="C147" s="25" t="inlineStr">
        <is>
          <t>Abidjan - Yopougon</t>
        </is>
      </c>
      <c r="D147" s="25" t="inlineStr">
        <is>
          <t>+225 27 23 46 02 10</t>
        </is>
      </c>
      <c r="E147" s="25" t="inlineStr"/>
      <c r="F147" s="25" t="inlineStr">
        <is>
          <t>esim.abidjan@gmail.com</t>
        </is>
      </c>
      <c r="G147" s="26" t="inlineStr"/>
      <c r="H147" s="26" t="inlineStr"/>
      <c r="I147" s="26" t="inlineStr">
        <is>
          <t>A contacter</t>
        </is>
      </c>
      <c r="J147" s="27" t="n"/>
      <c r="K147" s="26" t="n"/>
      <c r="L147" s="26" t="n">
        <v>1</v>
      </c>
      <c r="M147" s="26" t="n"/>
      <c r="N147" s="26" t="inlineStr"/>
      <c r="O147" s="28">
        <f>IF(OR($J147="",$K147="",$M147=""),"",($J147+IF(AND($L147&gt;=2,$J147=5000),3000,0))*$K147*$M147)</f>
        <v/>
      </c>
      <c r="P147" s="26" t="inlineStr"/>
    </row>
    <row r="148">
      <c r="A148" s="25" t="n">
        <v>1</v>
      </c>
      <c r="B148" s="25" t="inlineStr">
        <is>
          <t>ESIT 2 PLATEAU</t>
        </is>
      </c>
      <c r="C148" s="25" t="inlineStr">
        <is>
          <t>Abidjan - Cocody</t>
        </is>
      </c>
      <c r="D148" s="25" t="inlineStr">
        <is>
          <t>+225 07 07 93 93 53</t>
        </is>
      </c>
      <c r="E148" s="25" t="inlineStr">
        <is>
          <t>+225 07 07 93 93 53</t>
        </is>
      </c>
      <c r="F148" s="25" t="inlineStr">
        <is>
          <t>esitdirection@gmail.com</t>
        </is>
      </c>
      <c r="G148" s="26" t="inlineStr"/>
      <c r="H148" s="26" t="inlineStr"/>
      <c r="I148" s="26" t="inlineStr">
        <is>
          <t>A contacter</t>
        </is>
      </c>
      <c r="J148" s="27" t="n"/>
      <c r="K148" s="26" t="n"/>
      <c r="L148" s="26" t="n">
        <v>1</v>
      </c>
      <c r="M148" s="26" t="n"/>
      <c r="N148" s="26" t="inlineStr"/>
      <c r="O148" s="28">
        <f>IF(OR($J148="",$K148="",$M148=""),"",($J148+IF(AND($L148&gt;=2,$J148=5000),3000,0))*$K148*$M148)</f>
        <v/>
      </c>
      <c r="P148" s="26" t="inlineStr"/>
    </row>
    <row r="149">
      <c r="A149" s="25" t="n">
        <v>1</v>
      </c>
      <c r="B149" s="25" t="inlineStr">
        <is>
          <t>ESK Yopougon - Ecole Superieure de Commerce et de Gestion</t>
        </is>
      </c>
      <c r="C149" s="25" t="inlineStr">
        <is>
          <t>Abidjan - Yopougon</t>
        </is>
      </c>
      <c r="D149" s="25" t="inlineStr">
        <is>
          <t>+225 27 22 42 17 26</t>
        </is>
      </c>
      <c r="E149" s="25" t="inlineStr">
        <is>
          <t>+225 27 22 52 25 86</t>
        </is>
      </c>
      <c r="F149" s="25" t="inlineStr"/>
      <c r="G149" s="26" t="inlineStr"/>
      <c r="H149" s="26" t="inlineStr"/>
      <c r="I149" s="26" t="inlineStr">
        <is>
          <t>A contacter</t>
        </is>
      </c>
      <c r="J149" s="27" t="n"/>
      <c r="K149" s="26" t="n"/>
      <c r="L149" s="26" t="n">
        <v>1</v>
      </c>
      <c r="M149" s="26" t="n"/>
      <c r="N149" s="26" t="inlineStr"/>
      <c r="O149" s="28">
        <f>IF(OR($J149="",$K149="",$M149=""),"",($J149+IF(AND($L149&gt;=2,$J149=5000),3000,0))*$K149*$M149)</f>
        <v/>
      </c>
      <c r="P149" s="26" t="inlineStr"/>
    </row>
    <row r="150">
      <c r="A150" s="25" t="n">
        <v>1</v>
      </c>
      <c r="B150" s="25" t="inlineStr">
        <is>
          <t>ESMA - Ecole de Specialites Multimedia d'Abidjan</t>
        </is>
      </c>
      <c r="C150" s="25" t="inlineStr">
        <is>
          <t>Abidjan - Cocody Riviera 2</t>
        </is>
      </c>
      <c r="D150" s="25" t="inlineStr">
        <is>
          <t>+225 27 22 47 11 12</t>
        </is>
      </c>
      <c r="E150" s="25" t="inlineStr">
        <is>
          <t>+225 07 89 11 76 89</t>
        </is>
      </c>
      <c r="F150" s="25" t="inlineStr">
        <is>
          <t>infos@esma-edu.com</t>
        </is>
      </c>
      <c r="G150" s="26" t="inlineStr"/>
      <c r="H150" s="26" t="inlineStr"/>
      <c r="I150" s="26" t="inlineStr">
        <is>
          <t>A contacter</t>
        </is>
      </c>
      <c r="J150" s="27" t="n"/>
      <c r="K150" s="26" t="n"/>
      <c r="L150" s="26" t="n">
        <v>1</v>
      </c>
      <c r="M150" s="26" t="n"/>
      <c r="N150" s="26" t="inlineStr"/>
      <c r="O150" s="28">
        <f>IF(OR($J150="",$K150="",$M150=""),"",($J150+IF(AND($L150&gt;=2,$J150=5000),3000,0))*$K150*$M150)</f>
        <v/>
      </c>
      <c r="P150" s="26" t="inlineStr"/>
    </row>
    <row r="151">
      <c r="A151" s="25" t="n">
        <v>1</v>
      </c>
      <c r="B151" s="25" t="inlineStr">
        <is>
          <t>ESMCT (Ecole Supérieure Méthodiste de Commerce et de Technologie ) Ex CMAM-CI</t>
        </is>
      </c>
      <c r="C151" s="25" t="inlineStr">
        <is>
          <t>Abidjan - Cocody</t>
        </is>
      </c>
      <c r="D151" s="25" t="inlineStr">
        <is>
          <t>+225 27 22 44 90 77</t>
        </is>
      </c>
      <c r="E151" s="25" t="inlineStr"/>
      <c r="F151" s="25" t="inlineStr">
        <is>
          <t>cmamci@umeci.org.ci</t>
        </is>
      </c>
      <c r="G151" s="26" t="inlineStr"/>
      <c r="H151" s="26" t="inlineStr"/>
      <c r="I151" s="26" t="inlineStr">
        <is>
          <t>A contacter</t>
        </is>
      </c>
      <c r="J151" s="27" t="n"/>
      <c r="K151" s="26" t="n"/>
      <c r="L151" s="26" t="n">
        <v>1</v>
      </c>
      <c r="M151" s="26" t="n"/>
      <c r="N151" s="26" t="inlineStr"/>
      <c r="O151" s="28">
        <f>IF(OR($J151="",$K151="",$M151=""),"",($J151+IF(AND($L151&gt;=2,$J151=5000),3000,0))*$K151*$M151)</f>
        <v/>
      </c>
      <c r="P151" s="26" t="inlineStr"/>
    </row>
    <row r="152">
      <c r="A152" s="25" t="n">
        <v>1</v>
      </c>
      <c r="B152" s="25" t="inlineStr">
        <is>
          <t>ESSC YOPOUGON ( SAINT CHALMEL)</t>
        </is>
      </c>
      <c r="C152" s="25" t="inlineStr">
        <is>
          <t>Abidjan - Yopougon</t>
        </is>
      </c>
      <c r="D152" s="25" t="inlineStr">
        <is>
          <t>+225 07 59 59 12 90</t>
        </is>
      </c>
      <c r="E152" s="25" t="inlineStr">
        <is>
          <t>+225 07 59 59 12 90</t>
        </is>
      </c>
      <c r="F152" s="25" t="inlineStr">
        <is>
          <t>info@es-saintchalmel.com</t>
        </is>
      </c>
      <c r="G152" s="26" t="inlineStr"/>
      <c r="H152" s="26" t="inlineStr"/>
      <c r="I152" s="26" t="inlineStr">
        <is>
          <t>A contacter</t>
        </is>
      </c>
      <c r="J152" s="27" t="n"/>
      <c r="K152" s="26" t="n"/>
      <c r="L152" s="26" t="n">
        <v>1</v>
      </c>
      <c r="M152" s="26" t="n"/>
      <c r="N152" s="26" t="inlineStr"/>
      <c r="O152" s="28">
        <f>IF(OR($J152="",$K152="",$M152=""),"",($J152+IF(AND($L152&gt;=2,$J152=5000),3000,0))*$K152*$M152)</f>
        <v/>
      </c>
      <c r="P152" s="26" t="inlineStr"/>
    </row>
    <row r="153">
      <c r="A153" s="25" t="n">
        <v>1</v>
      </c>
      <c r="B153" s="25" t="inlineStr">
        <is>
          <t>ESTAN PLATEAU ABIDJAN</t>
        </is>
      </c>
      <c r="C153" s="25" t="inlineStr">
        <is>
          <t>Abidjan - Plateau</t>
        </is>
      </c>
      <c r="D153" s="25" t="inlineStr">
        <is>
          <t>+225 27 20 32 10 27</t>
        </is>
      </c>
      <c r="E153" s="25" t="inlineStr"/>
      <c r="F153" s="25" t="inlineStr">
        <is>
          <t>estanplateau@gmail.com</t>
        </is>
      </c>
      <c r="G153" s="26" t="inlineStr"/>
      <c r="H153" s="26" t="inlineStr"/>
      <c r="I153" s="26" t="inlineStr">
        <is>
          <t>A contacter</t>
        </is>
      </c>
      <c r="J153" s="27" t="n"/>
      <c r="K153" s="26" t="n"/>
      <c r="L153" s="26" t="n">
        <v>1</v>
      </c>
      <c r="M153" s="26" t="n"/>
      <c r="N153" s="26" t="inlineStr"/>
      <c r="O153" s="28">
        <f>IF(OR($J153="",$K153="",$M153=""),"",($J153+IF(AND($L153&gt;=2,$J153=5000),3000,0))*$K153*$M153)</f>
        <v/>
      </c>
      <c r="P153" s="26" t="inlineStr"/>
    </row>
    <row r="154">
      <c r="A154" s="25" t="n">
        <v>1</v>
      </c>
      <c r="B154" s="25" t="inlineStr">
        <is>
          <t>ESTAN YOPOUGON</t>
        </is>
      </c>
      <c r="C154" s="25" t="inlineStr">
        <is>
          <t>Abidjan - Yopougon</t>
        </is>
      </c>
      <c r="D154" s="25" t="inlineStr">
        <is>
          <t>+225 27 20 32 10 27</t>
        </is>
      </c>
      <c r="E154" s="25" t="inlineStr">
        <is>
          <t>+225 07 07 47 20 27</t>
        </is>
      </c>
      <c r="F154" s="25" t="inlineStr">
        <is>
          <t>estanyop@gmail.com</t>
        </is>
      </c>
      <c r="G154" s="26" t="inlineStr"/>
      <c r="H154" s="26" t="inlineStr"/>
      <c r="I154" s="26" t="inlineStr">
        <is>
          <t>A contacter</t>
        </is>
      </c>
      <c r="J154" s="27" t="n"/>
      <c r="K154" s="26" t="n"/>
      <c r="L154" s="26" t="n">
        <v>1</v>
      </c>
      <c r="M154" s="26" t="n"/>
      <c r="N154" s="26" t="inlineStr"/>
      <c r="O154" s="28">
        <f>IF(OR($J154="",$K154="",$M154=""),"",($J154+IF(AND($L154&gt;=2,$J154=5000),3000,0))*$K154*$M154)</f>
        <v/>
      </c>
      <c r="P154" s="26" t="inlineStr"/>
    </row>
    <row r="155">
      <c r="A155" s="25" t="n">
        <v>1</v>
      </c>
      <c r="B155" s="25" t="inlineStr">
        <is>
          <t>ESTC Marcory - Ecole Superieure Technique et Commerciale</t>
        </is>
      </c>
      <c r="C155" s="25" t="inlineStr">
        <is>
          <t>Abidjan - Marcory</t>
        </is>
      </c>
      <c r="D155" s="25" t="inlineStr">
        <is>
          <t>+225 05 55 55 86 55</t>
        </is>
      </c>
      <c r="E155" s="25" t="inlineStr">
        <is>
          <t>+225 07 08 86 83 81</t>
        </is>
      </c>
      <c r="F155" s="25" t="inlineStr">
        <is>
          <t>estc@aviso.ci</t>
        </is>
      </c>
      <c r="G155" s="26" t="inlineStr"/>
      <c r="H155" s="26" t="inlineStr"/>
      <c r="I155" s="26" t="inlineStr">
        <is>
          <t>A contacter</t>
        </is>
      </c>
      <c r="J155" s="27" t="n"/>
      <c r="K155" s="26" t="n"/>
      <c r="L155" s="26" t="n">
        <v>1</v>
      </c>
      <c r="M155" s="26" t="n"/>
      <c r="N155" s="26" t="inlineStr"/>
      <c r="O155" s="28">
        <f>IF(OR($J155="",$K155="",$M155=""),"",($J155+IF(AND($L155&gt;=2,$J155=5000),3000,0))*$K155*$M155)</f>
        <v/>
      </c>
      <c r="P155" s="26" t="inlineStr"/>
    </row>
    <row r="156">
      <c r="A156" s="25" t="n">
        <v>1</v>
      </c>
      <c r="B156" s="25" t="inlineStr">
        <is>
          <t>ESTC VRIDI</t>
        </is>
      </c>
      <c r="C156" s="25" t="inlineStr">
        <is>
          <t>Abidjan - Port Bouet</t>
        </is>
      </c>
      <c r="D156" s="25" t="inlineStr">
        <is>
          <t>+225 07 49 16 35 61</t>
        </is>
      </c>
      <c r="E156" s="25" t="inlineStr">
        <is>
          <t>+225 07 49 16 35 61</t>
        </is>
      </c>
      <c r="F156" s="25" t="inlineStr">
        <is>
          <t>estcvridi@gmail.com</t>
        </is>
      </c>
      <c r="G156" s="26" t="inlineStr"/>
      <c r="H156" s="26" t="inlineStr"/>
      <c r="I156" s="26" t="inlineStr">
        <is>
          <t>A contacter</t>
        </is>
      </c>
      <c r="J156" s="27" t="n"/>
      <c r="K156" s="26" t="n"/>
      <c r="L156" s="26" t="n">
        <v>1</v>
      </c>
      <c r="M156" s="26" t="n"/>
      <c r="N156" s="26" t="inlineStr"/>
      <c r="O156" s="28">
        <f>IF(OR($J156="",$K156="",$M156=""),"",($J156+IF(AND($L156&gt;=2,$J156=5000),3000,0))*$K156*$M156)</f>
        <v/>
      </c>
      <c r="P156" s="26" t="inlineStr"/>
    </row>
    <row r="157">
      <c r="A157" s="25" t="n">
        <v>1</v>
      </c>
      <c r="B157" s="25" t="inlineStr">
        <is>
          <t>ESTC YOPOUGON ABIDJAN</t>
        </is>
      </c>
      <c r="C157" s="25" t="inlineStr">
        <is>
          <t>Abidjan - Yopougon</t>
        </is>
      </c>
      <c r="D157" s="25" t="inlineStr">
        <is>
          <t>+225 07 49 16 35 61</t>
        </is>
      </c>
      <c r="E157" s="25" t="inlineStr">
        <is>
          <t>+225 07 49 16 35 61</t>
        </is>
      </c>
      <c r="F157" s="25" t="inlineStr">
        <is>
          <t>b_ndje@yahoo.com</t>
        </is>
      </c>
      <c r="G157" s="26" t="inlineStr"/>
      <c r="H157" s="26" t="inlineStr"/>
      <c r="I157" s="26" t="inlineStr">
        <is>
          <t>A contacter</t>
        </is>
      </c>
      <c r="J157" s="27" t="n"/>
      <c r="K157" s="26" t="n"/>
      <c r="L157" s="26" t="n">
        <v>1</v>
      </c>
      <c r="M157" s="26" t="n"/>
      <c r="N157" s="26" t="inlineStr"/>
      <c r="O157" s="28">
        <f>IF(OR($J157="",$K157="",$M157=""),"",($J157+IF(AND($L157&gt;=2,$J157=5000),3000,0))*$K157*$M157)</f>
        <v/>
      </c>
      <c r="P157" s="26" t="inlineStr"/>
    </row>
    <row r="158">
      <c r="A158" s="25" t="n">
        <v>1</v>
      </c>
      <c r="B158" s="25" t="inlineStr">
        <is>
          <t>ESTEAI - Ecole Superieure des Techniques Electroniques Audiovisuelles et Informatiques</t>
        </is>
      </c>
      <c r="C158" s="25" t="inlineStr">
        <is>
          <t>Abidjan</t>
        </is>
      </c>
      <c r="D158" s="25" t="inlineStr">
        <is>
          <t>+225 05 75 26 03 53</t>
        </is>
      </c>
      <c r="E158" s="25" t="inlineStr"/>
      <c r="F158" s="25" t="inlineStr">
        <is>
          <t>info@esteai.com</t>
        </is>
      </c>
      <c r="G158" s="26" t="inlineStr"/>
      <c r="H158" s="26" t="inlineStr"/>
      <c r="I158" s="26" t="inlineStr">
        <is>
          <t>A contacter</t>
        </is>
      </c>
      <c r="J158" s="27" t="n"/>
      <c r="K158" s="26" t="n"/>
      <c r="L158" s="26" t="n">
        <v>1</v>
      </c>
      <c r="M158" s="26" t="n"/>
      <c r="N158" s="26" t="inlineStr"/>
      <c r="O158" s="28">
        <f>IF(OR($J158="",$K158="",$M158=""),"",($J158+IF(AND($L158&gt;=2,$J158=5000),3000,0))*$K158*$M158)</f>
        <v/>
      </c>
      <c r="P158" s="26" t="inlineStr"/>
    </row>
    <row r="159">
      <c r="A159" s="25" t="n">
        <v>1</v>
      </c>
      <c r="B159" s="25" t="inlineStr">
        <is>
          <t>ETEP - ANNEXE YOPOUGON</t>
        </is>
      </c>
      <c r="C159" s="25" t="inlineStr">
        <is>
          <t>Abidjan - Yopougon</t>
        </is>
      </c>
      <c r="D159" s="25" t="inlineStr">
        <is>
          <t>+225 27 23 00 13 86</t>
        </is>
      </c>
      <c r="E159" s="25" t="inlineStr"/>
      <c r="F159" s="25" t="inlineStr">
        <is>
          <t>etep01yopougon@gmail.com</t>
        </is>
      </c>
      <c r="G159" s="26" t="inlineStr"/>
      <c r="H159" s="26" t="inlineStr"/>
      <c r="I159" s="26" t="inlineStr">
        <is>
          <t>A contacter</t>
        </is>
      </c>
      <c r="J159" s="27" t="n"/>
      <c r="K159" s="26" t="n"/>
      <c r="L159" s="26" t="n">
        <v>1</v>
      </c>
      <c r="M159" s="26" t="n"/>
      <c r="N159" s="26" t="inlineStr"/>
      <c r="O159" s="28">
        <f>IF(OR($J159="",$K159="",$M159=""),"",($J159+IF(AND($L159&gt;=2,$J159=5000),3000,0))*$K159*$M159)</f>
        <v/>
      </c>
      <c r="P159" s="26" t="inlineStr"/>
    </row>
    <row r="160">
      <c r="A160" s="25" t="n">
        <v>1</v>
      </c>
      <c r="B160" s="25" t="inlineStr">
        <is>
          <t>ETEP Abobo - Ecole Technique et Professionnelle</t>
        </is>
      </c>
      <c r="C160" s="25" t="inlineStr">
        <is>
          <t>Abidjan - Abobo</t>
        </is>
      </c>
      <c r="D160" s="25" t="inlineStr">
        <is>
          <t>+225 27 20 21 35 23</t>
        </is>
      </c>
      <c r="E160" s="25" t="inlineStr">
        <is>
          <t>+225 01 40 89 06 61</t>
        </is>
      </c>
      <c r="F160" s="25" t="inlineStr">
        <is>
          <t>etep01abobo@gmail.com</t>
        </is>
      </c>
      <c r="G160" s="26" t="inlineStr"/>
      <c r="H160" s="26" t="inlineStr"/>
      <c r="I160" s="26" t="inlineStr">
        <is>
          <t>A contacter</t>
        </is>
      </c>
      <c r="J160" s="27" t="n"/>
      <c r="K160" s="26" t="n"/>
      <c r="L160" s="26" t="n">
        <v>1</v>
      </c>
      <c r="M160" s="26" t="n"/>
      <c r="N160" s="26" t="inlineStr"/>
      <c r="O160" s="28">
        <f>IF(OR($J160="",$K160="",$M160=""),"",($J160+IF(AND($L160&gt;=2,$J160=5000),3000,0))*$K160*$M160)</f>
        <v/>
      </c>
      <c r="P160" s="26" t="inlineStr"/>
    </row>
    <row r="161">
      <c r="A161" s="25" t="n">
        <v>1</v>
      </c>
      <c r="B161" s="25" t="inlineStr">
        <is>
          <t>ETEP ANNEXE RIVIERA</t>
        </is>
      </c>
      <c r="C161" s="25" t="inlineStr">
        <is>
          <t>Abidjan - Riviera</t>
        </is>
      </c>
      <c r="D161" s="25" t="inlineStr">
        <is>
          <t>+225 01 01 61 89 51</t>
        </is>
      </c>
      <c r="E161" s="25" t="inlineStr">
        <is>
          <t>+225 01 01 61 89 51</t>
        </is>
      </c>
      <c r="F161" s="25" t="inlineStr">
        <is>
          <t>etep01riviera@gmail.com</t>
        </is>
      </c>
      <c r="G161" s="26" t="inlineStr"/>
      <c r="H161" s="26" t="inlineStr"/>
      <c r="I161" s="26" t="inlineStr">
        <is>
          <t>A contacter</t>
        </is>
      </c>
      <c r="J161" s="27" t="n"/>
      <c r="K161" s="26" t="n"/>
      <c r="L161" s="26" t="n">
        <v>1</v>
      </c>
      <c r="M161" s="26" t="n"/>
      <c r="N161" s="26" t="inlineStr"/>
      <c r="O161" s="28">
        <f>IF(OR($J161="",$K161="",$M161=""),"",($J161+IF(AND($L161&gt;=2,$J161=5000),3000,0))*$K161*$M161)</f>
        <v/>
      </c>
      <c r="P161" s="26" t="inlineStr"/>
    </row>
    <row r="162">
      <c r="A162" s="25" t="n">
        <v>1</v>
      </c>
      <c r="B162" s="25" t="inlineStr">
        <is>
          <t>EURO FORMATION Marcory</t>
        </is>
      </c>
      <c r="C162" s="25" t="inlineStr">
        <is>
          <t>Abidjan - Marcory Zone 4</t>
        </is>
      </c>
      <c r="D162" s="25" t="inlineStr">
        <is>
          <t>+225 27 21 25 45 15</t>
        </is>
      </c>
      <c r="E162" s="25" t="inlineStr">
        <is>
          <t>+225 05 05 08 84 10</t>
        </is>
      </c>
      <c r="F162" s="25" t="inlineStr">
        <is>
          <t>info3a@yahoo.fr</t>
        </is>
      </c>
      <c r="G162" s="26" t="inlineStr"/>
      <c r="H162" s="26" t="inlineStr"/>
      <c r="I162" s="26" t="inlineStr">
        <is>
          <t>A contacter</t>
        </is>
      </c>
      <c r="J162" s="27" t="n"/>
      <c r="K162" s="26" t="n"/>
      <c r="L162" s="26" t="n">
        <v>1</v>
      </c>
      <c r="M162" s="26" t="n"/>
      <c r="N162" s="26" t="inlineStr"/>
      <c r="O162" s="28">
        <f>IF(OR($J162="",$K162="",$M162=""),"",($J162+IF(AND($L162&gt;=2,$J162=5000),3000,0))*$K162*$M162)</f>
        <v/>
      </c>
      <c r="P162" s="26" t="inlineStr"/>
    </row>
    <row r="163">
      <c r="A163" s="25" t="n">
        <v>1</v>
      </c>
      <c r="B163" s="25" t="inlineStr">
        <is>
          <t>EURO-FORMATION II PLATEAUX (EUROF II PLATEAUX)</t>
        </is>
      </c>
      <c r="C163" s="25" t="inlineStr">
        <is>
          <t>Abidjan - Cocody</t>
        </is>
      </c>
      <c r="D163" s="25" t="inlineStr">
        <is>
          <t>+225 27 22 50 82 75</t>
        </is>
      </c>
      <c r="E163" s="25" t="inlineStr">
        <is>
          <t>+225 07 08 42 36 90</t>
        </is>
      </c>
      <c r="F163" s="25" t="inlineStr">
        <is>
          <t>infos@eurof.org</t>
        </is>
      </c>
      <c r="G163" s="26" t="inlineStr"/>
      <c r="H163" s="26" t="inlineStr"/>
      <c r="I163" s="26" t="inlineStr">
        <is>
          <t>A contacter</t>
        </is>
      </c>
      <c r="J163" s="27" t="n"/>
      <c r="K163" s="26" t="n"/>
      <c r="L163" s="26" t="n">
        <v>1</v>
      </c>
      <c r="M163" s="26" t="n"/>
      <c r="N163" s="26" t="inlineStr"/>
      <c r="O163" s="28">
        <f>IF(OR($J163="",$K163="",$M163=""),"",($J163+IF(AND($L163&gt;=2,$J163=5000),3000,0))*$K163*$M163)</f>
        <v/>
      </c>
      <c r="P163" s="26" t="inlineStr"/>
    </row>
    <row r="164">
      <c r="A164" s="25" t="n">
        <v>1</v>
      </c>
      <c r="B164" s="25" t="inlineStr">
        <is>
          <t>EURO-FORMATION YOPOUGON (EUROF YOPOUGON)</t>
        </is>
      </c>
      <c r="C164" s="25" t="inlineStr">
        <is>
          <t>Abidjan - Yopougon</t>
        </is>
      </c>
      <c r="D164" s="25" t="inlineStr">
        <is>
          <t>+225 27 23 45 07 81</t>
        </is>
      </c>
      <c r="E164" s="25" t="inlineStr"/>
      <c r="F164" s="25" t="inlineStr">
        <is>
          <t>info3a@yahoo.fr</t>
        </is>
      </c>
      <c r="G164" s="26" t="inlineStr"/>
      <c r="H164" s="26" t="inlineStr"/>
      <c r="I164" s="26" t="inlineStr">
        <is>
          <t>A contacter</t>
        </is>
      </c>
      <c r="J164" s="27" t="n"/>
      <c r="K164" s="26" t="n"/>
      <c r="L164" s="26" t="n">
        <v>1</v>
      </c>
      <c r="M164" s="26" t="n"/>
      <c r="N164" s="26" t="inlineStr"/>
      <c r="O164" s="28">
        <f>IF(OR($J164="",$K164="",$M164=""),"",($J164+IF(AND($L164&gt;=2,$J164=5000),3000,0))*$K164*$M164)</f>
        <v/>
      </c>
      <c r="P164" s="26" t="inlineStr"/>
    </row>
    <row r="165">
      <c r="A165" s="25" t="n">
        <v>1</v>
      </c>
      <c r="B165" s="25" t="inlineStr">
        <is>
          <t>EXCELL SUP</t>
        </is>
      </c>
      <c r="C165" s="25" t="inlineStr">
        <is>
          <t>Abidjan - Cocody</t>
        </is>
      </c>
      <c r="D165" s="25" t="inlineStr">
        <is>
          <t>+225 05 02 23 77 77</t>
        </is>
      </c>
      <c r="E165" s="25" t="inlineStr">
        <is>
          <t>+225 05 02 23 77 77</t>
        </is>
      </c>
      <c r="F165" s="25" t="inlineStr">
        <is>
          <t>info@excellsup.ci</t>
        </is>
      </c>
      <c r="G165" s="26" t="inlineStr"/>
      <c r="H165" s="26" t="inlineStr"/>
      <c r="I165" s="26" t="inlineStr">
        <is>
          <t>A contacter</t>
        </is>
      </c>
      <c r="J165" s="27" t="n"/>
      <c r="K165" s="26" t="n"/>
      <c r="L165" s="26" t="n">
        <v>1</v>
      </c>
      <c r="M165" s="26" t="n"/>
      <c r="N165" s="26" t="inlineStr"/>
      <c r="O165" s="28">
        <f>IF(OR($J165="",$K165="",$M165=""),"",($J165+IF(AND($L165&gt;=2,$J165=5000),3000,0))*$K165*$M165)</f>
        <v/>
      </c>
      <c r="P165" s="26" t="inlineStr"/>
    </row>
    <row r="166">
      <c r="A166" s="25" t="n">
        <v>1</v>
      </c>
      <c r="B166" s="25" t="inlineStr">
        <is>
          <t>EXPERT-METIER BUSINESS SCHOOL (EMBS)</t>
        </is>
      </c>
      <c r="C166" s="25" t="inlineStr">
        <is>
          <t>Abidjan - Cocody</t>
        </is>
      </c>
      <c r="D166" s="25" t="inlineStr">
        <is>
          <t>+225 27 22 20 44 32</t>
        </is>
      </c>
      <c r="E166" s="25" t="inlineStr">
        <is>
          <t>+225 07 99 13 26 69</t>
        </is>
      </c>
      <c r="F166" s="25" t="inlineStr">
        <is>
          <t>contact@embs-ci.com</t>
        </is>
      </c>
      <c r="G166" s="26" t="inlineStr"/>
      <c r="H166" s="26" t="inlineStr"/>
      <c r="I166" s="26" t="inlineStr">
        <is>
          <t>A contacter</t>
        </is>
      </c>
      <c r="J166" s="27" t="n"/>
      <c r="K166" s="26" t="n"/>
      <c r="L166" s="26" t="n">
        <v>1</v>
      </c>
      <c r="M166" s="26" t="n"/>
      <c r="N166" s="26" t="inlineStr"/>
      <c r="O166" s="28">
        <f>IF(OR($J166="",$K166="",$M166=""),"",($J166+IF(AND($L166&gt;=2,$J166=5000),3000,0))*$K166*$M166)</f>
        <v/>
      </c>
      <c r="P166" s="26" t="inlineStr"/>
    </row>
    <row r="167">
      <c r="A167" s="25" t="n">
        <v>1</v>
      </c>
      <c r="B167" s="25" t="inlineStr">
        <is>
          <t>GEA Groupe Ecoles Abidjan</t>
        </is>
      </c>
      <c r="C167" s="25" t="inlineStr">
        <is>
          <t>Abidjan Cocody</t>
        </is>
      </c>
      <c r="D167" s="25" t="inlineStr">
        <is>
          <t>+225 05 74 27 04 97</t>
        </is>
      </c>
      <c r="E167" s="25" t="inlineStr"/>
      <c r="F167" s="25" t="inlineStr">
        <is>
          <t>info@gea-ci.com</t>
        </is>
      </c>
      <c r="G167" s="26" t="inlineStr"/>
      <c r="H167" s="26" t="inlineStr"/>
      <c r="I167" s="26" t="inlineStr">
        <is>
          <t>A contacter</t>
        </is>
      </c>
      <c r="J167" s="27" t="n"/>
      <c r="K167" s="26" t="n"/>
      <c r="L167" s="26" t="n">
        <v>1</v>
      </c>
      <c r="M167" s="26" t="n"/>
      <c r="N167" s="26" t="inlineStr"/>
      <c r="O167" s="28">
        <f>IF(OR($J167="",$K167="",$M167=""),"",($J167+IF(AND($L167&gt;=2,$J167=5000),3000,0))*$K167*$M167)</f>
        <v/>
      </c>
      <c r="P167" s="26" t="inlineStr"/>
    </row>
    <row r="168">
      <c r="A168" s="25" t="n">
        <v>1</v>
      </c>
      <c r="B168" s="25" t="inlineStr">
        <is>
          <t>GECI (GROUPE EXPERT) ABIDJAN</t>
        </is>
      </c>
      <c r="C168" s="25" t="inlineStr">
        <is>
          <t>Abidjan - Yopougon</t>
        </is>
      </c>
      <c r="D168" s="25" t="inlineStr">
        <is>
          <t>+225 07 08 23 81 31</t>
        </is>
      </c>
      <c r="E168" s="25" t="inlineStr">
        <is>
          <t>+225 07 08 23 81 31</t>
        </is>
      </c>
      <c r="F168" s="25" t="inlineStr">
        <is>
          <t>akossguessan@yahoo.fr</t>
        </is>
      </c>
      <c r="G168" s="26" t="inlineStr"/>
      <c r="H168" s="26" t="inlineStr"/>
      <c r="I168" s="26" t="inlineStr">
        <is>
          <t>A contacter</t>
        </is>
      </c>
      <c r="J168" s="27" t="n"/>
      <c r="K168" s="26" t="n"/>
      <c r="L168" s="26" t="n">
        <v>1</v>
      </c>
      <c r="M168" s="26" t="n"/>
      <c r="N168" s="26" t="inlineStr"/>
      <c r="O168" s="28">
        <f>IF(OR($J168="",$K168="",$M168=""),"",($J168+IF(AND($L168&gt;=2,$J168=5000),3000,0))*$K168*$M168)</f>
        <v/>
      </c>
      <c r="P168" s="26" t="inlineStr"/>
    </row>
    <row r="169">
      <c r="A169" s="25" t="n">
        <v>1</v>
      </c>
      <c r="B169" s="25" t="inlineStr">
        <is>
          <t>GECI GROUPE EXPERT ANNEXE YOPOUGON</t>
        </is>
      </c>
      <c r="C169" s="25" t="inlineStr">
        <is>
          <t>Abidjan - Yopougon</t>
        </is>
      </c>
      <c r="D169" s="25" t="inlineStr">
        <is>
          <t>+225 27 20 00 77 04</t>
        </is>
      </c>
      <c r="E169" s="25" t="inlineStr"/>
      <c r="F169" s="25" t="inlineStr"/>
      <c r="G169" s="26" t="inlineStr"/>
      <c r="H169" s="26" t="inlineStr"/>
      <c r="I169" s="26" t="inlineStr">
        <is>
          <t>A contacter</t>
        </is>
      </c>
      <c r="J169" s="27" t="n"/>
      <c r="K169" s="26" t="n"/>
      <c r="L169" s="26" t="n">
        <v>1</v>
      </c>
      <c r="M169" s="26" t="n"/>
      <c r="N169" s="26" t="inlineStr"/>
      <c r="O169" s="28">
        <f>IF(OR($J169="",$K169="",$M169=""),"",($J169+IF(AND($L169&gt;=2,$J169=5000),3000,0))*$K169*$M169)</f>
        <v/>
      </c>
      <c r="P169" s="26" t="inlineStr"/>
    </row>
    <row r="170">
      <c r="A170" s="25" t="n">
        <v>1</v>
      </c>
      <c r="B170" s="25" t="inlineStr">
        <is>
          <t>GEIGE - Grande Ecole d'Informatique et de Gestion d'Entreprise</t>
        </is>
      </c>
      <c r="C170" s="25" t="inlineStr">
        <is>
          <t>Abidjan - Cocody Deux-Plateaux Vallon</t>
        </is>
      </c>
      <c r="D170" s="25" t="inlineStr">
        <is>
          <t>+225 07 68 12 55 42</t>
        </is>
      </c>
      <c r="E170" s="25" t="inlineStr">
        <is>
          <t>+225 01 73 29 48 90</t>
        </is>
      </c>
      <c r="F170" s="25" t="inlineStr">
        <is>
          <t>info@geige.ci</t>
        </is>
      </c>
      <c r="G170" s="26" t="inlineStr"/>
      <c r="H170" s="26" t="inlineStr"/>
      <c r="I170" s="26" t="inlineStr">
        <is>
          <t>A contacter</t>
        </is>
      </c>
      <c r="J170" s="27" t="n"/>
      <c r="K170" s="26" t="n"/>
      <c r="L170" s="26" t="n">
        <v>1</v>
      </c>
      <c r="M170" s="26" t="n"/>
      <c r="N170" s="26" t="inlineStr"/>
      <c r="O170" s="28">
        <f>IF(OR($J170="",$K170="",$M170=""),"",($J170+IF(AND($L170&gt;=2,$J170=5000),3000,0))*$K170*$M170)</f>
        <v/>
      </c>
      <c r="P170" s="26" t="inlineStr"/>
    </row>
    <row r="171">
      <c r="A171" s="25" t="n">
        <v>1</v>
      </c>
      <c r="B171" s="25" t="inlineStr">
        <is>
          <t>GENERAL CONSEIL ET SERVICE YOPOUGON (GECOS YOPOUGON) (GECOS-FORMATION)</t>
        </is>
      </c>
      <c r="C171" s="25" t="inlineStr">
        <is>
          <t>Abidjan - Yopougon</t>
        </is>
      </c>
      <c r="D171" s="25" t="inlineStr">
        <is>
          <t>+225 27 23 48 56 90</t>
        </is>
      </c>
      <c r="E171" s="25" t="inlineStr">
        <is>
          <t>+225 27 23 48 56 89</t>
        </is>
      </c>
      <c r="F171" s="25" t="inlineStr">
        <is>
          <t>morabysam2014@gmail.com</t>
        </is>
      </c>
      <c r="G171" s="26" t="inlineStr"/>
      <c r="H171" s="26" t="inlineStr"/>
      <c r="I171" s="26" t="inlineStr">
        <is>
          <t>A contacter</t>
        </is>
      </c>
      <c r="J171" s="27" t="n"/>
      <c r="K171" s="26" t="n"/>
      <c r="L171" s="26" t="n">
        <v>1</v>
      </c>
      <c r="M171" s="26" t="n"/>
      <c r="N171" s="26" t="inlineStr"/>
      <c r="O171" s="28">
        <f>IF(OR($J171="",$K171="",$M171=""),"",($J171+IF(AND($L171&gt;=2,$J171=5000),3000,0))*$K171*$M171)</f>
        <v/>
      </c>
      <c r="P171" s="26" t="inlineStr"/>
    </row>
    <row r="172">
      <c r="A172" s="25" t="n">
        <v>1</v>
      </c>
      <c r="B172" s="25" t="inlineStr">
        <is>
          <t>GESTPCI - Groupe d'Enseignement Superieur Technique et Professionnel de Cote d'Ivoire</t>
        </is>
      </c>
      <c r="C172" s="25" t="inlineStr">
        <is>
          <t>Abidjan - Abobo</t>
        </is>
      </c>
      <c r="D172" s="25" t="inlineStr">
        <is>
          <t>+225 07 59 74 39 10</t>
        </is>
      </c>
      <c r="E172" s="25" t="inlineStr">
        <is>
          <t>+225 07 59 74 39 10</t>
        </is>
      </c>
      <c r="F172" s="25" t="inlineStr">
        <is>
          <t>infos24gestpci@gmail.com</t>
        </is>
      </c>
      <c r="G172" s="26" t="inlineStr"/>
      <c r="H172" s="26" t="inlineStr"/>
      <c r="I172" s="26" t="inlineStr">
        <is>
          <t>A contacter</t>
        </is>
      </c>
      <c r="J172" s="27" t="n"/>
      <c r="K172" s="26" t="n"/>
      <c r="L172" s="26" t="n">
        <v>1</v>
      </c>
      <c r="M172" s="26" t="n"/>
      <c r="N172" s="26" t="inlineStr"/>
      <c r="O172" s="28">
        <f>IF(OR($J172="",$K172="",$M172=""),"",($J172+IF(AND($L172&gt;=2,$J172=5000),3000,0))*$K172*$M172)</f>
        <v/>
      </c>
      <c r="P172" s="26" t="inlineStr"/>
    </row>
    <row r="173">
      <c r="A173" s="25" t="n">
        <v>1</v>
      </c>
      <c r="B173" s="25" t="inlineStr">
        <is>
          <t>GRAND GROUPE ELITES VISION (2GEV)</t>
        </is>
      </c>
      <c r="C173" s="25" t="inlineStr">
        <is>
          <t>Abidjan - Yopougon</t>
        </is>
      </c>
      <c r="D173" s="25" t="inlineStr">
        <is>
          <t>+225 07 49 00 87 00</t>
        </is>
      </c>
      <c r="E173" s="25" t="inlineStr">
        <is>
          <t>+225 07 49 00 87 00</t>
        </is>
      </c>
      <c r="F173" s="25" t="inlineStr"/>
      <c r="G173" s="26" t="inlineStr"/>
      <c r="H173" s="26" t="inlineStr"/>
      <c r="I173" s="26" t="inlineStr">
        <is>
          <t>A contacter</t>
        </is>
      </c>
      <c r="J173" s="27" t="n"/>
      <c r="K173" s="26" t="n"/>
      <c r="L173" s="26" t="n">
        <v>1</v>
      </c>
      <c r="M173" s="26" t="n"/>
      <c r="N173" s="26" t="inlineStr"/>
      <c r="O173" s="28">
        <f>IF(OR($J173="",$K173="",$M173=""),"",($J173+IF(AND($L173&gt;=2,$J173=5000),3000,0))*$K173*$M173)</f>
        <v/>
      </c>
      <c r="P173" s="26" t="inlineStr"/>
    </row>
    <row r="174">
      <c r="A174" s="25" t="n">
        <v>1</v>
      </c>
      <c r="B174" s="25" t="inlineStr">
        <is>
          <t>GROUPE CEFIAT ABIDJAN (GCT)</t>
        </is>
      </c>
      <c r="C174" s="25" t="inlineStr">
        <is>
          <t>Abidjan - Plateau</t>
        </is>
      </c>
      <c r="D174" s="25" t="inlineStr">
        <is>
          <t>+225 27 20 21 01 21</t>
        </is>
      </c>
      <c r="E174" s="25" t="inlineStr"/>
      <c r="F174" s="25" t="inlineStr">
        <is>
          <t>groupecefiat@aviso.ci</t>
        </is>
      </c>
      <c r="G174" s="26" t="inlineStr"/>
      <c r="H174" s="26" t="inlineStr"/>
      <c r="I174" s="26" t="inlineStr">
        <is>
          <t>A contacter</t>
        </is>
      </c>
      <c r="J174" s="27" t="n"/>
      <c r="K174" s="26" t="n"/>
      <c r="L174" s="26" t="n">
        <v>1</v>
      </c>
      <c r="M174" s="26" t="n"/>
      <c r="N174" s="26" t="inlineStr"/>
      <c r="O174" s="28">
        <f>IF(OR($J174="",$K174="",$M174=""),"",($J174+IF(AND($L174&gt;=2,$J174=5000),3000,0))*$K174*$M174)</f>
        <v/>
      </c>
      <c r="P174" s="26" t="inlineStr"/>
    </row>
    <row r="175">
      <c r="A175" s="25" t="n">
        <v>1</v>
      </c>
      <c r="B175" s="25" t="inlineStr">
        <is>
          <t>GROUPE CEFIAT SALOMON (GCT)</t>
        </is>
      </c>
      <c r="C175" s="25" t="inlineStr">
        <is>
          <t>Abidjan - Plateau</t>
        </is>
      </c>
      <c r="D175" s="25" t="inlineStr">
        <is>
          <t>+225 27 20 21 01 21</t>
        </is>
      </c>
      <c r="E175" s="25" t="inlineStr"/>
      <c r="F175" s="25" t="inlineStr">
        <is>
          <t>groupecefiat@aviso.ci</t>
        </is>
      </c>
      <c r="G175" s="26" t="inlineStr"/>
      <c r="H175" s="26" t="inlineStr"/>
      <c r="I175" s="26" t="inlineStr">
        <is>
          <t>A contacter</t>
        </is>
      </c>
      <c r="J175" s="27" t="n"/>
      <c r="K175" s="26" t="n"/>
      <c r="L175" s="26" t="n">
        <v>1</v>
      </c>
      <c r="M175" s="26" t="n"/>
      <c r="N175" s="26" t="inlineStr"/>
      <c r="O175" s="28">
        <f>IF(OR($J175="",$K175="",$M175=""),"",($J175+IF(AND($L175&gt;=2,$J175=5000),3000,0))*$K175*$M175)</f>
        <v/>
      </c>
      <c r="P175" s="26" t="inlineStr"/>
    </row>
    <row r="176">
      <c r="A176" s="25" t="n">
        <v>1</v>
      </c>
      <c r="B176" s="25" t="inlineStr">
        <is>
          <t>GROUPE CONCORDET BINGERVILLE (ESGTC BINGERVILLE)</t>
        </is>
      </c>
      <c r="C176" s="25" t="inlineStr">
        <is>
          <t>Abidjan - Cocody</t>
        </is>
      </c>
      <c r="D176" s="25" t="inlineStr">
        <is>
          <t>+225 01 01 18 50 29</t>
        </is>
      </c>
      <c r="E176" s="25" t="inlineStr">
        <is>
          <t>+225 01 01 18 50 29</t>
        </is>
      </c>
      <c r="F176" s="25" t="inlineStr">
        <is>
          <t>groupeconcordet@gmail.com</t>
        </is>
      </c>
      <c r="G176" s="26" t="inlineStr"/>
      <c r="H176" s="26" t="inlineStr"/>
      <c r="I176" s="26" t="inlineStr">
        <is>
          <t>A contacter</t>
        </is>
      </c>
      <c r="J176" s="27" t="n"/>
      <c r="K176" s="26" t="n"/>
      <c r="L176" s="26" t="n">
        <v>1</v>
      </c>
      <c r="M176" s="26" t="n"/>
      <c r="N176" s="26" t="inlineStr"/>
      <c r="O176" s="28">
        <f>IF(OR($J176="",$K176="",$M176=""),"",($J176+IF(AND($L176&gt;=2,$J176=5000),3000,0))*$K176*$M176)</f>
        <v/>
      </c>
      <c r="P176" s="26" t="inlineStr"/>
    </row>
    <row r="177">
      <c r="A177" s="25" t="n">
        <v>1</v>
      </c>
      <c r="B177" s="25" t="inlineStr">
        <is>
          <t>GROUPE CONCORDET N'DOTRE (ESGTC N'DOTRE)</t>
        </is>
      </c>
      <c r="C177" s="25" t="inlineStr">
        <is>
          <t>Abidjan - Abobo</t>
        </is>
      </c>
      <c r="D177" s="25" t="inlineStr"/>
      <c r="E177" s="25" t="inlineStr"/>
      <c r="F177" s="25" t="inlineStr"/>
      <c r="G177" s="26" t="inlineStr"/>
      <c r="H177" s="26" t="inlineStr"/>
      <c r="I177" s="26" t="inlineStr">
        <is>
          <t>A contacter</t>
        </is>
      </c>
      <c r="J177" s="27" t="n"/>
      <c r="K177" s="26" t="n"/>
      <c r="L177" s="26" t="n">
        <v>1</v>
      </c>
      <c r="M177" s="26" t="n"/>
      <c r="N177" s="26" t="inlineStr"/>
      <c r="O177" s="28">
        <f>IF(OR($J177="",$K177="",$M177=""),"",($J177+IF(AND($L177&gt;=2,$J177=5000),3000,0))*$K177*$M177)</f>
        <v/>
      </c>
      <c r="P177" s="26" t="inlineStr"/>
    </row>
    <row r="178">
      <c r="A178" s="25" t="n">
        <v>1</v>
      </c>
      <c r="B178" s="25" t="inlineStr">
        <is>
          <t>GROUPE CONSEILS ET STRATEGIES INTERNATIONAL POLE POLYTECHNIQUE (GROUPE CSI PP)</t>
        </is>
      </c>
      <c r="C178" s="25" t="inlineStr">
        <is>
          <t>Abidjan - Cocody</t>
        </is>
      </c>
      <c r="D178" s="25" t="inlineStr">
        <is>
          <t>+225 27 22 49 49 39</t>
        </is>
      </c>
      <c r="E178" s="25" t="inlineStr"/>
      <c r="F178" s="25" t="inlineStr">
        <is>
          <t>infos@groupecsi-pp.org</t>
        </is>
      </c>
      <c r="G178" s="26" t="inlineStr"/>
      <c r="H178" s="26" t="inlineStr"/>
      <c r="I178" s="26" t="inlineStr">
        <is>
          <t>A contacter</t>
        </is>
      </c>
      <c r="J178" s="27" t="n"/>
      <c r="K178" s="26" t="n"/>
      <c r="L178" s="26" t="n">
        <v>1</v>
      </c>
      <c r="M178" s="26" t="n"/>
      <c r="N178" s="26" t="inlineStr"/>
      <c r="O178" s="28">
        <f>IF(OR($J178="",$K178="",$M178=""),"",($J178+IF(AND($L178&gt;=2,$J178=5000),3000,0))*$K178*$M178)</f>
        <v/>
      </c>
      <c r="P178" s="26" t="inlineStr"/>
    </row>
    <row r="179">
      <c r="A179" s="25" t="n">
        <v>1</v>
      </c>
      <c r="B179" s="25" t="inlineStr">
        <is>
          <t>Groupe CSI Pole Polytechnique</t>
        </is>
      </c>
      <c r="C179" s="25" t="inlineStr">
        <is>
          <t>Abidjan - Cocody Riviera Bonoumin</t>
        </is>
      </c>
      <c r="D179" s="25" t="inlineStr">
        <is>
          <t>+225 27 22 49 49 39</t>
        </is>
      </c>
      <c r="E179" s="25" t="inlineStr">
        <is>
          <t>+225 05 05 75 39 45</t>
        </is>
      </c>
      <c r="F179" s="25" t="inlineStr">
        <is>
          <t>info@groupecsi-pp.com</t>
        </is>
      </c>
      <c r="G179" s="26" t="inlineStr"/>
      <c r="H179" s="26" t="inlineStr"/>
      <c r="I179" s="26" t="inlineStr">
        <is>
          <t>A contacter</t>
        </is>
      </c>
      <c r="J179" s="27" t="n"/>
      <c r="K179" s="26" t="n"/>
      <c r="L179" s="26" t="n">
        <v>1</v>
      </c>
      <c r="M179" s="26" t="n"/>
      <c r="N179" s="26" t="inlineStr"/>
      <c r="O179" s="28">
        <f>IF(OR($J179="",$K179="",$M179=""),"",($J179+IF(AND($L179&gt;=2,$J179=5000),3000,0))*$K179*$M179)</f>
        <v/>
      </c>
      <c r="P179" s="26" t="inlineStr"/>
    </row>
    <row r="180">
      <c r="A180" s="25" t="n">
        <v>1</v>
      </c>
      <c r="B180" s="25" t="inlineStr">
        <is>
          <t>GROUPE D ENSEIGNEMENT SUPERIEUR ET PROFESSIONNEL D AGBE (GESSP)</t>
        </is>
      </c>
      <c r="C180" s="25" t="inlineStr">
        <is>
          <t>Abidjan - Abobo</t>
        </is>
      </c>
      <c r="D180" s="25" t="inlineStr">
        <is>
          <t>+225 01 01 05 35 63</t>
        </is>
      </c>
      <c r="E180" s="25" t="inlineStr">
        <is>
          <t>+225 01 01 05 35 63</t>
        </is>
      </c>
      <c r="F180" s="25" t="inlineStr">
        <is>
          <t>gesspci2020@gmail.com</t>
        </is>
      </c>
      <c r="G180" s="26" t="inlineStr"/>
      <c r="H180" s="26" t="inlineStr"/>
      <c r="I180" s="26" t="inlineStr">
        <is>
          <t>A contacter</t>
        </is>
      </c>
      <c r="J180" s="27" t="n"/>
      <c r="K180" s="26" t="n"/>
      <c r="L180" s="26" t="n">
        <v>1</v>
      </c>
      <c r="M180" s="26" t="n"/>
      <c r="N180" s="26" t="inlineStr"/>
      <c r="O180" s="28">
        <f>IF(OR($J180="",$K180="",$M180=""),"",($J180+IF(AND($L180&gt;=2,$J180=5000),3000,0))*$K180*$M180)</f>
        <v/>
      </c>
      <c r="P180" s="26" t="inlineStr"/>
    </row>
    <row r="181">
      <c r="A181" s="25" t="n">
        <v>1</v>
      </c>
      <c r="B181" s="25" t="inlineStr">
        <is>
          <t>GROUPE DE FORMATION EN COMMERCE ET GESTION DES ENTREPRISES YOPOUGON (GROUPE CGE YOPOUGON)</t>
        </is>
      </c>
      <c r="C181" s="25" t="inlineStr">
        <is>
          <t>Abidjan - Yopougon</t>
        </is>
      </c>
      <c r="D181" s="25" t="inlineStr">
        <is>
          <t>+225 27 21 77 34 80</t>
        </is>
      </c>
      <c r="E181" s="25" t="inlineStr">
        <is>
          <t>+225 05 46 64 88 23</t>
        </is>
      </c>
      <c r="F181" s="25" t="inlineStr">
        <is>
          <t>groupecge@yahoo.fr</t>
        </is>
      </c>
      <c r="G181" s="26" t="inlineStr"/>
      <c r="H181" s="26" t="inlineStr"/>
      <c r="I181" s="26" t="inlineStr">
        <is>
          <t>A contacter</t>
        </is>
      </c>
      <c r="J181" s="27" t="n"/>
      <c r="K181" s="26" t="n"/>
      <c r="L181" s="26" t="n">
        <v>1</v>
      </c>
      <c r="M181" s="26" t="n"/>
      <c r="N181" s="26" t="inlineStr"/>
      <c r="O181" s="28">
        <f>IF(OR($J181="",$K181="",$M181=""),"",($J181+IF(AND($L181&gt;=2,$J181=5000),3000,0))*$K181*$M181)</f>
        <v/>
      </c>
      <c r="P181" s="26" t="inlineStr"/>
    </row>
    <row r="182">
      <c r="A182" s="25" t="n">
        <v>1</v>
      </c>
      <c r="B182" s="25" t="inlineStr">
        <is>
          <t>GROUPE ECOLE DE TECHNOLOGIE ET DE COMMERCE PORT-BOUËT (GROUPE ETEC PORT-BOUËT)</t>
        </is>
      </c>
      <c r="C182" s="25" t="inlineStr">
        <is>
          <t>Abidjan - Port Bouet</t>
        </is>
      </c>
      <c r="D182" s="25" t="inlineStr">
        <is>
          <t>+225 07 77 94 52 92</t>
        </is>
      </c>
      <c r="E182" s="25" t="inlineStr">
        <is>
          <t>+225 07 77 94 52 92</t>
        </is>
      </c>
      <c r="F182" s="25" t="inlineStr">
        <is>
          <t>groupetec.getec@gmail.com</t>
        </is>
      </c>
      <c r="G182" s="26" t="inlineStr"/>
      <c r="H182" s="26" t="inlineStr"/>
      <c r="I182" s="26" t="inlineStr">
        <is>
          <t>A contacter</t>
        </is>
      </c>
      <c r="J182" s="27" t="n"/>
      <c r="K182" s="26" t="n"/>
      <c r="L182" s="26" t="n">
        <v>1</v>
      </c>
      <c r="M182" s="26" t="n"/>
      <c r="N182" s="26" t="inlineStr"/>
      <c r="O182" s="28">
        <f>IF(OR($J182="",$K182="",$M182=""),"",($J182+IF(AND($L182&gt;=2,$J182=5000),3000,0))*$K182*$M182)</f>
        <v/>
      </c>
      <c r="P182" s="26" t="inlineStr"/>
    </row>
    <row r="183">
      <c r="A183" s="25" t="n">
        <v>1</v>
      </c>
      <c r="B183" s="25" t="inlineStr">
        <is>
          <t>GROUPE ECOLE DE TECHNOLOGIE ET DE COMMERCE YOPOUGON (GROUPE ETEC YOPOUGON)</t>
        </is>
      </c>
      <c r="C183" s="25" t="inlineStr">
        <is>
          <t>Abidjan - Yopougon</t>
        </is>
      </c>
      <c r="D183" s="25" t="inlineStr">
        <is>
          <t>+225 07 57 78 44 81</t>
        </is>
      </c>
      <c r="E183" s="25" t="inlineStr">
        <is>
          <t>+225 07 57 78 44 81</t>
        </is>
      </c>
      <c r="F183" s="25" t="inlineStr"/>
      <c r="G183" s="26" t="inlineStr"/>
      <c r="H183" s="26" t="inlineStr"/>
      <c r="I183" s="26" t="inlineStr">
        <is>
          <t>A contacter</t>
        </is>
      </c>
      <c r="J183" s="27" t="n"/>
      <c r="K183" s="26" t="n"/>
      <c r="L183" s="26" t="n">
        <v>1</v>
      </c>
      <c r="M183" s="26" t="n"/>
      <c r="N183" s="26" t="inlineStr"/>
      <c r="O183" s="28">
        <f>IF(OR($J183="",$K183="",$M183=""),"",($J183+IF(AND($L183&gt;=2,$J183=5000),3000,0))*$K183*$M183)</f>
        <v/>
      </c>
      <c r="P183" s="26" t="inlineStr"/>
    </row>
    <row r="184">
      <c r="A184" s="25" t="n">
        <v>1</v>
      </c>
      <c r="B184" s="25" t="inlineStr">
        <is>
          <t>GROUPE ECOLE DES HAUTES ETUDES DE GESTION-ABIDJAN (GROUPE EDHEG ABIDJAN)</t>
        </is>
      </c>
      <c r="C184" s="25" t="inlineStr">
        <is>
          <t>Abidjan - Cocody</t>
        </is>
      </c>
      <c r="D184" s="25" t="inlineStr">
        <is>
          <t>+225 27 22 48 78 66</t>
        </is>
      </c>
      <c r="E184" s="25" t="inlineStr"/>
      <c r="F184" s="25" t="inlineStr">
        <is>
          <t>infos@gpeedhec-abidjan.com</t>
        </is>
      </c>
      <c r="G184" s="26" t="inlineStr"/>
      <c r="H184" s="26" t="inlineStr"/>
      <c r="I184" s="26" t="inlineStr">
        <is>
          <t>A contacter</t>
        </is>
      </c>
      <c r="J184" s="27" t="n"/>
      <c r="K184" s="26" t="n"/>
      <c r="L184" s="26" t="n">
        <v>1</v>
      </c>
      <c r="M184" s="26" t="n"/>
      <c r="N184" s="26" t="inlineStr"/>
      <c r="O184" s="28">
        <f>IF(OR($J184="",$K184="",$M184=""),"",($J184+IF(AND($L184&gt;=2,$J184=5000),3000,0))*$K184*$M184)</f>
        <v/>
      </c>
      <c r="P184" s="26" t="inlineStr"/>
    </row>
    <row r="185">
      <c r="A185" s="25" t="n">
        <v>1</v>
      </c>
      <c r="B185" s="25" t="inlineStr">
        <is>
          <t>GROUPE ECOLE DES PROFESSIONS D'AVENIR (GROUPE EPRA)</t>
        </is>
      </c>
      <c r="C185" s="25" t="inlineStr">
        <is>
          <t>Abidjan - Yopougon</t>
        </is>
      </c>
      <c r="D185" s="25" t="inlineStr"/>
      <c r="E185" s="25" t="inlineStr"/>
      <c r="F185" s="25" t="inlineStr">
        <is>
          <t>groupepra@gmail.com</t>
        </is>
      </c>
      <c r="G185" s="26" t="inlineStr"/>
      <c r="H185" s="26" t="inlineStr"/>
      <c r="I185" s="26" t="inlineStr">
        <is>
          <t>A contacter</t>
        </is>
      </c>
      <c r="J185" s="27" t="n"/>
      <c r="K185" s="26" t="n"/>
      <c r="L185" s="26" t="n">
        <v>1</v>
      </c>
      <c r="M185" s="26" t="n"/>
      <c r="N185" s="26" t="inlineStr"/>
      <c r="O185" s="28">
        <f>IF(OR($J185="",$K185="",$M185=""),"",($J185+IF(AND($L185&gt;=2,$J185=5000),3000,0))*$K185*$M185)</f>
        <v/>
      </c>
      <c r="P185" s="26" t="inlineStr"/>
    </row>
    <row r="186">
      <c r="A186" s="25" t="n">
        <v>1</v>
      </c>
      <c r="B186" s="25" t="inlineStr">
        <is>
          <t>GROUPE ECOLE DES SCIENCES APPLIQUEES ET GESTION DES ENTREPRISES D'ABIDJAN PLATEAU (GROUPE ESSA PLATEAU)</t>
        </is>
      </c>
      <c r="C186" s="25" t="inlineStr">
        <is>
          <t>Abidjan - Plateau</t>
        </is>
      </c>
      <c r="D186" s="25" t="inlineStr">
        <is>
          <t>+225 27 20 33 41 88</t>
        </is>
      </c>
      <c r="E186" s="25" t="inlineStr"/>
      <c r="F186" s="25" t="inlineStr">
        <is>
          <t>groupessa@yahoo.fr</t>
        </is>
      </c>
      <c r="G186" s="26" t="inlineStr"/>
      <c r="H186" s="26" t="inlineStr"/>
      <c r="I186" s="26" t="inlineStr">
        <is>
          <t>A contacter</t>
        </is>
      </c>
      <c r="J186" s="27" t="n"/>
      <c r="K186" s="26" t="n"/>
      <c r="L186" s="26" t="n">
        <v>1</v>
      </c>
      <c r="M186" s="26" t="n"/>
      <c r="N186" s="26" t="inlineStr"/>
      <c r="O186" s="28">
        <f>IF(OR($J186="",$K186="",$M186=""),"",($J186+IF(AND($L186&gt;=2,$J186=5000),3000,0))*$K186*$M186)</f>
        <v/>
      </c>
      <c r="P186" s="26" t="inlineStr"/>
    </row>
    <row r="187">
      <c r="A187" s="25" t="n">
        <v>1</v>
      </c>
      <c r="B187" s="25" t="inlineStr">
        <is>
          <t>GROUPE ECOLE ENTREPRISE EMPLOI PLATEAU (GROUPE 3E PLATEAU)</t>
        </is>
      </c>
      <c r="C187" s="25" t="inlineStr">
        <is>
          <t>Abidjan - Plateau</t>
        </is>
      </c>
      <c r="D187" s="25" t="inlineStr"/>
      <c r="E187" s="25" t="inlineStr"/>
      <c r="F187" s="25" t="inlineStr"/>
      <c r="G187" s="26" t="inlineStr"/>
      <c r="H187" s="26" t="inlineStr"/>
      <c r="I187" s="26" t="inlineStr">
        <is>
          <t>A contacter</t>
        </is>
      </c>
      <c r="J187" s="27" t="n"/>
      <c r="K187" s="26" t="n"/>
      <c r="L187" s="26" t="n">
        <v>1</v>
      </c>
      <c r="M187" s="26" t="n"/>
      <c r="N187" s="26" t="inlineStr"/>
      <c r="O187" s="28">
        <f>IF(OR($J187="",$K187="",$M187=""),"",($J187+IF(AND($L187&gt;=2,$J187=5000),3000,0))*$K187*$M187)</f>
        <v/>
      </c>
      <c r="P187" s="26" t="inlineStr"/>
    </row>
    <row r="188">
      <c r="A188" s="25" t="n">
        <v>1</v>
      </c>
      <c r="B188" s="25" t="inlineStr">
        <is>
          <t>GROUPE ECOLE ENTREPRISE EMPLOI YOPOUGON (GROUPE 3E YOPOUGON)</t>
        </is>
      </c>
      <c r="C188" s="25" t="inlineStr">
        <is>
          <t>Abidjan - Yopougon</t>
        </is>
      </c>
      <c r="D188" s="25" t="inlineStr">
        <is>
          <t>+225 07 09 30 60 20</t>
        </is>
      </c>
      <c r="E188" s="25" t="inlineStr">
        <is>
          <t>+225 07 09 30 60 20</t>
        </is>
      </c>
      <c r="F188" s="25" t="inlineStr">
        <is>
          <t>groupe3e.afrique@gmail.com</t>
        </is>
      </c>
      <c r="G188" s="26" t="inlineStr"/>
      <c r="H188" s="26" t="inlineStr"/>
      <c r="I188" s="26" t="inlineStr">
        <is>
          <t>A contacter</t>
        </is>
      </c>
      <c r="J188" s="27" t="n"/>
      <c r="K188" s="26" t="n"/>
      <c r="L188" s="26" t="n">
        <v>1</v>
      </c>
      <c r="M188" s="26" t="n"/>
      <c r="N188" s="26" t="inlineStr"/>
      <c r="O188" s="28">
        <f>IF(OR($J188="",$K188="",$M188=""),"",($J188+IF(AND($L188&gt;=2,$J188=5000),3000,0))*$K188*$M188)</f>
        <v/>
      </c>
      <c r="P188" s="26" t="inlineStr"/>
    </row>
    <row r="189">
      <c r="A189" s="25" t="n">
        <v>1</v>
      </c>
      <c r="B189" s="25" t="inlineStr">
        <is>
          <t>GROUPE ECOLE N'GUETTIA (GEN)</t>
        </is>
      </c>
      <c r="C189" s="25" t="inlineStr">
        <is>
          <t>Abidjan - Port Bouet</t>
        </is>
      </c>
      <c r="D189" s="25" t="inlineStr">
        <is>
          <t>+225 07 59 93 31 10</t>
        </is>
      </c>
      <c r="E189" s="25" t="inlineStr">
        <is>
          <t>+225 07 59 93 31 10</t>
        </is>
      </c>
      <c r="F189" s="25" t="inlineStr"/>
      <c r="G189" s="26" t="inlineStr"/>
      <c r="H189" s="26" t="inlineStr"/>
      <c r="I189" s="26" t="inlineStr">
        <is>
          <t>A contacter</t>
        </is>
      </c>
      <c r="J189" s="27" t="n"/>
      <c r="K189" s="26" t="n"/>
      <c r="L189" s="26" t="n">
        <v>1</v>
      </c>
      <c r="M189" s="26" t="n"/>
      <c r="N189" s="26" t="inlineStr"/>
      <c r="O189" s="28">
        <f>IF(OR($J189="",$K189="",$M189=""),"",($J189+IF(AND($L189&gt;=2,$J189=5000),3000,0))*$K189*$M189)</f>
        <v/>
      </c>
      <c r="P189" s="26" t="inlineStr"/>
    </row>
    <row r="190">
      <c r="A190" s="25" t="n">
        <v>1</v>
      </c>
      <c r="B190" s="25" t="inlineStr">
        <is>
          <t>GROUPE ECOLE SUPERIEURE DE COMMERCE DE GESTION ET DE TECHNOLOGIE COCODY (GROUPE ESCOGET COCODY)</t>
        </is>
      </c>
      <c r="C190" s="25" t="inlineStr">
        <is>
          <t>Abidjan - Cocody</t>
        </is>
      </c>
      <c r="D190" s="25" t="inlineStr">
        <is>
          <t>+225 27 22 49 49 53</t>
        </is>
      </c>
      <c r="E190" s="25" t="inlineStr"/>
      <c r="F190" s="25" t="inlineStr">
        <is>
          <t>info@groupescoget.com</t>
        </is>
      </c>
      <c r="G190" s="26" t="inlineStr"/>
      <c r="H190" s="26" t="inlineStr"/>
      <c r="I190" s="26" t="inlineStr">
        <is>
          <t>A contacter</t>
        </is>
      </c>
      <c r="J190" s="27" t="n"/>
      <c r="K190" s="26" t="n"/>
      <c r="L190" s="26" t="n">
        <v>1</v>
      </c>
      <c r="M190" s="26" t="n"/>
      <c r="N190" s="26" t="inlineStr"/>
      <c r="O190" s="28">
        <f>IF(OR($J190="",$K190="",$M190=""),"",($J190+IF(AND($L190&gt;=2,$J190=5000),3000,0))*$K190*$M190)</f>
        <v/>
      </c>
      <c r="P190" s="26" t="inlineStr"/>
    </row>
    <row r="191">
      <c r="A191" s="25" t="n">
        <v>1</v>
      </c>
      <c r="B191" s="25" t="inlineStr">
        <is>
          <t>GROUPE ECOLE SUPERIEURE DE COMMERCE DE GESTION ET DE TECHNOLOGIE PLATEAU (GROUPE ESCOGET PLATEAU)</t>
        </is>
      </c>
      <c r="C191" s="25" t="inlineStr">
        <is>
          <t>Abidjan - Plateau</t>
        </is>
      </c>
      <c r="D191" s="25" t="inlineStr">
        <is>
          <t>+225 27 20 32 20 63</t>
        </is>
      </c>
      <c r="E191" s="25" t="inlineStr"/>
      <c r="F191" s="25" t="inlineStr">
        <is>
          <t>infoplateau@groupescoget.com</t>
        </is>
      </c>
      <c r="G191" s="26" t="inlineStr"/>
      <c r="H191" s="26" t="inlineStr"/>
      <c r="I191" s="26" t="inlineStr">
        <is>
          <t>A contacter</t>
        </is>
      </c>
      <c r="J191" s="27" t="n"/>
      <c r="K191" s="26" t="n"/>
      <c r="L191" s="26" t="n">
        <v>1</v>
      </c>
      <c r="M191" s="26" t="n"/>
      <c r="N191" s="26" t="inlineStr"/>
      <c r="O191" s="28">
        <f>IF(OR($J191="",$K191="",$M191=""),"",($J191+IF(AND($L191&gt;=2,$J191=5000),3000,0))*$K191*$M191)</f>
        <v/>
      </c>
      <c r="P191" s="26" t="inlineStr"/>
    </row>
    <row r="192">
      <c r="A192" s="25" t="n">
        <v>1</v>
      </c>
      <c r="B192" s="25" t="inlineStr">
        <is>
          <t>GROUPE ECOLE SUPERIEURE INTERNATIONALE DE LA FORMATION PROFESSIONNELLE (GROUPE ESIFOP)</t>
        </is>
      </c>
      <c r="C192" s="25" t="inlineStr">
        <is>
          <t>Abidjan - Yopougon</t>
        </is>
      </c>
      <c r="D192" s="25" t="inlineStr">
        <is>
          <t>+225 05 05 92 89 29</t>
        </is>
      </c>
      <c r="E192" s="25" t="inlineStr">
        <is>
          <t>+225 05 05 92 89 29</t>
        </is>
      </c>
      <c r="F192" s="25" t="inlineStr"/>
      <c r="G192" s="26" t="inlineStr"/>
      <c r="H192" s="26" t="inlineStr"/>
      <c r="I192" s="26" t="inlineStr">
        <is>
          <t>A contacter</t>
        </is>
      </c>
      <c r="J192" s="27" t="n"/>
      <c r="K192" s="26" t="n"/>
      <c r="L192" s="26" t="n">
        <v>1</v>
      </c>
      <c r="M192" s="26" t="n"/>
      <c r="N192" s="26" t="inlineStr"/>
      <c r="O192" s="28">
        <f>IF(OR($J192="",$K192="",$M192=""),"",($J192+IF(AND($L192&gt;=2,$J192=5000),3000,0))*$K192*$M192)</f>
        <v/>
      </c>
      <c r="P192" s="26" t="inlineStr"/>
    </row>
    <row r="193">
      <c r="A193" s="25" t="n">
        <v>1</v>
      </c>
      <c r="B193" s="25" t="inlineStr">
        <is>
          <t>GROUPE ECOLES BETHEL (GEB)</t>
        </is>
      </c>
      <c r="C193" s="25" t="inlineStr">
        <is>
          <t>Abidjan - Riviera</t>
        </is>
      </c>
      <c r="D193" s="25" t="inlineStr">
        <is>
          <t>+225 27 22 49 21 41</t>
        </is>
      </c>
      <c r="E193" s="25" t="inlineStr"/>
      <c r="F193" s="25" t="inlineStr">
        <is>
          <t>groupecolebethel@gmail.com</t>
        </is>
      </c>
      <c r="G193" s="26" t="inlineStr"/>
      <c r="H193" s="26" t="inlineStr"/>
      <c r="I193" s="26" t="inlineStr">
        <is>
          <t>A contacter</t>
        </is>
      </c>
      <c r="J193" s="27" t="n"/>
      <c r="K193" s="26" t="n"/>
      <c r="L193" s="26" t="n">
        <v>1</v>
      </c>
      <c r="M193" s="26" t="n"/>
      <c r="N193" s="26" t="inlineStr"/>
      <c r="O193" s="28">
        <f>IF(OR($J193="",$K193="",$M193=""),"",($J193+IF(AND($L193&gt;=2,$J193=5000),3000,0))*$K193*$M193)</f>
        <v/>
      </c>
      <c r="P193" s="26" t="inlineStr"/>
    </row>
    <row r="194">
      <c r="A194" s="25" t="n">
        <v>1</v>
      </c>
      <c r="B194" s="25" t="inlineStr">
        <is>
          <t>GROUPE ESC ABIDJAN</t>
        </is>
      </c>
      <c r="C194" s="25" t="inlineStr">
        <is>
          <t>Abidjan - Cocody</t>
        </is>
      </c>
      <c r="D194" s="25" t="inlineStr">
        <is>
          <t>+225 27 22 48 89 95</t>
        </is>
      </c>
      <c r="E194" s="25" t="inlineStr"/>
      <c r="F194" s="25" t="inlineStr">
        <is>
          <t>escabidjan@gmail.com</t>
        </is>
      </c>
      <c r="G194" s="26" t="inlineStr"/>
      <c r="H194" s="26" t="inlineStr"/>
      <c r="I194" s="26" t="inlineStr">
        <is>
          <t>A contacter</t>
        </is>
      </c>
      <c r="J194" s="27" t="n"/>
      <c r="K194" s="26" t="n"/>
      <c r="L194" s="26" t="n">
        <v>1</v>
      </c>
      <c r="M194" s="26" t="n"/>
      <c r="N194" s="26" t="inlineStr"/>
      <c r="O194" s="28">
        <f>IF(OR($J194="",$K194="",$M194=""),"",($J194+IF(AND($L194&gt;=2,$J194=5000),3000,0))*$K194*$M194)</f>
        <v/>
      </c>
      <c r="P194" s="26" t="inlineStr"/>
    </row>
    <row r="195">
      <c r="A195" s="25" t="n">
        <v>1</v>
      </c>
      <c r="B195" s="25" t="inlineStr">
        <is>
          <t>Groupe ESK - Ecole Superieure de Commerce et de Gestion</t>
        </is>
      </c>
      <c r="C195" s="25" t="inlineStr">
        <is>
          <t>Abidjan - Cocody Angre Deux-Plateaux</t>
        </is>
      </c>
      <c r="D195" s="25" t="inlineStr">
        <is>
          <t>+225 27 22 42 17 26</t>
        </is>
      </c>
      <c r="E195" s="25" t="inlineStr"/>
      <c r="F195" s="25" t="inlineStr">
        <is>
          <t>groupeeskabidjan@yahoo.fr</t>
        </is>
      </c>
      <c r="G195" s="26" t="inlineStr"/>
      <c r="H195" s="26" t="inlineStr"/>
      <c r="I195" s="26" t="inlineStr">
        <is>
          <t>A contacter</t>
        </is>
      </c>
      <c r="J195" s="27" t="n"/>
      <c r="K195" s="26" t="n"/>
      <c r="L195" s="26" t="n">
        <v>1</v>
      </c>
      <c r="M195" s="26" t="n"/>
      <c r="N195" s="26" t="inlineStr"/>
      <c r="O195" s="28">
        <f>IF(OR($J195="",$K195="",$M195=""),"",($J195+IF(AND($L195&gt;=2,$J195=5000),3000,0))*$K195*$M195)</f>
        <v/>
      </c>
      <c r="P195" s="26" t="inlineStr"/>
    </row>
    <row r="196">
      <c r="A196" s="25" t="n">
        <v>1</v>
      </c>
      <c r="B196" s="25" t="inlineStr">
        <is>
          <t>Groupe ETP-ESMIT</t>
        </is>
      </c>
      <c r="C196" s="25" t="inlineStr">
        <is>
          <t>Abidjan Yopougon</t>
        </is>
      </c>
      <c r="D196" s="25" t="inlineStr">
        <is>
          <t>+225 07 08 08 89 80</t>
        </is>
      </c>
      <c r="E196" s="25" t="inlineStr">
        <is>
          <t>+225 07 08 08 89 80</t>
        </is>
      </c>
      <c r="F196" s="25" t="inlineStr">
        <is>
          <t>groupe.esmit@gmail.com</t>
        </is>
      </c>
      <c r="G196" s="26" t="inlineStr"/>
      <c r="H196" s="26" t="inlineStr"/>
      <c r="I196" s="26" t="inlineStr">
        <is>
          <t>A contacter</t>
        </is>
      </c>
      <c r="J196" s="27" t="n"/>
      <c r="K196" s="26" t="n"/>
      <c r="L196" s="26" t="n">
        <v>1</v>
      </c>
      <c r="M196" s="26" t="n"/>
      <c r="N196" s="26" t="inlineStr"/>
      <c r="O196" s="28">
        <f>IF(OR($J196="",$K196="",$M196=""),"",($J196+IF(AND($L196&gt;=2,$J196=5000),3000,0))*$K196*$M196)</f>
        <v/>
      </c>
      <c r="P196" s="26" t="inlineStr"/>
    </row>
    <row r="197">
      <c r="A197" s="25" t="n">
        <v>1</v>
      </c>
      <c r="B197" s="25" t="inlineStr">
        <is>
          <t>GROUPE EXPERT METIER SA (GEM SA)</t>
        </is>
      </c>
      <c r="C197" s="25" t="inlineStr">
        <is>
          <t>Abidjan - Cocody</t>
        </is>
      </c>
      <c r="D197" s="25" t="inlineStr">
        <is>
          <t>+225 07 77 76 07 27</t>
        </is>
      </c>
      <c r="E197" s="25" t="inlineStr">
        <is>
          <t>+225 07 77 76 07 27</t>
        </is>
      </c>
      <c r="F197" s="25" t="inlineStr">
        <is>
          <t>contact@embs-ci.com</t>
        </is>
      </c>
      <c r="G197" s="26" t="inlineStr"/>
      <c r="H197" s="26" t="inlineStr"/>
      <c r="I197" s="26" t="inlineStr">
        <is>
          <t>A contacter</t>
        </is>
      </c>
      <c r="J197" s="27" t="n"/>
      <c r="K197" s="26" t="n"/>
      <c r="L197" s="26" t="n">
        <v>1</v>
      </c>
      <c r="M197" s="26" t="n"/>
      <c r="N197" s="26" t="inlineStr"/>
      <c r="O197" s="28">
        <f>IF(OR($J197="",$K197="",$M197=""),"",($J197+IF(AND($L197&gt;=2,$J197=5000),3000,0))*$K197*$M197)</f>
        <v/>
      </c>
      <c r="P197" s="26" t="inlineStr"/>
    </row>
    <row r="198">
      <c r="A198" s="25" t="n">
        <v>1</v>
      </c>
      <c r="B198" s="25" t="inlineStr">
        <is>
          <t>GROUPE INSTEC</t>
        </is>
      </c>
      <c r="C198" s="25" t="inlineStr">
        <is>
          <t>Abidjan - Treichville</t>
        </is>
      </c>
      <c r="D198" s="25" t="inlineStr">
        <is>
          <t>+225 27 21 24 91 42</t>
        </is>
      </c>
      <c r="E198" s="25" t="inlineStr"/>
      <c r="F198" s="25" t="inlineStr">
        <is>
          <t>info@gr-instec.net</t>
        </is>
      </c>
      <c r="G198" s="26" t="inlineStr"/>
      <c r="H198" s="26" t="inlineStr"/>
      <c r="I198" s="26" t="inlineStr">
        <is>
          <t>A contacter</t>
        </is>
      </c>
      <c r="J198" s="27" t="n"/>
      <c r="K198" s="26" t="n"/>
      <c r="L198" s="26" t="n">
        <v>1</v>
      </c>
      <c r="M198" s="26" t="n"/>
      <c r="N198" s="26" t="inlineStr"/>
      <c r="O198" s="28">
        <f>IF(OR($J198="",$K198="",$M198=""),"",($J198+IF(AND($L198&gt;=2,$J198=5000),3000,0))*$K198*$M198)</f>
        <v/>
      </c>
      <c r="P198" s="26" t="inlineStr"/>
    </row>
    <row r="199">
      <c r="A199" s="25" t="n">
        <v>1</v>
      </c>
      <c r="B199" s="25" t="inlineStr">
        <is>
          <t>GROUPE INTELLECT FORMATION D'ANYAMA (GIFS)</t>
        </is>
      </c>
      <c r="C199" s="25" t="inlineStr">
        <is>
          <t>Abidjan - Anyama</t>
        </is>
      </c>
      <c r="D199" s="25" t="inlineStr">
        <is>
          <t>+225 25 23 00 00 00</t>
        </is>
      </c>
      <c r="E199" s="25" t="inlineStr">
        <is>
          <t>+225 05 85 35 89 89</t>
        </is>
      </c>
      <c r="F199" s="25" t="inlineStr">
        <is>
          <t>allianceabidjan@gmail.com</t>
        </is>
      </c>
      <c r="G199" s="26" t="inlineStr"/>
      <c r="H199" s="26" t="inlineStr"/>
      <c r="I199" s="26" t="inlineStr">
        <is>
          <t>A contacter</t>
        </is>
      </c>
      <c r="J199" s="27" t="n"/>
      <c r="K199" s="26" t="n"/>
      <c r="L199" s="26" t="n">
        <v>1</v>
      </c>
      <c r="M199" s="26" t="n"/>
      <c r="N199" s="26" t="inlineStr"/>
      <c r="O199" s="28">
        <f>IF(OR($J199="",$K199="",$M199=""),"",($J199+IF(AND($L199&gt;=2,$J199=5000),3000,0))*$K199*$M199)</f>
        <v/>
      </c>
      <c r="P199" s="26" t="inlineStr"/>
    </row>
    <row r="200">
      <c r="A200" s="25" t="n">
        <v>1</v>
      </c>
      <c r="B200" s="25" t="inlineStr">
        <is>
          <t>GROUPE ITA-INGENIERIE SA 2 PLATEAUX (G2I 2 PLATEAUX)</t>
        </is>
      </c>
      <c r="C200" s="25" t="inlineStr">
        <is>
          <t>Abidjan - Cocody</t>
        </is>
      </c>
      <c r="D200" s="25" t="inlineStr">
        <is>
          <t>+225 07 07 31 44 39</t>
        </is>
      </c>
      <c r="E200" s="25" t="inlineStr">
        <is>
          <t>+225 07 07 31 44 39</t>
        </is>
      </c>
      <c r="F200" s="25" t="inlineStr"/>
      <c r="G200" s="26" t="inlineStr"/>
      <c r="H200" s="26" t="inlineStr"/>
      <c r="I200" s="26" t="inlineStr">
        <is>
          <t>A contacter</t>
        </is>
      </c>
      <c r="J200" s="27" t="n"/>
      <c r="K200" s="26" t="n"/>
      <c r="L200" s="26" t="n">
        <v>1</v>
      </c>
      <c r="M200" s="26" t="n"/>
      <c r="N200" s="26" t="inlineStr"/>
      <c r="O200" s="28">
        <f>IF(OR($J200="",$K200="",$M200=""),"",($J200+IF(AND($L200&gt;=2,$J200=5000),3000,0))*$K200*$M200)</f>
        <v/>
      </c>
      <c r="P200" s="26" t="inlineStr"/>
    </row>
    <row r="201">
      <c r="A201" s="25" t="n">
        <v>1</v>
      </c>
      <c r="B201" s="25" t="inlineStr">
        <is>
          <t>GROUPE ITA-INGENIERIE SA ANTENNE YOPOUGON (G2I YOPOUGON)</t>
        </is>
      </c>
      <c r="C201" s="25" t="inlineStr">
        <is>
          <t>Abidjan - Yopougon</t>
        </is>
      </c>
      <c r="D201" s="25" t="inlineStr">
        <is>
          <t>+225 07 08 11 86 87</t>
        </is>
      </c>
      <c r="E201" s="25" t="inlineStr">
        <is>
          <t>+225 07 08 11 86 87</t>
        </is>
      </c>
      <c r="F201" s="25" t="inlineStr">
        <is>
          <t>coolpetenapy@gmail.com</t>
        </is>
      </c>
      <c r="G201" s="26" t="inlineStr"/>
      <c r="H201" s="26" t="inlineStr"/>
      <c r="I201" s="26" t="inlineStr">
        <is>
          <t>A contacter</t>
        </is>
      </c>
      <c r="J201" s="27" t="n"/>
      <c r="K201" s="26" t="n"/>
      <c r="L201" s="26" t="n">
        <v>1</v>
      </c>
      <c r="M201" s="26" t="n"/>
      <c r="N201" s="26" t="inlineStr"/>
      <c r="O201" s="28">
        <f>IF(OR($J201="",$K201="",$M201=""),"",($J201+IF(AND($L201&gt;=2,$J201=5000),3000,0))*$K201*$M201)</f>
        <v/>
      </c>
      <c r="P201" s="26" t="inlineStr"/>
    </row>
    <row r="202">
      <c r="A202" s="25" t="n">
        <v>1</v>
      </c>
      <c r="B202" s="25" t="inlineStr">
        <is>
          <t>GROUPE ITA-INGENIERIE SA MARCORY (G2I MARCORY)</t>
        </is>
      </c>
      <c r="C202" s="25" t="inlineStr">
        <is>
          <t>Abidjan - Marcory</t>
        </is>
      </c>
      <c r="D202" s="25" t="inlineStr">
        <is>
          <t>+225 07 07 31 44 39</t>
        </is>
      </c>
      <c r="E202" s="25" t="inlineStr">
        <is>
          <t>+225 07 07 31 44 39</t>
        </is>
      </c>
      <c r="F202" s="25" t="inlineStr">
        <is>
          <t>fofanamory2@gmail.com</t>
        </is>
      </c>
      <c r="G202" s="26" t="inlineStr"/>
      <c r="H202" s="26" t="inlineStr"/>
      <c r="I202" s="26" t="inlineStr">
        <is>
          <t>A contacter</t>
        </is>
      </c>
      <c r="J202" s="27" t="n"/>
      <c r="K202" s="26" t="n"/>
      <c r="L202" s="26" t="n">
        <v>1</v>
      </c>
      <c r="M202" s="26" t="n"/>
      <c r="N202" s="26" t="inlineStr"/>
      <c r="O202" s="28">
        <f>IF(OR($J202="",$K202="",$M202=""),"",($J202+IF(AND($L202&gt;=2,$J202=5000),3000,0))*$K202*$M202)</f>
        <v/>
      </c>
      <c r="P202" s="26" t="inlineStr"/>
    </row>
    <row r="203">
      <c r="A203" s="25" t="n">
        <v>1</v>
      </c>
      <c r="B203" s="25" t="inlineStr">
        <is>
          <t>GROUPE ITA-INGENIERIE SA RIVIERA (G2I RIVIERA)</t>
        </is>
      </c>
      <c r="C203" s="25" t="inlineStr">
        <is>
          <t>Abidjan - Cocody</t>
        </is>
      </c>
      <c r="D203" s="25" t="inlineStr">
        <is>
          <t>+225 07 49 52 00 59</t>
        </is>
      </c>
      <c r="E203" s="25" t="inlineStr">
        <is>
          <t>+225 07 49 52 00 59</t>
        </is>
      </c>
      <c r="F203" s="25" t="inlineStr"/>
      <c r="G203" s="26" t="inlineStr"/>
      <c r="H203" s="26" t="inlineStr"/>
      <c r="I203" s="26" t="inlineStr">
        <is>
          <t>A contacter</t>
        </is>
      </c>
      <c r="J203" s="27" t="n"/>
      <c r="K203" s="26" t="n"/>
      <c r="L203" s="26" t="n">
        <v>1</v>
      </c>
      <c r="M203" s="26" t="n"/>
      <c r="N203" s="26" t="inlineStr"/>
      <c r="O203" s="28">
        <f>IF(OR($J203="",$K203="",$M203=""),"",($J203+IF(AND($L203&gt;=2,$J203=5000),3000,0))*$K203*$M203)</f>
        <v/>
      </c>
      <c r="P203" s="26" t="inlineStr"/>
    </row>
    <row r="204">
      <c r="A204" s="25" t="n">
        <v>1</v>
      </c>
      <c r="B204" s="25" t="inlineStr">
        <is>
          <t>GROUPE ITA-INGENIERIE SA YOPOUGON (G2I YOPOUGON)</t>
        </is>
      </c>
      <c r="C204" s="25" t="inlineStr">
        <is>
          <t>Abidjan - Yopougon</t>
        </is>
      </c>
      <c r="D204" s="25" t="inlineStr">
        <is>
          <t>+225 07 08 11 86 87</t>
        </is>
      </c>
      <c r="E204" s="25" t="inlineStr">
        <is>
          <t>+225 07 08 11 86 87</t>
        </is>
      </c>
      <c r="F204" s="25" t="inlineStr"/>
      <c r="G204" s="26" t="inlineStr"/>
      <c r="H204" s="26" t="inlineStr"/>
      <c r="I204" s="26" t="inlineStr">
        <is>
          <t>A contacter</t>
        </is>
      </c>
      <c r="J204" s="27" t="n"/>
      <c r="K204" s="26" t="n"/>
      <c r="L204" s="26" t="n">
        <v>1</v>
      </c>
      <c r="M204" s="26" t="n"/>
      <c r="N204" s="26" t="inlineStr"/>
      <c r="O204" s="28">
        <f>IF(OR($J204="",$K204="",$M204=""),"",($J204+IF(AND($L204&gt;=2,$J204=5000),3000,0))*$K204*$M204)</f>
        <v/>
      </c>
      <c r="P204" s="26" t="inlineStr"/>
    </row>
    <row r="205">
      <c r="A205" s="25" t="n">
        <v>1</v>
      </c>
      <c r="B205" s="25" t="inlineStr">
        <is>
          <t>GROUPE IVOIRE ACADEMIE (GIA)</t>
        </is>
      </c>
      <c r="C205" s="25" t="inlineStr">
        <is>
          <t>Abidjan - Yopougon</t>
        </is>
      </c>
      <c r="D205" s="25" t="inlineStr">
        <is>
          <t>+225 27 22 41 73 90</t>
        </is>
      </c>
      <c r="E205" s="25" t="inlineStr"/>
      <c r="F205" s="25" t="inlineStr">
        <is>
          <t>ivoire.academie@yahoo.com</t>
        </is>
      </c>
      <c r="G205" s="26" t="inlineStr"/>
      <c r="H205" s="26" t="inlineStr"/>
      <c r="I205" s="26" t="inlineStr">
        <is>
          <t>A contacter</t>
        </is>
      </c>
      <c r="J205" s="27" t="n"/>
      <c r="K205" s="26" t="n"/>
      <c r="L205" s="26" t="n">
        <v>1</v>
      </c>
      <c r="M205" s="26" t="n"/>
      <c r="N205" s="26" t="inlineStr"/>
      <c r="O205" s="28">
        <f>IF(OR($J205="",$K205="",$M205=""),"",($J205+IF(AND($L205&gt;=2,$J205=5000),3000,0))*$K205*$M205)</f>
        <v/>
      </c>
      <c r="P205" s="26" t="inlineStr"/>
    </row>
    <row r="206">
      <c r="A206" s="25" t="n">
        <v>1</v>
      </c>
      <c r="B206" s="25" t="inlineStr">
        <is>
          <t>Groupe LOKO (UTT / ISTTA / EST-LOKO)</t>
        </is>
      </c>
      <c r="C206" s="25" t="inlineStr">
        <is>
          <t>Abidjan - Marcory, Yopougon</t>
        </is>
      </c>
      <c r="D206" s="25" t="inlineStr">
        <is>
          <t>+225 27 21 75 29 90</t>
        </is>
      </c>
      <c r="E206" s="25" t="inlineStr">
        <is>
          <t>+225 01 60 99 50 81</t>
        </is>
      </c>
      <c r="F206" s="25" t="inlineStr">
        <is>
          <t>infos@groupeloko.com</t>
        </is>
      </c>
      <c r="G206" s="26" t="inlineStr"/>
      <c r="H206" s="26" t="inlineStr"/>
      <c r="I206" s="26" t="inlineStr">
        <is>
          <t>A contacter</t>
        </is>
      </c>
      <c r="J206" s="27" t="n"/>
      <c r="K206" s="26" t="n"/>
      <c r="L206" s="26" t="n">
        <v>1</v>
      </c>
      <c r="M206" s="26" t="n"/>
      <c r="N206" s="26" t="inlineStr"/>
      <c r="O206" s="28">
        <f>IF(OR($J206="",$K206="",$M206=""),"",($J206+IF(AND($L206&gt;=2,$J206=5000),3000,0))*$K206*$M206)</f>
        <v/>
      </c>
      <c r="P206" s="26" t="inlineStr"/>
    </row>
    <row r="207">
      <c r="A207" s="25" t="n">
        <v>1</v>
      </c>
      <c r="B207" s="25" t="inlineStr">
        <is>
          <t>GROUPE MAAXIT ABIDJAN (GMA)</t>
        </is>
      </c>
      <c r="C207" s="25" t="inlineStr">
        <is>
          <t>Abidjan - Duekoue</t>
        </is>
      </c>
      <c r="D207" s="25" t="inlineStr">
        <is>
          <t>+225 27 23 00 12 28</t>
        </is>
      </c>
      <c r="E207" s="25" t="inlineStr"/>
      <c r="F207" s="25" t="inlineStr">
        <is>
          <t>groupemaxxit@gmail.com</t>
        </is>
      </c>
      <c r="G207" s="26" t="inlineStr"/>
      <c r="H207" s="26" t="inlineStr"/>
      <c r="I207" s="26" t="inlineStr">
        <is>
          <t>A contacter</t>
        </is>
      </c>
      <c r="J207" s="27" t="n"/>
      <c r="K207" s="26" t="n"/>
      <c r="L207" s="26" t="n">
        <v>1</v>
      </c>
      <c r="M207" s="26" t="n"/>
      <c r="N207" s="26" t="inlineStr"/>
      <c r="O207" s="28">
        <f>IF(OR($J207="",$K207="",$M207=""),"",($J207+IF(AND($L207&gt;=2,$J207=5000),3000,0))*$K207*$M207)</f>
        <v/>
      </c>
      <c r="P207" s="26" t="inlineStr"/>
    </row>
    <row r="208">
      <c r="A208" s="25" t="n">
        <v>1</v>
      </c>
      <c r="B208" s="25" t="inlineStr">
        <is>
          <t>GROUPE MGS</t>
        </is>
      </c>
      <c r="C208" s="25" t="inlineStr">
        <is>
          <t>Abidjan - Bonoua</t>
        </is>
      </c>
      <c r="D208" s="25" t="inlineStr">
        <is>
          <t>+225 27 21 30 00 19</t>
        </is>
      </c>
      <c r="E208" s="25" t="inlineStr"/>
      <c r="F208" s="25" t="inlineStr">
        <is>
          <t>groupmgsformation@gmail.com</t>
        </is>
      </c>
      <c r="G208" s="26" t="inlineStr"/>
      <c r="H208" s="26" t="inlineStr"/>
      <c r="I208" s="26" t="inlineStr">
        <is>
          <t>A contacter</t>
        </is>
      </c>
      <c r="J208" s="27" t="n"/>
      <c r="K208" s="26" t="n"/>
      <c r="L208" s="26" t="n">
        <v>1</v>
      </c>
      <c r="M208" s="26" t="n"/>
      <c r="N208" s="26" t="inlineStr"/>
      <c r="O208" s="28">
        <f>IF(OR($J208="",$K208="",$M208=""),"",($J208+IF(AND($L208&gt;=2,$J208=5000),3000,0))*$K208*$M208)</f>
        <v/>
      </c>
      <c r="P208" s="26" t="inlineStr"/>
    </row>
    <row r="209">
      <c r="A209" s="25" t="n">
        <v>1</v>
      </c>
      <c r="B209" s="25" t="inlineStr">
        <is>
          <t>GROUPE ONYX EXCELLENCE PLATEAU (GOEP)</t>
        </is>
      </c>
      <c r="C209" s="25" t="inlineStr">
        <is>
          <t>Abidjan - Plateau</t>
        </is>
      </c>
      <c r="D209" s="25" t="inlineStr">
        <is>
          <t>+225 01 01 36 67 27</t>
        </is>
      </c>
      <c r="E209" s="25" t="inlineStr">
        <is>
          <t>+225 01 01 36 67 27</t>
        </is>
      </c>
      <c r="F209" s="25" t="inlineStr">
        <is>
          <t>ftahoue@yahoo.fr</t>
        </is>
      </c>
      <c r="G209" s="26" t="inlineStr"/>
      <c r="H209" s="26" t="inlineStr"/>
      <c r="I209" s="26" t="inlineStr">
        <is>
          <t>A contacter</t>
        </is>
      </c>
      <c r="J209" s="27" t="n"/>
      <c r="K209" s="26" t="n"/>
      <c r="L209" s="26" t="n">
        <v>1</v>
      </c>
      <c r="M209" s="26" t="n"/>
      <c r="N209" s="26" t="inlineStr"/>
      <c r="O209" s="28">
        <f>IF(OR($J209="",$K209="",$M209=""),"",($J209+IF(AND($L209&gt;=2,$J209=5000),3000,0))*$K209*$M209)</f>
        <v/>
      </c>
      <c r="P209" s="26" t="inlineStr"/>
    </row>
    <row r="210">
      <c r="A210" s="25" t="n">
        <v>1</v>
      </c>
      <c r="B210" s="25" t="inlineStr">
        <is>
          <t>GROUPE ONYX-EXCELLENCE YOPOUGON (GOEY)</t>
        </is>
      </c>
      <c r="C210" s="25" t="inlineStr">
        <is>
          <t>Abidjan - Yopougon</t>
        </is>
      </c>
      <c r="D210" s="25" t="inlineStr">
        <is>
          <t>+225 27 23 00 07 99</t>
        </is>
      </c>
      <c r="E210" s="25" t="inlineStr"/>
      <c r="F210" s="25" t="inlineStr">
        <is>
          <t>ftahoue@yahoo.fr</t>
        </is>
      </c>
      <c r="G210" s="26" t="inlineStr"/>
      <c r="H210" s="26" t="inlineStr"/>
      <c r="I210" s="26" t="inlineStr">
        <is>
          <t>A contacter</t>
        </is>
      </c>
      <c r="J210" s="27" t="n"/>
      <c r="K210" s="26" t="n"/>
      <c r="L210" s="26" t="n">
        <v>1</v>
      </c>
      <c r="M210" s="26" t="n"/>
      <c r="N210" s="26" t="inlineStr"/>
      <c r="O210" s="28">
        <f>IF(OR($J210="",$K210="",$M210=""),"",($J210+IF(AND($L210&gt;=2,$J210=5000),3000,0))*$K210*$M210)</f>
        <v/>
      </c>
      <c r="P210" s="26" t="inlineStr"/>
    </row>
    <row r="211">
      <c r="A211" s="25" t="n">
        <v>1</v>
      </c>
      <c r="B211" s="25" t="inlineStr">
        <is>
          <t>GROUPE PIGIER -CI YOPOUGON</t>
        </is>
      </c>
      <c r="C211" s="25" t="inlineStr">
        <is>
          <t>Abidjan - Yopougon</t>
        </is>
      </c>
      <c r="D211" s="25" t="inlineStr"/>
      <c r="E211" s="25" t="inlineStr"/>
      <c r="F211" s="25" t="inlineStr">
        <is>
          <t>pigierci@pigierci.com</t>
        </is>
      </c>
      <c r="G211" s="26" t="inlineStr"/>
      <c r="H211" s="26" t="inlineStr"/>
      <c r="I211" s="26" t="inlineStr">
        <is>
          <t>A contacter</t>
        </is>
      </c>
      <c r="J211" s="27" t="n"/>
      <c r="K211" s="26" t="n"/>
      <c r="L211" s="26" t="n">
        <v>1</v>
      </c>
      <c r="M211" s="26" t="n"/>
      <c r="N211" s="26" t="inlineStr"/>
      <c r="O211" s="28">
        <f>IF(OR($J211="",$K211="",$M211=""),"",($J211+IF(AND($L211&gt;=2,$J211=5000),3000,0))*$K211*$M211)</f>
        <v/>
      </c>
      <c r="P211" s="26" t="inlineStr"/>
    </row>
    <row r="212">
      <c r="A212" s="25" t="n">
        <v>1</v>
      </c>
      <c r="B212" s="25" t="inlineStr">
        <is>
          <t>GROUPE SUCCES FORMATION (GSF)</t>
        </is>
      </c>
      <c r="C212" s="25" t="inlineStr">
        <is>
          <t>Abidjan - Yopougon</t>
        </is>
      </c>
      <c r="D212" s="25" t="inlineStr"/>
      <c r="E212" s="25" t="inlineStr"/>
      <c r="F212" s="25" t="inlineStr">
        <is>
          <t>groupesuccesformation41@gmail.com</t>
        </is>
      </c>
      <c r="G212" s="26" t="inlineStr"/>
      <c r="H212" s="26" t="inlineStr"/>
      <c r="I212" s="26" t="inlineStr">
        <is>
          <t>A contacter</t>
        </is>
      </c>
      <c r="J212" s="27" t="n"/>
      <c r="K212" s="26" t="n"/>
      <c r="L212" s="26" t="n">
        <v>1</v>
      </c>
      <c r="M212" s="26" t="n"/>
      <c r="N212" s="26" t="inlineStr"/>
      <c r="O212" s="28">
        <f>IF(OR($J212="",$K212="",$M212=""),"",($J212+IF(AND($L212&gt;=2,$J212=5000),3000,0))*$K212*$M212)</f>
        <v/>
      </c>
      <c r="P212" s="26" t="inlineStr"/>
    </row>
    <row r="213">
      <c r="A213" s="25" t="n">
        <v>1</v>
      </c>
      <c r="B213" s="25" t="inlineStr">
        <is>
          <t>GROUPE SUP FORMATION (GSF)</t>
        </is>
      </c>
      <c r="C213" s="25" t="inlineStr">
        <is>
          <t>Abidjan - Cocody</t>
        </is>
      </c>
      <c r="D213" s="25" t="inlineStr"/>
      <c r="E213" s="25" t="inlineStr"/>
      <c r="F213" s="25" t="inlineStr">
        <is>
          <t>groupesupformation@gmail.com</t>
        </is>
      </c>
      <c r="G213" s="26" t="inlineStr"/>
      <c r="H213" s="26" t="inlineStr"/>
      <c r="I213" s="26" t="inlineStr">
        <is>
          <t>A contacter</t>
        </is>
      </c>
      <c r="J213" s="27" t="n"/>
      <c r="K213" s="26" t="n"/>
      <c r="L213" s="26" t="n">
        <v>1</v>
      </c>
      <c r="M213" s="26" t="n"/>
      <c r="N213" s="26" t="inlineStr"/>
      <c r="O213" s="28">
        <f>IF(OR($J213="",$K213="",$M213=""),"",($J213+IF(AND($L213&gt;=2,$J213=5000),3000,0))*$K213*$M213)</f>
        <v/>
      </c>
      <c r="P213" s="26" t="inlineStr"/>
    </row>
    <row r="214">
      <c r="A214" s="25" t="n">
        <v>1</v>
      </c>
      <c r="B214" s="25" t="inlineStr">
        <is>
          <t>GSM</t>
        </is>
      </c>
      <c r="C214" s="25" t="inlineStr">
        <is>
          <t>Abidjan - Cocody Riviera Palmeraie</t>
        </is>
      </c>
      <c r="D214" s="25" t="inlineStr">
        <is>
          <t>+225 05 54 27 28 75</t>
        </is>
      </c>
      <c r="E214" s="25" t="inlineStr"/>
      <c r="F214" s="25" t="inlineStr">
        <is>
          <t>info@gradsm.net</t>
        </is>
      </c>
      <c r="G214" s="26" t="inlineStr"/>
      <c r="H214" s="26" t="inlineStr"/>
      <c r="I214" s="26" t="inlineStr">
        <is>
          <t>A contacter</t>
        </is>
      </c>
      <c r="J214" s="27" t="n"/>
      <c r="K214" s="26" t="n"/>
      <c r="L214" s="26" t="n">
        <v>1</v>
      </c>
      <c r="M214" s="26" t="n"/>
      <c r="N214" s="26" t="inlineStr"/>
      <c r="O214" s="28">
        <f>IF(OR($J214="",$K214="",$M214=""),"",($J214+IF(AND($L214&gt;=2,$J214=5000),3000,0))*$K214*$M214)</f>
        <v/>
      </c>
      <c r="P214" s="26" t="inlineStr"/>
    </row>
    <row r="215">
      <c r="A215" s="25" t="n">
        <v>1</v>
      </c>
      <c r="B215" s="25" t="inlineStr">
        <is>
          <t>HAUTE ETUDES DE COMMERCE ET D'ADMINISTRATION DES ENTREPRISES YOPOUGON (HEC-AD YOPOUGON)</t>
        </is>
      </c>
      <c r="C215" s="25" t="inlineStr">
        <is>
          <t>Abidjan - Yopougon</t>
        </is>
      </c>
      <c r="D215" s="25" t="inlineStr">
        <is>
          <t>+225 01 03 87 96 99</t>
        </is>
      </c>
      <c r="E215" s="25" t="inlineStr">
        <is>
          <t>+225 01 03 87 96 99</t>
        </is>
      </c>
      <c r="F215" s="25" t="inlineStr">
        <is>
          <t>hecadabidjan@gmail.com</t>
        </is>
      </c>
      <c r="G215" s="26" t="inlineStr"/>
      <c r="H215" s="26" t="inlineStr"/>
      <c r="I215" s="26" t="inlineStr">
        <is>
          <t>A contacter</t>
        </is>
      </c>
      <c r="J215" s="27" t="n"/>
      <c r="K215" s="26" t="n"/>
      <c r="L215" s="26" t="n">
        <v>1</v>
      </c>
      <c r="M215" s="26" t="n"/>
      <c r="N215" s="26" t="inlineStr"/>
      <c r="O215" s="28">
        <f>IF(OR($J215="",$K215="",$M215=""),"",($J215+IF(AND($L215&gt;=2,$J215=5000),3000,0))*$K215*$M215)</f>
        <v/>
      </c>
      <c r="P215" s="26" t="inlineStr"/>
    </row>
    <row r="216">
      <c r="A216" s="25" t="n">
        <v>1</v>
      </c>
      <c r="B216" s="25" t="inlineStr">
        <is>
          <t>HAUTES ETUDES COMMERCIALES LA ROCHE RIVERA (HEC LA ROCHE RIVERA)</t>
        </is>
      </c>
      <c r="C216" s="25" t="inlineStr">
        <is>
          <t>Abidjan - Riviera</t>
        </is>
      </c>
      <c r="D216" s="25" t="inlineStr">
        <is>
          <t>+225 27 22 49 18 73</t>
        </is>
      </c>
      <c r="E216" s="25" t="inlineStr"/>
      <c r="F216" s="25" t="inlineStr">
        <is>
          <t>heclaroche1@gmail.com</t>
        </is>
      </c>
      <c r="G216" s="26" t="inlineStr"/>
      <c r="H216" s="26" t="inlineStr"/>
      <c r="I216" s="26" t="inlineStr">
        <is>
          <t>A contacter</t>
        </is>
      </c>
      <c r="J216" s="27" t="n"/>
      <c r="K216" s="26" t="n"/>
      <c r="L216" s="26" t="n">
        <v>1</v>
      </c>
      <c r="M216" s="26" t="n"/>
      <c r="N216" s="26" t="inlineStr"/>
      <c r="O216" s="28">
        <f>IF(OR($J216="",$K216="",$M216=""),"",($J216+IF(AND($L216&gt;=2,$J216=5000),3000,0))*$K216*$M216)</f>
        <v/>
      </c>
      <c r="P216" s="26" t="inlineStr"/>
    </row>
    <row r="217">
      <c r="A217" s="25" t="n">
        <v>1</v>
      </c>
      <c r="B217" s="25" t="inlineStr">
        <is>
          <t>HAUTES ETUDES EN GESTION, BANQUE ET ASSURANCE (HEGES)</t>
        </is>
      </c>
      <c r="C217" s="25" t="inlineStr">
        <is>
          <t>Abidjan - Marcory</t>
        </is>
      </c>
      <c r="D217" s="25" t="inlineStr">
        <is>
          <t>+225 27 21 24 50 83</t>
        </is>
      </c>
      <c r="E217" s="25" t="inlineStr"/>
      <c r="F217" s="25" t="inlineStr">
        <is>
          <t>info@heges-ci.com</t>
        </is>
      </c>
      <c r="G217" s="26" t="inlineStr"/>
      <c r="H217" s="26" t="inlineStr"/>
      <c r="I217" s="26" t="inlineStr">
        <is>
          <t>A contacter</t>
        </is>
      </c>
      <c r="J217" s="27" t="n"/>
      <c r="K217" s="26" t="n"/>
      <c r="L217" s="26" t="n">
        <v>1</v>
      </c>
      <c r="M217" s="26" t="n"/>
      <c r="N217" s="26" t="inlineStr"/>
      <c r="O217" s="28">
        <f>IF(OR($J217="",$K217="",$M217=""),"",($J217+IF(AND($L217&gt;=2,$J217=5000),3000,0))*$K217*$M217)</f>
        <v/>
      </c>
      <c r="P217" s="26" t="inlineStr"/>
    </row>
    <row r="218">
      <c r="A218" s="25" t="n">
        <v>1</v>
      </c>
      <c r="B218" s="25" t="inlineStr">
        <is>
          <t>HEC LA ROCHE PLATEAU ABIDJAN</t>
        </is>
      </c>
      <c r="C218" s="25" t="inlineStr">
        <is>
          <t>Abidjan - Plateau</t>
        </is>
      </c>
      <c r="D218" s="25" t="inlineStr">
        <is>
          <t>+225 07 07 65 93 26</t>
        </is>
      </c>
      <c r="E218" s="25" t="inlineStr">
        <is>
          <t>+225 07 07 65 93 26</t>
        </is>
      </c>
      <c r="F218" s="25" t="inlineStr">
        <is>
          <t>heclaroche1@gmail.com</t>
        </is>
      </c>
      <c r="G218" s="26" t="inlineStr"/>
      <c r="H218" s="26" t="inlineStr"/>
      <c r="I218" s="26" t="inlineStr">
        <is>
          <t>A contacter</t>
        </is>
      </c>
      <c r="J218" s="27" t="n"/>
      <c r="K218" s="26" t="n"/>
      <c r="L218" s="26" t="n">
        <v>1</v>
      </c>
      <c r="M218" s="26" t="n"/>
      <c r="N218" s="26" t="inlineStr"/>
      <c r="O218" s="28">
        <f>IF(OR($J218="",$K218="",$M218=""),"",($J218+IF(AND($L218&gt;=2,$J218=5000),3000,0))*$K218*$M218)</f>
        <v/>
      </c>
      <c r="P218" s="26" t="inlineStr"/>
    </row>
    <row r="219">
      <c r="A219" s="25" t="n">
        <v>1</v>
      </c>
      <c r="B219" s="25" t="inlineStr">
        <is>
          <t>HETEC ABOBO (HETEC ABIDJAN)</t>
        </is>
      </c>
      <c r="C219" s="25" t="inlineStr">
        <is>
          <t>Abidjan - Abobo</t>
        </is>
      </c>
      <c r="D219" s="25" t="inlineStr">
        <is>
          <t>+225 27 24 01 00 82</t>
        </is>
      </c>
      <c r="E219" s="25" t="inlineStr"/>
      <c r="F219" s="25" t="inlineStr">
        <is>
          <t>info@groupehetec.com</t>
        </is>
      </c>
      <c r="G219" s="26" t="inlineStr"/>
      <c r="H219" s="26" t="inlineStr"/>
      <c r="I219" s="26" t="inlineStr">
        <is>
          <t>A contacter</t>
        </is>
      </c>
      <c r="J219" s="27" t="n"/>
      <c r="K219" s="26" t="n"/>
      <c r="L219" s="26" t="n">
        <v>1</v>
      </c>
      <c r="M219" s="26" t="n"/>
      <c r="N219" s="26" t="inlineStr"/>
      <c r="O219" s="28">
        <f>IF(OR($J219="",$K219="",$M219=""),"",($J219+IF(AND($L219&gt;=2,$J219=5000),3000,0))*$K219*$M219)</f>
        <v/>
      </c>
      <c r="P219" s="26" t="inlineStr"/>
    </row>
    <row r="220">
      <c r="A220" s="25" t="n">
        <v>1</v>
      </c>
      <c r="B220" s="25" t="inlineStr">
        <is>
          <t>HOREB BUSINESS AND FINANCE ET INSTITUT VICTOR HUGO D ABIDJAN (IVHA)</t>
        </is>
      </c>
      <c r="C220" s="25" t="inlineStr">
        <is>
          <t>Abidjan - Adjame</t>
        </is>
      </c>
      <c r="D220" s="25" t="inlineStr">
        <is>
          <t>+225 07 59 86 41 54</t>
        </is>
      </c>
      <c r="E220" s="25" t="inlineStr">
        <is>
          <t>+225 07 59 86 41 54</t>
        </is>
      </c>
      <c r="F220" s="25" t="inlineStr"/>
      <c r="G220" s="26" t="inlineStr"/>
      <c r="H220" s="26" t="inlineStr"/>
      <c r="I220" s="26" t="inlineStr">
        <is>
          <t>A contacter</t>
        </is>
      </c>
      <c r="J220" s="27" t="n"/>
      <c r="K220" s="26" t="n"/>
      <c r="L220" s="26" t="n">
        <v>1</v>
      </c>
      <c r="M220" s="26" t="n"/>
      <c r="N220" s="26" t="inlineStr"/>
      <c r="O220" s="28">
        <f>IF(OR($J220="",$K220="",$M220=""),"",($J220+IF(AND($L220&gt;=2,$J220=5000),3000,0))*$K220*$M220)</f>
        <v/>
      </c>
      <c r="P220" s="26" t="inlineStr"/>
    </row>
    <row r="221">
      <c r="A221" s="25" t="n">
        <v>1</v>
      </c>
      <c r="B221" s="25" t="inlineStr">
        <is>
          <t>I2SMA</t>
        </is>
      </c>
      <c r="C221" s="25" t="inlineStr">
        <is>
          <t>Abidjan - Abobo</t>
        </is>
      </c>
      <c r="D221" s="25" t="inlineStr">
        <is>
          <t>+225 27 23 55 93 45</t>
        </is>
      </c>
      <c r="E221" s="25" t="inlineStr"/>
      <c r="F221" s="25" t="inlineStr"/>
      <c r="G221" s="26" t="inlineStr"/>
      <c r="H221" s="26" t="inlineStr"/>
      <c r="I221" s="26" t="inlineStr">
        <is>
          <t>A contacter</t>
        </is>
      </c>
      <c r="J221" s="27" t="n"/>
      <c r="K221" s="26" t="n"/>
      <c r="L221" s="26" t="n">
        <v>1</v>
      </c>
      <c r="M221" s="26" t="n"/>
      <c r="N221" s="26" t="inlineStr"/>
      <c r="O221" s="28">
        <f>IF(OR($J221="",$K221="",$M221=""),"",($J221+IF(AND($L221&gt;=2,$J221=5000),3000,0))*$K221*$M221)</f>
        <v/>
      </c>
      <c r="P221" s="26" t="inlineStr"/>
    </row>
    <row r="222">
      <c r="A222" s="25" t="n">
        <v>1</v>
      </c>
      <c r="B222" s="25" t="inlineStr">
        <is>
          <t>IAM (IAMA)</t>
        </is>
      </c>
      <c r="C222" s="25" t="inlineStr">
        <is>
          <t>Abidjan - Cocody</t>
        </is>
      </c>
      <c r="D222" s="25" t="inlineStr">
        <is>
          <t>+225 27 22 41 87 39</t>
        </is>
      </c>
      <c r="E222" s="25" t="inlineStr"/>
      <c r="F222" s="25" t="inlineStr">
        <is>
          <t>contact@iamabidjan.com</t>
        </is>
      </c>
      <c r="G222" s="26" t="inlineStr"/>
      <c r="H222" s="26" t="inlineStr"/>
      <c r="I222" s="26" t="inlineStr">
        <is>
          <t>A contacter</t>
        </is>
      </c>
      <c r="J222" s="27" t="n"/>
      <c r="K222" s="26" t="n"/>
      <c r="L222" s="26" t="n">
        <v>1</v>
      </c>
      <c r="M222" s="26" t="n"/>
      <c r="N222" s="26" t="inlineStr"/>
      <c r="O222" s="28">
        <f>IF(OR($J222="",$K222="",$M222=""),"",($J222+IF(AND($L222&gt;=2,$J222=5000),3000,0))*$K222*$M222)</f>
        <v/>
      </c>
      <c r="P222" s="26" t="inlineStr"/>
    </row>
    <row r="223">
      <c r="A223" s="25" t="n">
        <v>1</v>
      </c>
      <c r="B223" s="25" t="inlineStr">
        <is>
          <t>ICOGES ABIDJAN</t>
        </is>
      </c>
      <c r="C223" s="25" t="inlineStr">
        <is>
          <t>Abidjan - Riviera</t>
        </is>
      </c>
      <c r="D223" s="25" t="inlineStr">
        <is>
          <t>+225 27 22 47 45 11</t>
        </is>
      </c>
      <c r="E223" s="25" t="inlineStr"/>
      <c r="F223" s="25" t="inlineStr">
        <is>
          <t>chiwara495@yahoo.fr</t>
        </is>
      </c>
      <c r="G223" s="26" t="inlineStr"/>
      <c r="H223" s="26" t="inlineStr"/>
      <c r="I223" s="26" t="inlineStr">
        <is>
          <t>A contacter</t>
        </is>
      </c>
      <c r="J223" s="27" t="n"/>
      <c r="K223" s="26" t="n"/>
      <c r="L223" s="26" t="n">
        <v>1</v>
      </c>
      <c r="M223" s="26" t="n"/>
      <c r="N223" s="26" t="inlineStr"/>
      <c r="O223" s="28">
        <f>IF(OR($J223="",$K223="",$M223=""),"",($J223+IF(AND($L223&gt;=2,$J223=5000),3000,0))*$K223*$M223)</f>
        <v/>
      </c>
      <c r="P223" s="26" t="inlineStr"/>
    </row>
    <row r="224">
      <c r="A224" s="25" t="n">
        <v>1</v>
      </c>
      <c r="B224" s="25" t="inlineStr">
        <is>
          <t>IFIT ADJAME ABIDJAN</t>
        </is>
      </c>
      <c r="C224" s="25" t="inlineStr">
        <is>
          <t>Abidjan - Adjame</t>
        </is>
      </c>
      <c r="D224" s="25" t="inlineStr">
        <is>
          <t>+225 01 40 23 85 69</t>
        </is>
      </c>
      <c r="E224" s="25" t="inlineStr">
        <is>
          <t>+225 01 40 23 85 69</t>
        </is>
      </c>
      <c r="F224" s="25" t="inlineStr">
        <is>
          <t>etep01ifit@gmail.com</t>
        </is>
      </c>
      <c r="G224" s="26" t="inlineStr"/>
      <c r="H224" s="26" t="inlineStr"/>
      <c r="I224" s="26" t="inlineStr">
        <is>
          <t>A contacter</t>
        </is>
      </c>
      <c r="J224" s="27" t="n"/>
      <c r="K224" s="26" t="n"/>
      <c r="L224" s="26" t="n">
        <v>1</v>
      </c>
      <c r="M224" s="26" t="n"/>
      <c r="N224" s="26" t="inlineStr"/>
      <c r="O224" s="28">
        <f>IF(OR($J224="",$K224="",$M224=""),"",($J224+IF(AND($L224&gt;=2,$J224=5000),3000,0))*$K224*$M224)</f>
        <v/>
      </c>
      <c r="P224" s="26" t="inlineStr"/>
    </row>
    <row r="225">
      <c r="A225" s="25" t="n">
        <v>1</v>
      </c>
      <c r="B225" s="25" t="inlineStr">
        <is>
          <t>IFORAS - COCODY</t>
        </is>
      </c>
      <c r="C225" s="25" t="inlineStr">
        <is>
          <t>Abidjan - Cocody</t>
        </is>
      </c>
      <c r="D225" s="25" t="inlineStr">
        <is>
          <t>+225 27 22 48 01 56</t>
        </is>
      </c>
      <c r="E225" s="25" t="inlineStr">
        <is>
          <t>+225 07 88 17 25 63</t>
        </is>
      </c>
      <c r="F225" s="25" t="inlineStr">
        <is>
          <t>info@iforas.ci</t>
        </is>
      </c>
      <c r="G225" s="26" t="inlineStr"/>
      <c r="H225" s="26" t="inlineStr"/>
      <c r="I225" s="26" t="inlineStr">
        <is>
          <t>A contacter</t>
        </is>
      </c>
      <c r="J225" s="27" t="n"/>
      <c r="K225" s="26" t="n"/>
      <c r="L225" s="26" t="n">
        <v>1</v>
      </c>
      <c r="M225" s="26" t="n"/>
      <c r="N225" s="26" t="inlineStr"/>
      <c r="O225" s="28">
        <f>IF(OR($J225="",$K225="",$M225=""),"",($J225+IF(AND($L225&gt;=2,$J225=5000),3000,0))*$K225*$M225)</f>
        <v/>
      </c>
      <c r="P225" s="26" t="inlineStr"/>
    </row>
    <row r="226">
      <c r="A226" s="25" t="n">
        <v>1</v>
      </c>
      <c r="B226" s="25" t="inlineStr">
        <is>
          <t>IFSM (Institut de Formation Sainte Marie)</t>
        </is>
      </c>
      <c r="C226" s="25" t="inlineStr">
        <is>
          <t>Abidjan - Cocody Cite des Arts</t>
        </is>
      </c>
      <c r="D226" s="25" t="inlineStr">
        <is>
          <t>+225 07 57 25 15 42</t>
        </is>
      </c>
      <c r="E226" s="25" t="inlineStr">
        <is>
          <t>+225 07 57 25 15 42</t>
        </is>
      </c>
      <c r="F226" s="25" t="inlineStr">
        <is>
          <t>infos@ifsm.ci</t>
        </is>
      </c>
      <c r="G226" s="26" t="inlineStr"/>
      <c r="H226" s="26" t="inlineStr"/>
      <c r="I226" s="26" t="inlineStr">
        <is>
          <t>A contacter</t>
        </is>
      </c>
      <c r="J226" s="27" t="n"/>
      <c r="K226" s="26" t="n"/>
      <c r="L226" s="26" t="n">
        <v>1</v>
      </c>
      <c r="M226" s="26" t="n"/>
      <c r="N226" s="26" t="inlineStr"/>
      <c r="O226" s="28">
        <f>IF(OR($J226="",$K226="",$M226=""),"",($J226+IF(AND($L226&gt;=2,$J226=5000),3000,0))*$K226*$M226)</f>
        <v/>
      </c>
      <c r="P226" s="26" t="inlineStr"/>
    </row>
    <row r="227">
      <c r="A227" s="25" t="n">
        <v>1</v>
      </c>
      <c r="B227" s="25" t="inlineStr">
        <is>
          <t>IHEM-SO 2 PLATEAUX ABIDJAN</t>
        </is>
      </c>
      <c r="C227" s="25" t="inlineStr">
        <is>
          <t>Abidjan - Cocody</t>
        </is>
      </c>
      <c r="D227" s="25" t="inlineStr">
        <is>
          <t>+225 27 22 41 73 02</t>
        </is>
      </c>
      <c r="E227" s="25" t="inlineStr"/>
      <c r="F227" s="25" t="inlineStr">
        <is>
          <t>ihemsoabidjan2008@yahoo.fr</t>
        </is>
      </c>
      <c r="G227" s="26" t="inlineStr"/>
      <c r="H227" s="26" t="inlineStr"/>
      <c r="I227" s="26" t="inlineStr">
        <is>
          <t>A contacter</t>
        </is>
      </c>
      <c r="J227" s="27" t="n"/>
      <c r="K227" s="26" t="n"/>
      <c r="L227" s="26" t="n">
        <v>1</v>
      </c>
      <c r="M227" s="26" t="n"/>
      <c r="N227" s="26" t="inlineStr"/>
      <c r="O227" s="28">
        <f>IF(OR($J227="",$K227="",$M227=""),"",($J227+IF(AND($L227&gt;=2,$J227=5000),3000,0))*$K227*$M227)</f>
        <v/>
      </c>
      <c r="P227" s="26" t="inlineStr"/>
    </row>
    <row r="228">
      <c r="A228" s="25" t="n">
        <v>1</v>
      </c>
      <c r="B228" s="25" t="inlineStr">
        <is>
          <t>IHETT (IHETT YOPOUGON)</t>
        </is>
      </c>
      <c r="C228" s="25" t="inlineStr">
        <is>
          <t>Abidjan - Yopougon</t>
        </is>
      </c>
      <c r="D228" s="25" t="inlineStr">
        <is>
          <t>+225 27 23 00 13 86</t>
        </is>
      </c>
      <c r="E228" s="25" t="inlineStr"/>
      <c r="F228" s="25" t="inlineStr">
        <is>
          <t>etep01ihett@gmail.com</t>
        </is>
      </c>
      <c r="G228" s="26" t="inlineStr"/>
      <c r="H228" s="26" t="inlineStr"/>
      <c r="I228" s="26" t="inlineStr">
        <is>
          <t>A contacter</t>
        </is>
      </c>
      <c r="J228" s="27" t="n"/>
      <c r="K228" s="26" t="n"/>
      <c r="L228" s="26" t="n">
        <v>1</v>
      </c>
      <c r="M228" s="26" t="n"/>
      <c r="N228" s="26" t="inlineStr"/>
      <c r="O228" s="28">
        <f>IF(OR($J228="",$K228="",$M228=""),"",($J228+IF(AND($L228&gt;=2,$J228=5000),3000,0))*$K228*$M228)</f>
        <v/>
      </c>
      <c r="P228" s="26" t="inlineStr"/>
    </row>
    <row r="229">
      <c r="A229" s="25" t="n">
        <v>1</v>
      </c>
      <c r="B229" s="25" t="inlineStr">
        <is>
          <t>IHPT TREICHVILLE (IHPT ESAM PLATEAU)</t>
        </is>
      </c>
      <c r="C229" s="25" t="inlineStr">
        <is>
          <t>Abidjan - Plateau</t>
        </is>
      </c>
      <c r="D229" s="25" t="inlineStr">
        <is>
          <t>+225 01 03 29 29 18</t>
        </is>
      </c>
      <c r="E229" s="25" t="inlineStr">
        <is>
          <t>+225 01 03 29 29 18</t>
        </is>
      </c>
      <c r="F229" s="25" t="inlineStr">
        <is>
          <t>ma21p03@gmail.com</t>
        </is>
      </c>
      <c r="G229" s="26" t="inlineStr"/>
      <c r="H229" s="26" t="inlineStr"/>
      <c r="I229" s="26" t="inlineStr">
        <is>
          <t>A contacter</t>
        </is>
      </c>
      <c r="J229" s="27" t="n"/>
      <c r="K229" s="26" t="n"/>
      <c r="L229" s="26" t="n">
        <v>1</v>
      </c>
      <c r="M229" s="26" t="n"/>
      <c r="N229" s="26" t="inlineStr"/>
      <c r="O229" s="28">
        <f>IF(OR($J229="",$K229="",$M229=""),"",($J229+IF(AND($L229&gt;=2,$J229=5000),3000,0))*$K229*$M229)</f>
        <v/>
      </c>
      <c r="P229" s="26" t="inlineStr"/>
    </row>
    <row r="230">
      <c r="A230" s="25" t="n">
        <v>1</v>
      </c>
      <c r="B230" s="25" t="inlineStr">
        <is>
          <t>IIPEA - Institut International Polytechnique des Elites d'Abidjan</t>
        </is>
      </c>
      <c r="C230" s="25" t="inlineStr">
        <is>
          <t>Abidjan - Cocody Riviera 2</t>
        </is>
      </c>
      <c r="D230" s="25" t="inlineStr">
        <is>
          <t>+225 07 08 08 87 87</t>
        </is>
      </c>
      <c r="E230" s="25" t="inlineStr">
        <is>
          <t>+225 07 08 08 87 87</t>
        </is>
      </c>
      <c r="F230" s="25" t="inlineStr">
        <is>
          <t>secretariat@iipea.com</t>
        </is>
      </c>
      <c r="G230" s="26" t="inlineStr"/>
      <c r="H230" s="26" t="inlineStr"/>
      <c r="I230" s="26" t="inlineStr">
        <is>
          <t>A contacter</t>
        </is>
      </c>
      <c r="J230" s="27" t="n"/>
      <c r="K230" s="26" t="n"/>
      <c r="L230" s="26" t="n">
        <v>1</v>
      </c>
      <c r="M230" s="26" t="n"/>
      <c r="N230" s="26" t="inlineStr"/>
      <c r="O230" s="28">
        <f>IF(OR($J230="",$K230="",$M230=""),"",($J230+IF(AND($L230&gt;=2,$J230=5000),3000,0))*$K230*$M230)</f>
        <v/>
      </c>
      <c r="P230" s="26" t="inlineStr"/>
    </row>
    <row r="231">
      <c r="A231" s="25" t="n">
        <v>1</v>
      </c>
      <c r="B231" s="25" t="inlineStr">
        <is>
          <t>IISAN</t>
        </is>
      </c>
      <c r="C231" s="25" t="inlineStr">
        <is>
          <t>Abidjan - Cocody Angre 8eme Tranche</t>
        </is>
      </c>
      <c r="D231" s="25" t="inlineStr">
        <is>
          <t>+225 07 00 00 97 98</t>
        </is>
      </c>
      <c r="E231" s="25" t="inlineStr"/>
      <c r="F231" s="25" t="inlineStr">
        <is>
          <t>contact@iisan-abidjan.com</t>
        </is>
      </c>
      <c r="G231" s="26" t="inlineStr"/>
      <c r="H231" s="26" t="inlineStr"/>
      <c r="I231" s="26" t="inlineStr">
        <is>
          <t>A contacter</t>
        </is>
      </c>
      <c r="J231" s="27" t="n"/>
      <c r="K231" s="26" t="n"/>
      <c r="L231" s="26" t="n">
        <v>1</v>
      </c>
      <c r="M231" s="26" t="n"/>
      <c r="N231" s="26" t="inlineStr"/>
      <c r="O231" s="28">
        <f>IF(OR($J231="",$K231="",$M231=""),"",($J231+IF(AND($L231&gt;=2,$J231=5000),3000,0))*$K231*$M231)</f>
        <v/>
      </c>
      <c r="P231" s="26" t="inlineStr"/>
    </row>
    <row r="232">
      <c r="A232" s="25" t="n">
        <v>1</v>
      </c>
      <c r="B232" s="25" t="inlineStr">
        <is>
          <t>IMCC ABIDJAN</t>
        </is>
      </c>
      <c r="C232" s="25" t="inlineStr">
        <is>
          <t>Abidjan - Yopougon</t>
        </is>
      </c>
      <c r="D232" s="25" t="inlineStr">
        <is>
          <t>+225 01 03 83 37 41</t>
        </is>
      </c>
      <c r="E232" s="25" t="inlineStr">
        <is>
          <t>+225 01 03 83 37 41</t>
        </is>
      </c>
      <c r="F232" s="25" t="inlineStr">
        <is>
          <t>m.koko52@outlook.fr</t>
        </is>
      </c>
      <c r="G232" s="26" t="inlineStr"/>
      <c r="H232" s="26" t="inlineStr"/>
      <c r="I232" s="26" t="inlineStr">
        <is>
          <t>A contacter</t>
        </is>
      </c>
      <c r="J232" s="27" t="n"/>
      <c r="K232" s="26" t="n"/>
      <c r="L232" s="26" t="n">
        <v>1</v>
      </c>
      <c r="M232" s="26" t="n"/>
      <c r="N232" s="26" t="inlineStr"/>
      <c r="O232" s="28">
        <f>IF(OR($J232="",$K232="",$M232=""),"",($J232+IF(AND($L232&gt;=2,$J232=5000),3000,0))*$K232*$M232)</f>
        <v/>
      </c>
      <c r="P232" s="26" t="inlineStr"/>
    </row>
    <row r="233">
      <c r="A233" s="25" t="n">
        <v>1</v>
      </c>
      <c r="B233" s="25" t="inlineStr">
        <is>
          <t>IMGH Institut de Management de Gestion et d Hotellerie</t>
        </is>
      </c>
      <c r="C233" s="25" t="inlineStr">
        <is>
          <t>Abidjan Yopougon</t>
        </is>
      </c>
      <c r="D233" s="25" t="inlineStr">
        <is>
          <t>+225 07 48 09 09 29</t>
        </is>
      </c>
      <c r="E233" s="25" t="inlineStr">
        <is>
          <t>+225 01 02 63 56 58</t>
        </is>
      </c>
      <c r="F233" s="25" t="inlineStr">
        <is>
          <t>imgh_formation@yahoo.fr</t>
        </is>
      </c>
      <c r="G233" s="26" t="inlineStr"/>
      <c r="H233" s="26" t="inlineStr"/>
      <c r="I233" s="26" t="inlineStr">
        <is>
          <t>A contacter</t>
        </is>
      </c>
      <c r="J233" s="27" t="n"/>
      <c r="K233" s="26" t="n"/>
      <c r="L233" s="26" t="n">
        <v>1</v>
      </c>
      <c r="M233" s="26" t="n"/>
      <c r="N233" s="26" t="inlineStr"/>
      <c r="O233" s="28">
        <f>IF(OR($J233="",$K233="",$M233=""),"",($J233+IF(AND($L233&gt;=2,$J233=5000),3000,0))*$K233*$M233)</f>
        <v/>
      </c>
      <c r="P233" s="26" t="inlineStr"/>
    </row>
    <row r="234">
      <c r="A234" s="25" t="n">
        <v>1</v>
      </c>
      <c r="B234" s="25" t="inlineStr">
        <is>
          <t>IMOTEP ACADEMIE (ASP-CI)</t>
        </is>
      </c>
      <c r="C234" s="25" t="inlineStr">
        <is>
          <t>Abidjan - Cocody</t>
        </is>
      </c>
      <c r="D234" s="25" t="inlineStr">
        <is>
          <t>+225 27 22 50 69 96</t>
        </is>
      </c>
      <c r="E234" s="25" t="inlineStr">
        <is>
          <t>+225 07 59 81 48 64</t>
        </is>
      </c>
      <c r="F234" s="25" t="inlineStr">
        <is>
          <t>groupecoleasp@gmail.com</t>
        </is>
      </c>
      <c r="G234" s="26" t="inlineStr"/>
      <c r="H234" s="26" t="inlineStr"/>
      <c r="I234" s="26" t="inlineStr">
        <is>
          <t>A contacter</t>
        </is>
      </c>
      <c r="J234" s="27" t="n"/>
      <c r="K234" s="26" t="n"/>
      <c r="L234" s="26" t="n">
        <v>1</v>
      </c>
      <c r="M234" s="26" t="n"/>
      <c r="N234" s="26" t="inlineStr"/>
      <c r="O234" s="28">
        <f>IF(OR($J234="",$K234="",$M234=""),"",($J234+IF(AND($L234&gt;=2,$J234=5000),3000,0))*$K234*$M234)</f>
        <v/>
      </c>
      <c r="P234" s="26" t="inlineStr"/>
    </row>
    <row r="235">
      <c r="A235" s="25" t="n">
        <v>1</v>
      </c>
      <c r="B235" s="25" t="inlineStr">
        <is>
          <t>INSTITU DE FORMATION AUX METIERS YOPOUGON (IMF YOPOUGON )</t>
        </is>
      </c>
      <c r="C235" s="25" t="inlineStr">
        <is>
          <t>Abidjan - Yopougon</t>
        </is>
      </c>
      <c r="D235" s="25" t="inlineStr"/>
      <c r="E235" s="25" t="inlineStr"/>
      <c r="F235" s="25" t="inlineStr">
        <is>
          <t>imfyop225@gmail.com</t>
        </is>
      </c>
      <c r="G235" s="26" t="inlineStr"/>
      <c r="H235" s="26" t="inlineStr"/>
      <c r="I235" s="26" t="inlineStr">
        <is>
          <t>A contacter</t>
        </is>
      </c>
      <c r="J235" s="27" t="n"/>
      <c r="K235" s="26" t="n"/>
      <c r="L235" s="26" t="n">
        <v>1</v>
      </c>
      <c r="M235" s="26" t="n"/>
      <c r="N235" s="26" t="inlineStr"/>
      <c r="O235" s="28">
        <f>IF(OR($J235="",$K235="",$M235=""),"",($J235+IF(AND($L235&gt;=2,$J235=5000),3000,0))*$K235*$M235)</f>
        <v/>
      </c>
      <c r="P235" s="26" t="inlineStr"/>
    </row>
    <row r="236">
      <c r="A236" s="25" t="n">
        <v>1</v>
      </c>
      <c r="B236" s="25" t="inlineStr">
        <is>
          <t>INSTITUT AFRICAIN DU NUMERIQUE (IAN)</t>
        </is>
      </c>
      <c r="C236" s="25" t="inlineStr">
        <is>
          <t>Abidjan - Cocody</t>
        </is>
      </c>
      <c r="D236" s="25" t="inlineStr">
        <is>
          <t>+225 07 47 57 57 57</t>
        </is>
      </c>
      <c r="E236" s="25" t="inlineStr">
        <is>
          <t>+225 07 47 57 57 57</t>
        </is>
      </c>
      <c r="F236" s="25" t="inlineStr"/>
      <c r="G236" s="26" t="inlineStr"/>
      <c r="H236" s="26" t="inlineStr"/>
      <c r="I236" s="26" t="inlineStr">
        <is>
          <t>A contacter</t>
        </is>
      </c>
      <c r="J236" s="27" t="n"/>
      <c r="K236" s="26" t="n"/>
      <c r="L236" s="26" t="n">
        <v>1</v>
      </c>
      <c r="M236" s="26" t="n"/>
      <c r="N236" s="26" t="inlineStr"/>
      <c r="O236" s="28">
        <f>IF(OR($J236="",$K236="",$M236=""),"",($J236+IF(AND($L236&gt;=2,$J236=5000),3000,0))*$K236*$M236)</f>
        <v/>
      </c>
      <c r="P236" s="26" t="inlineStr"/>
    </row>
    <row r="237">
      <c r="A237" s="25" t="n">
        <v>1</v>
      </c>
      <c r="B237" s="25" t="inlineStr">
        <is>
          <t>INSTITUT BOOSTER AFRIQUE (IBA)</t>
        </is>
      </c>
      <c r="C237" s="25" t="inlineStr">
        <is>
          <t>Abidjan - Cocody</t>
        </is>
      </c>
      <c r="D237" s="25" t="inlineStr">
        <is>
          <t>+225 07 08 06 04 89</t>
        </is>
      </c>
      <c r="E237" s="25" t="inlineStr">
        <is>
          <t>+225 07 08 06 04 89</t>
        </is>
      </c>
      <c r="F237" s="25" t="inlineStr">
        <is>
          <t>directeur@institutboosterafrique.com</t>
        </is>
      </c>
      <c r="G237" s="26" t="inlineStr"/>
      <c r="H237" s="26" t="inlineStr"/>
      <c r="I237" s="26" t="inlineStr">
        <is>
          <t>A contacter</t>
        </is>
      </c>
      <c r="J237" s="27" t="n"/>
      <c r="K237" s="26" t="n"/>
      <c r="L237" s="26" t="n">
        <v>1</v>
      </c>
      <c r="M237" s="26" t="n"/>
      <c r="N237" s="26" t="inlineStr"/>
      <c r="O237" s="28">
        <f>IF(OR($J237="",$K237="",$M237=""),"",($J237+IF(AND($L237&gt;=2,$J237=5000),3000,0))*$K237*$M237)</f>
        <v/>
      </c>
      <c r="P237" s="26" t="inlineStr"/>
    </row>
    <row r="238">
      <c r="A238" s="25" t="n">
        <v>1</v>
      </c>
      <c r="B238" s="25" t="inlineStr">
        <is>
          <t>INSTITUT CERCO ABIDJAN (CERCO CI)</t>
        </is>
      </c>
      <c r="C238" s="25" t="inlineStr">
        <is>
          <t>Abidjan - Cocody</t>
        </is>
      </c>
      <c r="D238" s="25" t="inlineStr">
        <is>
          <t>+225 05 46 55 17 52</t>
        </is>
      </c>
      <c r="E238" s="25" t="inlineStr">
        <is>
          <t>+225 05 46 55 17 52</t>
        </is>
      </c>
      <c r="F238" s="25" t="inlineStr">
        <is>
          <t>cercoci@groupecerco.com</t>
        </is>
      </c>
      <c r="G238" s="26" t="inlineStr"/>
      <c r="H238" s="26" t="inlineStr"/>
      <c r="I238" s="26" t="inlineStr">
        <is>
          <t>A contacter</t>
        </is>
      </c>
      <c r="J238" s="27" t="n"/>
      <c r="K238" s="26" t="n"/>
      <c r="L238" s="26" t="n">
        <v>1</v>
      </c>
      <c r="M238" s="26" t="n"/>
      <c r="N238" s="26" t="inlineStr"/>
      <c r="O238" s="28">
        <f>IF(OR($J238="",$K238="",$M238=""),"",($J238+IF(AND($L238&gt;=2,$J238=5000),3000,0))*$K238*$M238)</f>
        <v/>
      </c>
      <c r="P238" s="26" t="inlineStr"/>
    </row>
    <row r="239">
      <c r="A239" s="25" t="n">
        <v>1</v>
      </c>
      <c r="B239" s="25" t="inlineStr">
        <is>
          <t>INSTITUT D'ENSEIGNEMENT SUPERIEUR LE CAMPUS COCODY (IES-LE CAMPUS COCODY)</t>
        </is>
      </c>
      <c r="C239" s="25" t="inlineStr">
        <is>
          <t>Abidjan - Cocody</t>
        </is>
      </c>
      <c r="D239" s="25" t="inlineStr">
        <is>
          <t>+225 07 04 26 33 74</t>
        </is>
      </c>
      <c r="E239" s="25" t="inlineStr">
        <is>
          <t>+225 07 04 26 33 74</t>
        </is>
      </c>
      <c r="F239" s="25" t="inlineStr"/>
      <c r="G239" s="26" t="inlineStr"/>
      <c r="H239" s="26" t="inlineStr"/>
      <c r="I239" s="26" t="inlineStr">
        <is>
          <t>A contacter</t>
        </is>
      </c>
      <c r="J239" s="27" t="n"/>
      <c r="K239" s="26" t="n"/>
      <c r="L239" s="26" t="n">
        <v>1</v>
      </c>
      <c r="M239" s="26" t="n"/>
      <c r="N239" s="26" t="inlineStr"/>
      <c r="O239" s="28">
        <f>IF(OR($J239="",$K239="",$M239=""),"",($J239+IF(AND($L239&gt;=2,$J239=5000),3000,0))*$K239*$M239)</f>
        <v/>
      </c>
      <c r="P239" s="26" t="inlineStr"/>
    </row>
    <row r="240">
      <c r="A240" s="25" t="n">
        <v>1</v>
      </c>
      <c r="B240" s="25" t="inlineStr">
        <is>
          <t>INSTITUT D'ENSEIGNEMENT SUPERIEUR LE CAMPUS YOPOUGON (IES-LE CAMPUS YOPOUGON)</t>
        </is>
      </c>
      <c r="C240" s="25" t="inlineStr">
        <is>
          <t>Abidjan - Yopougon</t>
        </is>
      </c>
      <c r="D240" s="25" t="inlineStr">
        <is>
          <t>+225 05 02 04 43 72</t>
        </is>
      </c>
      <c r="E240" s="25" t="inlineStr">
        <is>
          <t>+225 05 02 04 43 72</t>
        </is>
      </c>
      <c r="F240" s="25" t="inlineStr"/>
      <c r="G240" s="26" t="inlineStr"/>
      <c r="H240" s="26" t="inlineStr"/>
      <c r="I240" s="26" t="inlineStr">
        <is>
          <t>A contacter</t>
        </is>
      </c>
      <c r="J240" s="27" t="n"/>
      <c r="K240" s="26" t="n"/>
      <c r="L240" s="26" t="n">
        <v>1</v>
      </c>
      <c r="M240" s="26" t="n"/>
      <c r="N240" s="26" t="inlineStr"/>
      <c r="O240" s="28">
        <f>IF(OR($J240="",$K240="",$M240=""),"",($J240+IF(AND($L240&gt;=2,$J240=5000),3000,0))*$K240*$M240)</f>
        <v/>
      </c>
      <c r="P240" s="26" t="inlineStr"/>
    </row>
    <row r="241">
      <c r="A241" s="25" t="n">
        <v>1</v>
      </c>
      <c r="B241" s="25" t="inlineStr">
        <is>
          <t>INSTITUT D'ENSEIGNEMENT SUPERIEUR OFFOUMOU YOPOUGON (IESO YOPOUGON)</t>
        </is>
      </c>
      <c r="C241" s="25" t="inlineStr">
        <is>
          <t>Abidjan - Yopougon</t>
        </is>
      </c>
      <c r="D241" s="25" t="inlineStr">
        <is>
          <t>+225 27 23 45 37 94</t>
        </is>
      </c>
      <c r="E241" s="25" t="inlineStr">
        <is>
          <t>+225 07 08 89 47 83</t>
        </is>
      </c>
      <c r="F241" s="25" t="inlineStr">
        <is>
          <t>iesoyopougon@gmail.com</t>
        </is>
      </c>
      <c r="G241" s="26" t="inlineStr"/>
      <c r="H241" s="26" t="inlineStr"/>
      <c r="I241" s="26" t="inlineStr">
        <is>
          <t>A contacter</t>
        </is>
      </c>
      <c r="J241" s="27" t="n"/>
      <c r="K241" s="26" t="n"/>
      <c r="L241" s="26" t="n">
        <v>1</v>
      </c>
      <c r="M241" s="26" t="n"/>
      <c r="N241" s="26" t="inlineStr"/>
      <c r="O241" s="28">
        <f>IF(OR($J241="",$K241="",$M241=""),"",($J241+IF(AND($L241&gt;=2,$J241=5000),3000,0))*$K241*$M241)</f>
        <v/>
      </c>
      <c r="P241" s="26" t="inlineStr"/>
    </row>
    <row r="242">
      <c r="A242" s="25" t="n">
        <v>1</v>
      </c>
      <c r="B242" s="25" t="inlineStr">
        <is>
          <t>INSTITUT D'ETUDES SUPERIEURES D4ABIDJAN (IESA)</t>
        </is>
      </c>
      <c r="C242" s="25" t="inlineStr">
        <is>
          <t>Abidjan - Cocody</t>
        </is>
      </c>
      <c r="D242" s="25" t="inlineStr">
        <is>
          <t>+225 07 07 85 14 14</t>
        </is>
      </c>
      <c r="E242" s="25" t="inlineStr">
        <is>
          <t>+225 07 07 85 14 14</t>
        </is>
      </c>
      <c r="F242" s="25" t="inlineStr"/>
      <c r="G242" s="26" t="inlineStr"/>
      <c r="H242" s="26" t="inlineStr"/>
      <c r="I242" s="26" t="inlineStr">
        <is>
          <t>A contacter</t>
        </is>
      </c>
      <c r="J242" s="27" t="n"/>
      <c r="K242" s="26" t="n"/>
      <c r="L242" s="26" t="n">
        <v>1</v>
      </c>
      <c r="M242" s="26" t="n"/>
      <c r="N242" s="26" t="inlineStr"/>
      <c r="O242" s="28">
        <f>IF(OR($J242="",$K242="",$M242=""),"",($J242+IF(AND($L242&gt;=2,$J242=5000),3000,0))*$K242*$M242)</f>
        <v/>
      </c>
      <c r="P242" s="26" t="inlineStr"/>
    </row>
    <row r="243">
      <c r="A243" s="25" t="n">
        <v>1</v>
      </c>
      <c r="B243" s="25" t="inlineStr">
        <is>
          <t>INSTITUT DE COMMUNICATION DE GESTION ET D'ETUDE SCIENTIFIQUE PLATEAU (ICOGES PLATEAU)</t>
        </is>
      </c>
      <c r="C243" s="25" t="inlineStr">
        <is>
          <t>Abidjan - Plateau</t>
        </is>
      </c>
      <c r="D243" s="25" t="inlineStr">
        <is>
          <t>+225 27 22 47 45 11</t>
        </is>
      </c>
      <c r="E243" s="25" t="inlineStr"/>
      <c r="F243" s="25" t="inlineStr">
        <is>
          <t>icogesplateau@gmail.com</t>
        </is>
      </c>
      <c r="G243" s="26" t="inlineStr"/>
      <c r="H243" s="26" t="inlineStr"/>
      <c r="I243" s="26" t="inlineStr">
        <is>
          <t>A contacter</t>
        </is>
      </c>
      <c r="J243" s="27" t="n"/>
      <c r="K243" s="26" t="n"/>
      <c r="L243" s="26" t="n">
        <v>1</v>
      </c>
      <c r="M243" s="26" t="n"/>
      <c r="N243" s="26" t="inlineStr"/>
      <c r="O243" s="28">
        <f>IF(OR($J243="",$K243="",$M243=""),"",($J243+IF(AND($L243&gt;=2,$J243=5000),3000,0))*$K243*$M243)</f>
        <v/>
      </c>
      <c r="P243" s="26" t="inlineStr"/>
    </row>
    <row r="244">
      <c r="A244" s="25" t="n">
        <v>1</v>
      </c>
      <c r="B244" s="25" t="inlineStr">
        <is>
          <t>INSTITUT DE FORMATION ARTS ET DEVELOPPEMENT (IFAD)</t>
        </is>
      </c>
      <c r="C244" s="25" t="inlineStr">
        <is>
          <t>Abidjan - Plateau</t>
        </is>
      </c>
      <c r="D244" s="25" t="inlineStr">
        <is>
          <t>+225 27 20 21 46 02</t>
        </is>
      </c>
      <c r="E244" s="25" t="inlineStr">
        <is>
          <t>+225 01 40 46 89 26</t>
        </is>
      </c>
      <c r="F244" s="25" t="inlineStr">
        <is>
          <t>ifadabidjan@gmail.com</t>
        </is>
      </c>
      <c r="G244" s="26" t="inlineStr"/>
      <c r="H244" s="26" t="inlineStr"/>
      <c r="I244" s="26" t="inlineStr">
        <is>
          <t>A contacter</t>
        </is>
      </c>
      <c r="J244" s="27" t="n"/>
      <c r="K244" s="26" t="n"/>
      <c r="L244" s="26" t="n">
        <v>1</v>
      </c>
      <c r="M244" s="26" t="n"/>
      <c r="N244" s="26" t="inlineStr"/>
      <c r="O244" s="28">
        <f>IF(OR($J244="",$K244="",$M244=""),"",($J244+IF(AND($L244&gt;=2,$J244=5000),3000,0))*$K244*$M244)</f>
        <v/>
      </c>
      <c r="P244" s="26" t="inlineStr"/>
    </row>
    <row r="245">
      <c r="A245" s="25" t="n">
        <v>1</v>
      </c>
      <c r="B245" s="25" t="inlineStr">
        <is>
          <t>INSTITUT DE FORMATION DOUMBIA TOUMANY MUHAMMAD (IF-DTM)</t>
        </is>
      </c>
      <c r="C245" s="25" t="inlineStr">
        <is>
          <t>Abidjan - Yopougon</t>
        </is>
      </c>
      <c r="D245" s="25" t="inlineStr">
        <is>
          <t>+225 25 23 01 91 19</t>
        </is>
      </c>
      <c r="E245" s="25" t="inlineStr">
        <is>
          <t>+225 07 07 60 14 39</t>
        </is>
      </c>
      <c r="F245" s="25" t="inlineStr">
        <is>
          <t>if-dtm@gmail.com</t>
        </is>
      </c>
      <c r="G245" s="26" t="inlineStr"/>
      <c r="H245" s="26" t="inlineStr"/>
      <c r="I245" s="26" t="inlineStr">
        <is>
          <t>A contacter</t>
        </is>
      </c>
      <c r="J245" s="27" t="n"/>
      <c r="K245" s="26" t="n"/>
      <c r="L245" s="26" t="n">
        <v>1</v>
      </c>
      <c r="M245" s="26" t="n"/>
      <c r="N245" s="26" t="inlineStr"/>
      <c r="O245" s="28">
        <f>IF(OR($J245="",$K245="",$M245=""),"",($J245+IF(AND($L245&gt;=2,$J245=5000),3000,0))*$K245*$M245)</f>
        <v/>
      </c>
      <c r="P245" s="26" t="inlineStr"/>
    </row>
    <row r="246">
      <c r="A246" s="25" t="n">
        <v>1</v>
      </c>
      <c r="B246" s="25" t="inlineStr">
        <is>
          <t>INSTITUT DE FORMATION ET D'ENSEIGNEMENT SUPERIEUR (IFES)</t>
        </is>
      </c>
      <c r="C246" s="25" t="inlineStr">
        <is>
          <t>Abidjan - Yopougon</t>
        </is>
      </c>
      <c r="D246" s="25" t="inlineStr">
        <is>
          <t>+225 07 09 10 93 38</t>
        </is>
      </c>
      <c r="E246" s="25" t="inlineStr">
        <is>
          <t>+225 07 09 10 93 38</t>
        </is>
      </c>
      <c r="F246" s="25" t="inlineStr">
        <is>
          <t>ifesabidjan@gmail.com</t>
        </is>
      </c>
      <c r="G246" s="26" t="inlineStr"/>
      <c r="H246" s="26" t="inlineStr"/>
      <c r="I246" s="26" t="inlineStr">
        <is>
          <t>A contacter</t>
        </is>
      </c>
      <c r="J246" s="27" t="n"/>
      <c r="K246" s="26" t="n"/>
      <c r="L246" s="26" t="n">
        <v>1</v>
      </c>
      <c r="M246" s="26" t="n"/>
      <c r="N246" s="26" t="inlineStr"/>
      <c r="O246" s="28">
        <f>IF(OR($J246="",$K246="",$M246=""),"",($J246+IF(AND($L246&gt;=2,$J246=5000),3000,0))*$K246*$M246)</f>
        <v/>
      </c>
      <c r="P246" s="26" t="inlineStr"/>
    </row>
    <row r="247">
      <c r="A247" s="25" t="n">
        <v>1</v>
      </c>
      <c r="B247" s="25" t="inlineStr">
        <is>
          <t>INSTITUT DE FORMATION PROFESSIONNELLE ET GENERALE/INSTITUT SUPERIEUR DE FORMATION TECHNIQUE ET PROFESSIONNELLE PLATEAU (IFPG/ISFPT PLATEAU)</t>
        </is>
      </c>
      <c r="C247" s="25" t="inlineStr">
        <is>
          <t>Abidjan - Plateau</t>
        </is>
      </c>
      <c r="D247" s="25" t="inlineStr">
        <is>
          <t>+225 27 20 22 51 88</t>
        </is>
      </c>
      <c r="E247" s="25" t="inlineStr"/>
      <c r="F247" s="25" t="inlineStr">
        <is>
          <t>jjsilue37@gmail.com</t>
        </is>
      </c>
      <c r="G247" s="26" t="inlineStr"/>
      <c r="H247" s="26" t="inlineStr"/>
      <c r="I247" s="26" t="inlineStr">
        <is>
          <t>A contacter</t>
        </is>
      </c>
      <c r="J247" s="27" t="n"/>
      <c r="K247" s="26" t="n"/>
      <c r="L247" s="26" t="n">
        <v>1</v>
      </c>
      <c r="M247" s="26" t="n"/>
      <c r="N247" s="26" t="inlineStr"/>
      <c r="O247" s="28">
        <f>IF(OR($J247="",$K247="",$M247=""),"",($J247+IF(AND($L247&gt;=2,$J247=5000),3000,0))*$K247*$M247)</f>
        <v/>
      </c>
      <c r="P247" s="26" t="inlineStr"/>
    </row>
    <row r="248">
      <c r="A248" s="25" t="n">
        <v>1</v>
      </c>
      <c r="B248" s="25" t="inlineStr">
        <is>
          <t>INSTITUT DE FORMATION SAINTE MARIE ABOBO BAOULE (IFSM ABOBO BAOULE)</t>
        </is>
      </c>
      <c r="C248" s="25" t="inlineStr">
        <is>
          <t>Abidjan - Abobo</t>
        </is>
      </c>
      <c r="D248" s="25" t="inlineStr">
        <is>
          <t>+225 25 20 00 16 71</t>
        </is>
      </c>
      <c r="E248" s="25" t="inlineStr">
        <is>
          <t>+225 05 94 55 09 17</t>
        </is>
      </c>
      <c r="F248" s="25" t="inlineStr"/>
      <c r="G248" s="26" t="inlineStr"/>
      <c r="H248" s="26" t="inlineStr"/>
      <c r="I248" s="26" t="inlineStr">
        <is>
          <t>A contacter</t>
        </is>
      </c>
      <c r="J248" s="27" t="n"/>
      <c r="K248" s="26" t="n"/>
      <c r="L248" s="26" t="n">
        <v>1</v>
      </c>
      <c r="M248" s="26" t="n"/>
      <c r="N248" s="26" t="inlineStr"/>
      <c r="O248" s="28">
        <f>IF(OR($J248="",$K248="",$M248=""),"",($J248+IF(AND($L248&gt;=2,$J248=5000),3000,0))*$K248*$M248)</f>
        <v/>
      </c>
      <c r="P248" s="26" t="inlineStr"/>
    </row>
    <row r="249">
      <c r="A249" s="25" t="n">
        <v>1</v>
      </c>
      <c r="B249" s="25" t="inlineStr">
        <is>
          <t>INSTITUT DE FORMATION SAINTE MARIE ABOBO CAMP COMMANDO (IFSM ABOBO CAMP COMMANDO)</t>
        </is>
      </c>
      <c r="C249" s="25" t="inlineStr">
        <is>
          <t>Abidjan - Abobo</t>
        </is>
      </c>
      <c r="D249" s="25" t="inlineStr">
        <is>
          <t>+225 25 21 00 55 66</t>
        </is>
      </c>
      <c r="E249" s="25" t="inlineStr">
        <is>
          <t>+225 05 94 55 09 17</t>
        </is>
      </c>
      <c r="F249" s="25" t="inlineStr">
        <is>
          <t>ifsmabobo@yahoo.fr</t>
        </is>
      </c>
      <c r="G249" s="26" t="inlineStr"/>
      <c r="H249" s="26" t="inlineStr"/>
      <c r="I249" s="26" t="inlineStr">
        <is>
          <t>A contacter</t>
        </is>
      </c>
      <c r="J249" s="27" t="n"/>
      <c r="K249" s="26" t="n"/>
      <c r="L249" s="26" t="n">
        <v>1</v>
      </c>
      <c r="M249" s="26" t="n"/>
      <c r="N249" s="26" t="inlineStr"/>
      <c r="O249" s="28">
        <f>IF(OR($J249="",$K249="",$M249=""),"",($J249+IF(AND($L249&gt;=2,$J249=5000),3000,0))*$K249*$M249)</f>
        <v/>
      </c>
      <c r="P249" s="26" t="inlineStr"/>
    </row>
    <row r="250">
      <c r="A250" s="25" t="n">
        <v>1</v>
      </c>
      <c r="B250" s="25" t="inlineStr">
        <is>
          <t>INSTITUT DE FORMATION SAINTE MARIE ABOBO MARAHOUE (IFSM ABOBO MARAHOUE)</t>
        </is>
      </c>
      <c r="C250" s="25" t="inlineStr">
        <is>
          <t>Abidjan - Abobo</t>
        </is>
      </c>
      <c r="D250" s="25" t="inlineStr">
        <is>
          <t>+225 25 24 00 05 95</t>
        </is>
      </c>
      <c r="E250" s="25" t="inlineStr">
        <is>
          <t>+225 05 94 55 09 17</t>
        </is>
      </c>
      <c r="F250" s="25" t="inlineStr"/>
      <c r="G250" s="26" t="inlineStr"/>
      <c r="H250" s="26" t="inlineStr"/>
      <c r="I250" s="26" t="inlineStr">
        <is>
          <t>A contacter</t>
        </is>
      </c>
      <c r="J250" s="27" t="n"/>
      <c r="K250" s="26" t="n"/>
      <c r="L250" s="26" t="n">
        <v>1</v>
      </c>
      <c r="M250" s="26" t="n"/>
      <c r="N250" s="26" t="inlineStr"/>
      <c r="O250" s="28">
        <f>IF(OR($J250="",$K250="",$M250=""),"",($J250+IF(AND($L250&gt;=2,$J250=5000),3000,0))*$K250*$M250)</f>
        <v/>
      </c>
      <c r="P250" s="26" t="inlineStr"/>
    </row>
    <row r="251">
      <c r="A251" s="25" t="n">
        <v>1</v>
      </c>
      <c r="B251" s="25" t="inlineStr">
        <is>
          <t>INSTITUT DE FORMATION SAINTE MARIE ADJAME (IFSM ADJAME)</t>
        </is>
      </c>
      <c r="C251" s="25" t="inlineStr">
        <is>
          <t>Abidjan - Adjame</t>
        </is>
      </c>
      <c r="D251" s="25" t="inlineStr"/>
      <c r="E251" s="25" t="inlineStr"/>
      <c r="F251" s="25" t="inlineStr"/>
      <c r="G251" s="26" t="inlineStr"/>
      <c r="H251" s="26" t="inlineStr"/>
      <c r="I251" s="26" t="inlineStr">
        <is>
          <t>A contacter</t>
        </is>
      </c>
      <c r="J251" s="27" t="n"/>
      <c r="K251" s="26" t="n"/>
      <c r="L251" s="26" t="n">
        <v>1</v>
      </c>
      <c r="M251" s="26" t="n"/>
      <c r="N251" s="26" t="inlineStr"/>
      <c r="O251" s="28">
        <f>IF(OR($J251="",$K251="",$M251=""),"",($J251+IF(AND($L251&gt;=2,$J251=5000),3000,0))*$K251*$M251)</f>
        <v/>
      </c>
      <c r="P251" s="26" t="inlineStr"/>
    </row>
    <row r="252">
      <c r="A252" s="25" t="n">
        <v>1</v>
      </c>
      <c r="B252" s="25" t="inlineStr">
        <is>
          <t>INSTITUT DE FORMATION SAINTE MARIE ANGRE (IFSM ANGRE)</t>
        </is>
      </c>
      <c r="C252" s="25" t="inlineStr">
        <is>
          <t>Abidjan - Cocody</t>
        </is>
      </c>
      <c r="D252" s="25" t="inlineStr">
        <is>
          <t>+225 25 22 01 40 22</t>
        </is>
      </c>
      <c r="E252" s="25" t="inlineStr">
        <is>
          <t>+225 05 94 55 09 17</t>
        </is>
      </c>
      <c r="F252" s="25" t="inlineStr">
        <is>
          <t>angreifsm@yahoo.com</t>
        </is>
      </c>
      <c r="G252" s="26" t="inlineStr"/>
      <c r="H252" s="26" t="inlineStr"/>
      <c r="I252" s="26" t="inlineStr">
        <is>
          <t>A contacter</t>
        </is>
      </c>
      <c r="J252" s="27" t="n"/>
      <c r="K252" s="26" t="n"/>
      <c r="L252" s="26" t="n">
        <v>1</v>
      </c>
      <c r="M252" s="26" t="n"/>
      <c r="N252" s="26" t="inlineStr"/>
      <c r="O252" s="28">
        <f>IF(OR($J252="",$K252="",$M252=""),"",($J252+IF(AND($L252&gt;=2,$J252=5000),3000,0))*$K252*$M252)</f>
        <v/>
      </c>
      <c r="P252" s="26" t="inlineStr"/>
    </row>
    <row r="253">
      <c r="A253" s="25" t="n">
        <v>1</v>
      </c>
      <c r="B253" s="25" t="inlineStr">
        <is>
          <t>INSTITUT DE FORMATION SAINTE MARIE ANYAMA (IFSM ANYAMA)</t>
        </is>
      </c>
      <c r="C253" s="25" t="inlineStr">
        <is>
          <t>Abidjan - Anyama</t>
        </is>
      </c>
      <c r="D253" s="25" t="inlineStr">
        <is>
          <t>+225 27 23 28 22 91</t>
        </is>
      </c>
      <c r="E253" s="25" t="inlineStr"/>
      <c r="F253" s="25" t="inlineStr">
        <is>
          <t>infos@ifsm.ci</t>
        </is>
      </c>
      <c r="G253" s="26" t="inlineStr"/>
      <c r="H253" s="26" t="inlineStr"/>
      <c r="I253" s="26" t="inlineStr">
        <is>
          <t>A contacter</t>
        </is>
      </c>
      <c r="J253" s="27" t="n"/>
      <c r="K253" s="26" t="n"/>
      <c r="L253" s="26" t="n">
        <v>1</v>
      </c>
      <c r="M253" s="26" t="n"/>
      <c r="N253" s="26" t="inlineStr"/>
      <c r="O253" s="28">
        <f>IF(OR($J253="",$K253="",$M253=""),"",($J253+IF(AND($L253&gt;=2,$J253=5000),3000,0))*$K253*$M253)</f>
        <v/>
      </c>
      <c r="P253" s="26" t="inlineStr"/>
    </row>
    <row r="254">
      <c r="A254" s="25" t="n">
        <v>1</v>
      </c>
      <c r="B254" s="25" t="inlineStr">
        <is>
          <t>INSTITUT DE FORMATION SAINTE MARIE AZITO (IFSM AZITO)</t>
        </is>
      </c>
      <c r="C254" s="25" t="inlineStr">
        <is>
          <t>Abidjan - Yopougon</t>
        </is>
      </c>
      <c r="D254" s="25" t="inlineStr"/>
      <c r="E254" s="25" t="inlineStr"/>
      <c r="F254" s="25" t="inlineStr">
        <is>
          <t>ifsmazito@ifsmedu.com</t>
        </is>
      </c>
      <c r="G254" s="26" t="inlineStr"/>
      <c r="H254" s="26" t="inlineStr"/>
      <c r="I254" s="26" t="inlineStr">
        <is>
          <t>A contacter</t>
        </is>
      </c>
      <c r="J254" s="27" t="n"/>
      <c r="K254" s="26" t="n"/>
      <c r="L254" s="26" t="n">
        <v>1</v>
      </c>
      <c r="M254" s="26" t="n"/>
      <c r="N254" s="26" t="inlineStr"/>
      <c r="O254" s="28">
        <f>IF(OR($J254="",$K254="",$M254=""),"",($J254+IF(AND($L254&gt;=2,$J254=5000),3000,0))*$K254*$M254)</f>
        <v/>
      </c>
      <c r="P254" s="26" t="inlineStr"/>
    </row>
    <row r="255">
      <c r="A255" s="25" t="n">
        <v>1</v>
      </c>
      <c r="B255" s="25" t="inlineStr">
        <is>
          <t>INSTITUT DE FORMATION SAINTE MARIE COCODY (IFSM COCODY CHU)</t>
        </is>
      </c>
      <c r="C255" s="25" t="inlineStr">
        <is>
          <t>Abidjan - Cocody</t>
        </is>
      </c>
      <c r="D255" s="25" t="inlineStr"/>
      <c r="E255" s="25" t="inlineStr"/>
      <c r="F255" s="25" t="inlineStr"/>
      <c r="G255" s="26" t="inlineStr"/>
      <c r="H255" s="26" t="inlineStr"/>
      <c r="I255" s="26" t="inlineStr">
        <is>
          <t>A contacter</t>
        </is>
      </c>
      <c r="J255" s="27" t="n"/>
      <c r="K255" s="26" t="n"/>
      <c r="L255" s="26" t="n">
        <v>1</v>
      </c>
      <c r="M255" s="26" t="n"/>
      <c r="N255" s="26" t="inlineStr"/>
      <c r="O255" s="28">
        <f>IF(OR($J255="",$K255="",$M255=""),"",($J255+IF(AND($L255&gt;=2,$J255=5000),3000,0))*$K255*$M255)</f>
        <v/>
      </c>
      <c r="P255" s="26" t="inlineStr"/>
    </row>
    <row r="256">
      <c r="A256" s="25" t="n">
        <v>1</v>
      </c>
      <c r="B256" s="25" t="inlineStr">
        <is>
          <t>INSTITUT DE FORMATION SAINTE MARIE COCODY (IFSM COCODY)</t>
        </is>
      </c>
      <c r="C256" s="25" t="inlineStr">
        <is>
          <t>Abidjan - Cocody</t>
        </is>
      </c>
      <c r="D256" s="25" t="inlineStr">
        <is>
          <t>+225 25 22 01 94 58</t>
        </is>
      </c>
      <c r="E256" s="25" t="inlineStr">
        <is>
          <t>+225 05 94 55 09 17</t>
        </is>
      </c>
      <c r="F256" s="25" t="inlineStr">
        <is>
          <t>ifsmcocody@yahoo.fr</t>
        </is>
      </c>
      <c r="G256" s="26" t="inlineStr"/>
      <c r="H256" s="26" t="inlineStr"/>
      <c r="I256" s="26" t="inlineStr">
        <is>
          <t>A contacter</t>
        </is>
      </c>
      <c r="J256" s="27" t="n"/>
      <c r="K256" s="26" t="n"/>
      <c r="L256" s="26" t="n">
        <v>1</v>
      </c>
      <c r="M256" s="26" t="n"/>
      <c r="N256" s="26" t="inlineStr"/>
      <c r="O256" s="28">
        <f>IF(OR($J256="",$K256="",$M256=""),"",($J256+IF(AND($L256&gt;=2,$J256=5000),3000,0))*$K256*$M256)</f>
        <v/>
      </c>
      <c r="P256" s="26" t="inlineStr"/>
    </row>
    <row r="257">
      <c r="A257" s="25" t="n">
        <v>1</v>
      </c>
      <c r="B257" s="25" t="inlineStr">
        <is>
          <t>INSTITUT DE FORMATION SAINTE MARIE KOUMASSI (IFSM KOUMASSI)</t>
        </is>
      </c>
      <c r="C257" s="25" t="inlineStr">
        <is>
          <t>Abidjan - Koumassi</t>
        </is>
      </c>
      <c r="D257" s="25" t="inlineStr">
        <is>
          <t>+225 27 23 45 07 31</t>
        </is>
      </c>
      <c r="E257" s="25" t="inlineStr">
        <is>
          <t>+225 05 94 55 09 17</t>
        </is>
      </c>
      <c r="F257" s="25" t="inlineStr">
        <is>
          <t>ifsmkoumassi@gmail.com</t>
        </is>
      </c>
      <c r="G257" s="26" t="inlineStr"/>
      <c r="H257" s="26" t="inlineStr"/>
      <c r="I257" s="26" t="inlineStr">
        <is>
          <t>A contacter</t>
        </is>
      </c>
      <c r="J257" s="27" t="n"/>
      <c r="K257" s="26" t="n"/>
      <c r="L257" s="26" t="n">
        <v>1</v>
      </c>
      <c r="M257" s="26" t="n"/>
      <c r="N257" s="26" t="inlineStr"/>
      <c r="O257" s="28">
        <f>IF(OR($J257="",$K257="",$M257=""),"",($J257+IF(AND($L257&gt;=2,$J257=5000),3000,0))*$K257*$M257)</f>
        <v/>
      </c>
      <c r="P257" s="26" t="inlineStr"/>
    </row>
    <row r="258">
      <c r="A258" s="25" t="n">
        <v>1</v>
      </c>
      <c r="B258" s="25" t="inlineStr">
        <is>
          <t>INSTITUT DE FORMATION SAINTE MARIE PORT BOUET (IFSM PORT BOUET)</t>
        </is>
      </c>
      <c r="C258" s="25" t="inlineStr">
        <is>
          <t>Abidjan - Port Bouet</t>
        </is>
      </c>
      <c r="D258" s="25" t="inlineStr"/>
      <c r="E258" s="25" t="inlineStr"/>
      <c r="F258" s="25" t="inlineStr">
        <is>
          <t>ifsmportbouet@ifsmedu.com</t>
        </is>
      </c>
      <c r="G258" s="26" t="inlineStr"/>
      <c r="H258" s="26" t="inlineStr"/>
      <c r="I258" s="26" t="inlineStr">
        <is>
          <t>A contacter</t>
        </is>
      </c>
      <c r="J258" s="27" t="n"/>
      <c r="K258" s="26" t="n"/>
      <c r="L258" s="26" t="n">
        <v>1</v>
      </c>
      <c r="M258" s="26" t="n"/>
      <c r="N258" s="26" t="inlineStr"/>
      <c r="O258" s="28">
        <f>IF(OR($J258="",$K258="",$M258=""),"",($J258+IF(AND($L258&gt;=2,$J258=5000),3000,0))*$K258*$M258)</f>
        <v/>
      </c>
      <c r="P258" s="26" t="inlineStr"/>
    </row>
    <row r="259">
      <c r="A259" s="25" t="n">
        <v>1</v>
      </c>
      <c r="B259" s="25" t="inlineStr">
        <is>
          <t>INSTITUT DE FORMATION SAINTE MARIE YOPOUGON (IFSM YOPOUGON)</t>
        </is>
      </c>
      <c r="C259" s="25" t="inlineStr">
        <is>
          <t>Abidjan - Yopougon</t>
        </is>
      </c>
      <c r="D259" s="25" t="inlineStr">
        <is>
          <t>+225 27 23 45 07 31</t>
        </is>
      </c>
      <c r="E259" s="25" t="inlineStr">
        <is>
          <t>+225 05 94 55 09 17</t>
        </is>
      </c>
      <c r="F259" s="25" t="inlineStr">
        <is>
          <t>ifsmyopougonandokoi@gmail.com</t>
        </is>
      </c>
      <c r="G259" s="26" t="inlineStr"/>
      <c r="H259" s="26" t="inlineStr"/>
      <c r="I259" s="26" t="inlineStr">
        <is>
          <t>A contacter</t>
        </is>
      </c>
      <c r="J259" s="27" t="n"/>
      <c r="K259" s="26" t="n"/>
      <c r="L259" s="26" t="n">
        <v>1</v>
      </c>
      <c r="M259" s="26" t="n"/>
      <c r="N259" s="26" t="inlineStr"/>
      <c r="O259" s="28">
        <f>IF(OR($J259="",$K259="",$M259=""),"",($J259+IF(AND($L259&gt;=2,$J259=5000),3000,0))*$K259*$M259)</f>
        <v/>
      </c>
      <c r="P259" s="26" t="inlineStr"/>
    </row>
    <row r="260">
      <c r="A260" s="25" t="n">
        <v>1</v>
      </c>
      <c r="B260" s="25" t="inlineStr">
        <is>
          <t>INSTITUT DE FORMATION SAINTE MARIE YOPOUGON ANDOKOI (IFSM YOPOUGON ANDOKOI)</t>
        </is>
      </c>
      <c r="C260" s="25" t="inlineStr">
        <is>
          <t>Abidjan - Yopougon</t>
        </is>
      </c>
      <c r="D260" s="25" t="inlineStr">
        <is>
          <t>+225 27 23 45 07 31</t>
        </is>
      </c>
      <c r="E260" s="25" t="inlineStr"/>
      <c r="F260" s="25" t="inlineStr">
        <is>
          <t>ifsmyopougonandokoi@gmail.com</t>
        </is>
      </c>
      <c r="G260" s="26" t="inlineStr"/>
      <c r="H260" s="26" t="inlineStr"/>
      <c r="I260" s="26" t="inlineStr">
        <is>
          <t>A contacter</t>
        </is>
      </c>
      <c r="J260" s="27" t="n"/>
      <c r="K260" s="26" t="n"/>
      <c r="L260" s="26" t="n">
        <v>1</v>
      </c>
      <c r="M260" s="26" t="n"/>
      <c r="N260" s="26" t="inlineStr"/>
      <c r="O260" s="28">
        <f>IF(OR($J260="",$K260="",$M260=""),"",($J260+IF(AND($L260&gt;=2,$J260=5000),3000,0))*$K260*$M260)</f>
        <v/>
      </c>
      <c r="P260" s="26" t="inlineStr"/>
    </row>
    <row r="261">
      <c r="A261" s="25" t="n">
        <v>1</v>
      </c>
      <c r="B261" s="25" t="inlineStr">
        <is>
          <t>INSTITUT DE FORMATIONS PROFESSIONNELLES KADI'S RAOUDA (IFP KADI'S RAOUDA ANYAMA)</t>
        </is>
      </c>
      <c r="C261" s="25" t="inlineStr">
        <is>
          <t>Abidjan - Anyama</t>
        </is>
      </c>
      <c r="D261" s="25" t="inlineStr">
        <is>
          <t>+225 05 04 14 35 20</t>
        </is>
      </c>
      <c r="E261" s="25" t="inlineStr">
        <is>
          <t>+225 05 04 14 35 20</t>
        </is>
      </c>
      <c r="F261" s="25" t="inlineStr">
        <is>
          <t>kadisraouda@gmail.com</t>
        </is>
      </c>
      <c r="G261" s="26" t="inlineStr"/>
      <c r="H261" s="26" t="inlineStr"/>
      <c r="I261" s="26" t="inlineStr">
        <is>
          <t>A contacter</t>
        </is>
      </c>
      <c r="J261" s="27" t="n"/>
      <c r="K261" s="26" t="n"/>
      <c r="L261" s="26" t="n">
        <v>1</v>
      </c>
      <c r="M261" s="26" t="n"/>
      <c r="N261" s="26" t="inlineStr"/>
      <c r="O261" s="28">
        <f>IF(OR($J261="",$K261="",$M261=""),"",($J261+IF(AND($L261&gt;=2,$J261=5000),3000,0))*$K261*$M261)</f>
        <v/>
      </c>
      <c r="P261" s="26" t="inlineStr"/>
    </row>
    <row r="262">
      <c r="A262" s="25" t="n">
        <v>1</v>
      </c>
      <c r="B262" s="25" t="inlineStr">
        <is>
          <t>INSTITUT DE FORMATIONS PROFESSIONNELLES KADI'S RAOUDA (IFP KADI'S RAOUDA)</t>
        </is>
      </c>
      <c r="C262" s="25" t="inlineStr">
        <is>
          <t>Abidjan - Cocody</t>
        </is>
      </c>
      <c r="D262" s="25" t="inlineStr">
        <is>
          <t>+225 01 01 14 35 20</t>
        </is>
      </c>
      <c r="E262" s="25" t="inlineStr">
        <is>
          <t>+225 01 01 14 35 20</t>
        </is>
      </c>
      <c r="F262" s="25" t="inlineStr">
        <is>
          <t>kadisraouda@yahoo.com</t>
        </is>
      </c>
      <c r="G262" s="26" t="inlineStr"/>
      <c r="H262" s="26" t="inlineStr"/>
      <c r="I262" s="26" t="inlineStr">
        <is>
          <t>A contacter</t>
        </is>
      </c>
      <c r="J262" s="27" t="n"/>
      <c r="K262" s="26" t="n"/>
      <c r="L262" s="26" t="n">
        <v>1</v>
      </c>
      <c r="M262" s="26" t="n"/>
      <c r="N262" s="26" t="inlineStr"/>
      <c r="O262" s="28">
        <f>IF(OR($J262="",$K262="",$M262=""),"",($J262+IF(AND($L262&gt;=2,$J262=5000),3000,0))*$K262*$M262)</f>
        <v/>
      </c>
      <c r="P262" s="26" t="inlineStr"/>
    </row>
    <row r="263">
      <c r="A263" s="25" t="n">
        <v>1</v>
      </c>
      <c r="B263" s="25" t="inlineStr">
        <is>
          <t>INSTITUT DE MANAGEMENT ET DES ETUDES D'ADMINISTRATION (IMEA) COCODY</t>
        </is>
      </c>
      <c r="C263" s="25" t="inlineStr">
        <is>
          <t>Abidjan - Cocody</t>
        </is>
      </c>
      <c r="D263" s="25" t="inlineStr">
        <is>
          <t>+225 07 79 24 05 91</t>
        </is>
      </c>
      <c r="E263" s="25" t="inlineStr">
        <is>
          <t>+225 07 79 24 05 91</t>
        </is>
      </c>
      <c r="F263" s="25" t="inlineStr">
        <is>
          <t>infos@imea.ci</t>
        </is>
      </c>
      <c r="G263" s="26" t="inlineStr"/>
      <c r="H263" s="26" t="inlineStr"/>
      <c r="I263" s="26" t="inlineStr">
        <is>
          <t>A contacter</t>
        </is>
      </c>
      <c r="J263" s="27" t="n"/>
      <c r="K263" s="26" t="n"/>
      <c r="L263" s="26" t="n">
        <v>1</v>
      </c>
      <c r="M263" s="26" t="n"/>
      <c r="N263" s="26" t="inlineStr"/>
      <c r="O263" s="28">
        <f>IF(OR($J263="",$K263="",$M263=""),"",($J263+IF(AND($L263&gt;=2,$J263=5000),3000,0))*$K263*$M263)</f>
        <v/>
      </c>
      <c r="P263" s="26" t="inlineStr"/>
    </row>
    <row r="264">
      <c r="A264" s="25" t="n">
        <v>1</v>
      </c>
      <c r="B264" s="25" t="inlineStr">
        <is>
          <t>INSTITUT DE RECHERCHE EN SECURITE ET PROTECTION DE L'ENVIRONNEMENT (IRSPE KIBIO) (I.R.S.P.E Groupe KIBIO)</t>
        </is>
      </c>
      <c r="C264" s="25" t="inlineStr">
        <is>
          <t>Abidjan - Riviera</t>
        </is>
      </c>
      <c r="D264" s="25" t="inlineStr">
        <is>
          <t>+225 27 22 49 22 21</t>
        </is>
      </c>
      <c r="E264" s="25" t="inlineStr">
        <is>
          <t>+225 27 22 49 22 00</t>
        </is>
      </c>
      <c r="F264" s="25" t="inlineStr">
        <is>
          <t>irspekibio@yahoo.fr</t>
        </is>
      </c>
      <c r="G264" s="26" t="inlineStr"/>
      <c r="H264" s="26" t="inlineStr"/>
      <c r="I264" s="26" t="inlineStr">
        <is>
          <t>A contacter</t>
        </is>
      </c>
      <c r="J264" s="27" t="n"/>
      <c r="K264" s="26" t="n"/>
      <c r="L264" s="26" t="n">
        <v>1</v>
      </c>
      <c r="M264" s="26" t="n"/>
      <c r="N264" s="26" t="inlineStr"/>
      <c r="O264" s="28">
        <f>IF(OR($J264="",$K264="",$M264=""),"",($J264+IF(AND($L264&gt;=2,$J264=5000),3000,0))*$K264*$M264)</f>
        <v/>
      </c>
      <c r="P264" s="26" t="inlineStr"/>
    </row>
    <row r="265">
      <c r="A265" s="25" t="n">
        <v>1</v>
      </c>
      <c r="B265" s="25" t="inlineStr">
        <is>
          <t>INSTITUT DE SPECIALITES ET DE CLASSES PREPARATOIRES - INSCP</t>
        </is>
      </c>
      <c r="C265" s="25" t="inlineStr">
        <is>
          <t>Abidjan - Cocody</t>
        </is>
      </c>
      <c r="D265" s="25" t="inlineStr">
        <is>
          <t>+225 25 22 02 88 00</t>
        </is>
      </c>
      <c r="E265" s="25" t="inlineStr"/>
      <c r="F265" s="25" t="inlineStr">
        <is>
          <t>service.inscp@gmail.com</t>
        </is>
      </c>
      <c r="G265" s="26" t="inlineStr"/>
      <c r="H265" s="26" t="inlineStr"/>
      <c r="I265" s="26" t="inlineStr">
        <is>
          <t>A contacter</t>
        </is>
      </c>
      <c r="J265" s="27" t="n"/>
      <c r="K265" s="26" t="n"/>
      <c r="L265" s="26" t="n">
        <v>1</v>
      </c>
      <c r="M265" s="26" t="n"/>
      <c r="N265" s="26" t="inlineStr"/>
      <c r="O265" s="28">
        <f>IF(OR($J265="",$K265="",$M265=""),"",($J265+IF(AND($L265&gt;=2,$J265=5000),3000,0))*$K265*$M265)</f>
        <v/>
      </c>
      <c r="P265" s="26" t="inlineStr"/>
    </row>
    <row r="266">
      <c r="A266" s="25" t="n">
        <v>1</v>
      </c>
      <c r="B266" s="25" t="inlineStr">
        <is>
          <t>INSTITUT DE TECHNOLOGIE AURELS (IT AURELS)</t>
        </is>
      </c>
      <c r="C266" s="25" t="inlineStr">
        <is>
          <t>Abidjan - Abobo</t>
        </is>
      </c>
      <c r="D266" s="25" t="inlineStr">
        <is>
          <t>+225 05 75 86 83 83</t>
        </is>
      </c>
      <c r="E266" s="25" t="inlineStr">
        <is>
          <t>+225 05 75 86 83 83</t>
        </is>
      </c>
      <c r="F266" s="25" t="inlineStr">
        <is>
          <t>direction@aurels.org</t>
        </is>
      </c>
      <c r="G266" s="26" t="inlineStr"/>
      <c r="H266" s="26" t="inlineStr"/>
      <c r="I266" s="26" t="inlineStr">
        <is>
          <t>A contacter</t>
        </is>
      </c>
      <c r="J266" s="27" t="n"/>
      <c r="K266" s="26" t="n"/>
      <c r="L266" s="26" t="n">
        <v>1</v>
      </c>
      <c r="M266" s="26" t="n"/>
      <c r="N266" s="26" t="inlineStr"/>
      <c r="O266" s="28">
        <f>IF(OR($J266="",$K266="",$M266=""),"",($J266+IF(AND($L266&gt;=2,$J266=5000),3000,0))*$K266*$M266)</f>
        <v/>
      </c>
      <c r="P266" s="26" t="inlineStr"/>
    </row>
    <row r="267">
      <c r="A267" s="25" t="n">
        <v>1</v>
      </c>
      <c r="B267" s="25" t="inlineStr">
        <is>
          <t>INSTITUT DE TECHNOLOGIES ET SPECIALITES</t>
        </is>
      </c>
      <c r="C267" s="25" t="inlineStr">
        <is>
          <t>Abidjan - Cocody</t>
        </is>
      </c>
      <c r="D267" s="25" t="inlineStr">
        <is>
          <t>+225 27 22 52 20 84</t>
        </is>
      </c>
      <c r="E267" s="25" t="inlineStr"/>
      <c r="F267" s="25" t="inlineStr">
        <is>
          <t>groupeites@gmail.com</t>
        </is>
      </c>
      <c r="G267" s="26" t="inlineStr"/>
      <c r="H267" s="26" t="inlineStr"/>
      <c r="I267" s="26" t="inlineStr">
        <is>
          <t>A contacter</t>
        </is>
      </c>
      <c r="J267" s="27" t="n"/>
      <c r="K267" s="26" t="n"/>
      <c r="L267" s="26" t="n">
        <v>1</v>
      </c>
      <c r="M267" s="26" t="n"/>
      <c r="N267" s="26" t="inlineStr"/>
      <c r="O267" s="28">
        <f>IF(OR($J267="",$K267="",$M267=""),"",($J267+IF(AND($L267&gt;=2,$J267=5000),3000,0))*$K267*$M267)</f>
        <v/>
      </c>
      <c r="P267" s="26" t="inlineStr"/>
    </row>
    <row r="268">
      <c r="A268" s="25" t="n">
        <v>1</v>
      </c>
      <c r="B268" s="25" t="inlineStr">
        <is>
          <t>INSTITUT DES HAUTES ETUDES COMMERCIALES D'ABIDJAN (IHEC ABIDJAN)</t>
        </is>
      </c>
      <c r="C268" s="25" t="inlineStr">
        <is>
          <t>Abidjan - Cocody</t>
        </is>
      </c>
      <c r="D268" s="25" t="inlineStr">
        <is>
          <t>+225 07 59 25 03 14</t>
        </is>
      </c>
      <c r="E268" s="25" t="inlineStr">
        <is>
          <t>+225 07 59 25 03 14</t>
        </is>
      </c>
      <c r="F268" s="25" t="inlineStr">
        <is>
          <t>elogneba@yahoo.fr</t>
        </is>
      </c>
      <c r="G268" s="26" t="inlineStr"/>
      <c r="H268" s="26" t="inlineStr"/>
      <c r="I268" s="26" t="inlineStr">
        <is>
          <t>A contacter</t>
        </is>
      </c>
      <c r="J268" s="27" t="n"/>
      <c r="K268" s="26" t="n"/>
      <c r="L268" s="26" t="n">
        <v>1</v>
      </c>
      <c r="M268" s="26" t="n"/>
      <c r="N268" s="26" t="inlineStr"/>
      <c r="O268" s="28">
        <f>IF(OR($J268="",$K268="",$M268=""),"",($J268+IF(AND($L268&gt;=2,$J268=5000),3000,0))*$K268*$M268)</f>
        <v/>
      </c>
      <c r="P268" s="26" t="inlineStr"/>
    </row>
    <row r="269">
      <c r="A269" s="25" t="n">
        <v>1</v>
      </c>
      <c r="B269" s="25" t="inlineStr">
        <is>
          <t>INSTITUT DES HAUTES ETUDES PROFESSIONNELLES AFRIQUE (IHEP AFRIQUE)</t>
        </is>
      </c>
      <c r="C269" s="25" t="inlineStr">
        <is>
          <t>Abidjan - Cocody</t>
        </is>
      </c>
      <c r="D269" s="25" t="inlineStr"/>
      <c r="E269" s="25" t="inlineStr"/>
      <c r="F269" s="25" t="inlineStr">
        <is>
          <t>contact@ihepafrique.com</t>
        </is>
      </c>
      <c r="G269" s="26" t="inlineStr"/>
      <c r="H269" s="26" t="inlineStr"/>
      <c r="I269" s="26" t="inlineStr">
        <is>
          <t>A contacter</t>
        </is>
      </c>
      <c r="J269" s="27" t="n"/>
      <c r="K269" s="26" t="n"/>
      <c r="L269" s="26" t="n">
        <v>1</v>
      </c>
      <c r="M269" s="26" t="n"/>
      <c r="N269" s="26" t="inlineStr"/>
      <c r="O269" s="28">
        <f>IF(OR($J269="",$K269="",$M269=""),"",($J269+IF(AND($L269&gt;=2,$J269=5000),3000,0))*$K269*$M269)</f>
        <v/>
      </c>
      <c r="P269" s="26" t="inlineStr"/>
    </row>
    <row r="270">
      <c r="A270" s="25" t="n">
        <v>1</v>
      </c>
      <c r="B270" s="25" t="inlineStr">
        <is>
          <t>INSTITUT DES HAUTES ETUDES SUPERIEURES AVICENNE (IHES AVICENNE)</t>
        </is>
      </c>
      <c r="C270" s="25" t="inlineStr">
        <is>
          <t>Abidjan - Cocody</t>
        </is>
      </c>
      <c r="D270" s="25" t="inlineStr">
        <is>
          <t>+225 27 22 49 27 54</t>
        </is>
      </c>
      <c r="E270" s="25" t="inlineStr"/>
      <c r="F270" s="25" t="inlineStr">
        <is>
          <t>gsavicenne@gmail.com</t>
        </is>
      </c>
      <c r="G270" s="26" t="inlineStr"/>
      <c r="H270" s="26" t="inlineStr"/>
      <c r="I270" s="26" t="inlineStr">
        <is>
          <t>A contacter</t>
        </is>
      </c>
      <c r="J270" s="27" t="n"/>
      <c r="K270" s="26" t="n"/>
      <c r="L270" s="26" t="n">
        <v>1</v>
      </c>
      <c r="M270" s="26" t="n"/>
      <c r="N270" s="26" t="inlineStr"/>
      <c r="O270" s="28">
        <f>IF(OR($J270="",$K270="",$M270=""),"",($J270+IF(AND($L270&gt;=2,$J270=5000),3000,0))*$K270*$M270)</f>
        <v/>
      </c>
      <c r="P270" s="26" t="inlineStr"/>
    </row>
    <row r="271">
      <c r="A271" s="25" t="n">
        <v>1</v>
      </c>
      <c r="B271" s="25" t="inlineStr">
        <is>
          <t>INSTITUT DES SCIENCES APPLIQUEES ET DE TECHNOLOGIE (ISATECH)</t>
        </is>
      </c>
      <c r="C271" s="25" t="inlineStr">
        <is>
          <t>Abidjan - Koumassi</t>
        </is>
      </c>
      <c r="D271" s="25" t="inlineStr">
        <is>
          <t>+225 07 48 08 35 34</t>
        </is>
      </c>
      <c r="E271" s="25" t="inlineStr">
        <is>
          <t>+225 07 48 08 35 34</t>
        </is>
      </c>
      <c r="F271" s="25" t="inlineStr">
        <is>
          <t>12345isatech@gmail.com</t>
        </is>
      </c>
      <c r="G271" s="26" t="inlineStr"/>
      <c r="H271" s="26" t="inlineStr"/>
      <c r="I271" s="26" t="inlineStr">
        <is>
          <t>A contacter</t>
        </is>
      </c>
      <c r="J271" s="27" t="n"/>
      <c r="K271" s="26" t="n"/>
      <c r="L271" s="26" t="n">
        <v>1</v>
      </c>
      <c r="M271" s="26" t="n"/>
      <c r="N271" s="26" t="inlineStr"/>
      <c r="O271" s="28">
        <f>IF(OR($J271="",$K271="",$M271=""),"",($J271+IF(AND($L271&gt;=2,$J271=5000),3000,0))*$K271*$M271)</f>
        <v/>
      </c>
      <c r="P271" s="26" t="inlineStr"/>
    </row>
    <row r="272">
      <c r="A272" s="25" t="n">
        <v>1</v>
      </c>
      <c r="B272" s="25" t="inlineStr">
        <is>
          <t>INSTITUT DES SCIENCES ET INGENIERIES DE DEVELOPPEMENT (ISID)</t>
        </is>
      </c>
      <c r="C272" s="25" t="inlineStr">
        <is>
          <t>Abidjan - Cocody</t>
        </is>
      </c>
      <c r="D272" s="25" t="inlineStr">
        <is>
          <t>+225 27 22 21 26 72</t>
        </is>
      </c>
      <c r="E272" s="25" t="inlineStr">
        <is>
          <t>+225 05 04 32 30 64</t>
        </is>
      </c>
      <c r="F272" s="25" t="inlineStr">
        <is>
          <t>koodal.isid@gmail.com</t>
        </is>
      </c>
      <c r="G272" s="26" t="inlineStr"/>
      <c r="H272" s="26" t="inlineStr"/>
      <c r="I272" s="26" t="inlineStr">
        <is>
          <t>A contacter</t>
        </is>
      </c>
      <c r="J272" s="27" t="n"/>
      <c r="K272" s="26" t="n"/>
      <c r="L272" s="26" t="n">
        <v>1</v>
      </c>
      <c r="M272" s="26" t="n"/>
      <c r="N272" s="26" t="inlineStr"/>
      <c r="O272" s="28">
        <f>IF(OR($J272="",$K272="",$M272=""),"",($J272+IF(AND($L272&gt;=2,$J272=5000),3000,0))*$K272*$M272)</f>
        <v/>
      </c>
      <c r="P272" s="26" t="inlineStr"/>
    </row>
    <row r="273">
      <c r="A273" s="25" t="n">
        <v>1</v>
      </c>
      <c r="B273" s="25" t="inlineStr">
        <is>
          <t>INSTITUT DES SCIENCES INFORMATIQUE ET DE GESTION (ISIG) YOPOUGON</t>
        </is>
      </c>
      <c r="C273" s="25" t="inlineStr">
        <is>
          <t>Abidjan - Yopougon</t>
        </is>
      </c>
      <c r="D273" s="25" t="inlineStr"/>
      <c r="E273" s="25" t="inlineStr"/>
      <c r="F273" s="25" t="inlineStr"/>
      <c r="G273" s="26" t="inlineStr"/>
      <c r="H273" s="26" t="inlineStr"/>
      <c r="I273" s="26" t="inlineStr">
        <is>
          <t>A contacter</t>
        </is>
      </c>
      <c r="J273" s="27" t="n"/>
      <c r="K273" s="26" t="n"/>
      <c r="L273" s="26" t="n">
        <v>1</v>
      </c>
      <c r="M273" s="26" t="n"/>
      <c r="N273" s="26" t="inlineStr"/>
      <c r="O273" s="28">
        <f>IF(OR($J273="",$K273="",$M273=""),"",($J273+IF(AND($L273&gt;=2,$J273=5000),3000,0))*$K273*$M273)</f>
        <v/>
      </c>
      <c r="P273" s="26" t="inlineStr"/>
    </row>
    <row r="274">
      <c r="A274" s="25" t="n">
        <v>1</v>
      </c>
      <c r="B274" s="25" t="inlineStr">
        <is>
          <t>INSTITUT DES TECHNOLOGIES D'ABIDJAN (ITA ABOBO)</t>
        </is>
      </c>
      <c r="C274" s="25" t="inlineStr">
        <is>
          <t>Abidjan - Abobo</t>
        </is>
      </c>
      <c r="D274" s="25" t="inlineStr"/>
      <c r="E274" s="25" t="inlineStr"/>
      <c r="F274" s="25" t="inlineStr"/>
      <c r="G274" s="26" t="inlineStr"/>
      <c r="H274" s="26" t="inlineStr"/>
      <c r="I274" s="26" t="inlineStr">
        <is>
          <t>A contacter</t>
        </is>
      </c>
      <c r="J274" s="27" t="n"/>
      <c r="K274" s="26" t="n"/>
      <c r="L274" s="26" t="n">
        <v>1</v>
      </c>
      <c r="M274" s="26" t="n"/>
      <c r="N274" s="26" t="inlineStr"/>
      <c r="O274" s="28">
        <f>IF(OR($J274="",$K274="",$M274=""),"",($J274+IF(AND($L274&gt;=2,$J274=5000),3000,0))*$K274*$M274)</f>
        <v/>
      </c>
      <c r="P274" s="26" t="inlineStr"/>
    </row>
    <row r="275">
      <c r="A275" s="25" t="n">
        <v>1</v>
      </c>
      <c r="B275" s="25" t="inlineStr">
        <is>
          <t>INSTITUT FAMAH ANGRE (IF ANGRE)</t>
        </is>
      </c>
      <c r="C275" s="25" t="inlineStr">
        <is>
          <t>Abidjan - Cocody</t>
        </is>
      </c>
      <c r="D275" s="25" t="inlineStr">
        <is>
          <t>+225 07 77 39 33 71</t>
        </is>
      </c>
      <c r="E275" s="25" t="inlineStr">
        <is>
          <t>+225 07 77 39 33 71</t>
        </is>
      </c>
      <c r="F275" s="25" t="inlineStr">
        <is>
          <t>josiasfodio256@gmail.com</t>
        </is>
      </c>
      <c r="G275" s="26" t="inlineStr"/>
      <c r="H275" s="26" t="inlineStr"/>
      <c r="I275" s="26" t="inlineStr">
        <is>
          <t>A contacter</t>
        </is>
      </c>
      <c r="J275" s="27" t="n"/>
      <c r="K275" s="26" t="n"/>
      <c r="L275" s="26" t="n">
        <v>1</v>
      </c>
      <c r="M275" s="26" t="n"/>
      <c r="N275" s="26" t="inlineStr"/>
      <c r="O275" s="28">
        <f>IF(OR($J275="",$K275="",$M275=""),"",($J275+IF(AND($L275&gt;=2,$J275=5000),3000,0))*$K275*$M275)</f>
        <v/>
      </c>
      <c r="P275" s="26" t="inlineStr"/>
    </row>
    <row r="276">
      <c r="A276" s="25" t="n">
        <v>1</v>
      </c>
      <c r="B276" s="25" t="inlineStr">
        <is>
          <t>INSTITUT FAMAH BONOUMIN (IF BONOUMIN)</t>
        </is>
      </c>
      <c r="C276" s="25" t="inlineStr">
        <is>
          <t>Abidjan - Cocody</t>
        </is>
      </c>
      <c r="D276" s="25" t="inlineStr">
        <is>
          <t>+225 07 09 64 43 25</t>
        </is>
      </c>
      <c r="E276" s="25" t="inlineStr">
        <is>
          <t>+225 07 09 64 43 25</t>
        </is>
      </c>
      <c r="F276" s="25" t="inlineStr">
        <is>
          <t>ursystaline@gmail.com</t>
        </is>
      </c>
      <c r="G276" s="26" t="inlineStr"/>
      <c r="H276" s="26" t="inlineStr"/>
      <c r="I276" s="26" t="inlineStr">
        <is>
          <t>A contacter</t>
        </is>
      </c>
      <c r="J276" s="27" t="n"/>
      <c r="K276" s="26" t="n"/>
      <c r="L276" s="26" t="n">
        <v>1</v>
      </c>
      <c r="M276" s="26" t="n"/>
      <c r="N276" s="26" t="inlineStr"/>
      <c r="O276" s="28">
        <f>IF(OR($J276="",$K276="",$M276=""),"",($J276+IF(AND($L276&gt;=2,$J276=5000),3000,0))*$K276*$M276)</f>
        <v/>
      </c>
      <c r="P276" s="26" t="inlineStr"/>
    </row>
    <row r="277">
      <c r="A277" s="25" t="n">
        <v>1</v>
      </c>
      <c r="B277" s="25" t="inlineStr">
        <is>
          <t>INSTITUT FAMAH COCODY VALLON (IF COCODY VALLON)</t>
        </is>
      </c>
      <c r="C277" s="25" t="inlineStr">
        <is>
          <t>Abidjan - Cocody</t>
        </is>
      </c>
      <c r="D277" s="25" t="inlineStr">
        <is>
          <t>+225 07 08 18 85 31</t>
        </is>
      </c>
      <c r="E277" s="25" t="inlineStr">
        <is>
          <t>+225 07 08 18 85 31</t>
        </is>
      </c>
      <c r="F277" s="25" t="inlineStr">
        <is>
          <t>bambayaya1431@gmail.com</t>
        </is>
      </c>
      <c r="G277" s="26" t="inlineStr"/>
      <c r="H277" s="26" t="inlineStr"/>
      <c r="I277" s="26" t="inlineStr">
        <is>
          <t>A contacter</t>
        </is>
      </c>
      <c r="J277" s="27" t="n"/>
      <c r="K277" s="26" t="n"/>
      <c r="L277" s="26" t="n">
        <v>1</v>
      </c>
      <c r="M277" s="26" t="n"/>
      <c r="N277" s="26" t="inlineStr"/>
      <c r="O277" s="28">
        <f>IF(OR($J277="",$K277="",$M277=""),"",($J277+IF(AND($L277&gt;=2,$J277=5000),3000,0))*$K277*$M277)</f>
        <v/>
      </c>
      <c r="P277" s="26" t="inlineStr"/>
    </row>
    <row r="278">
      <c r="A278" s="25" t="n">
        <v>1</v>
      </c>
      <c r="B278" s="25" t="inlineStr">
        <is>
          <t>INSTITUT FAMAH MARCORY (IF MARCORY)</t>
        </is>
      </c>
      <c r="C278" s="25" t="inlineStr">
        <is>
          <t>Abidjan - Marcory</t>
        </is>
      </c>
      <c r="D278" s="25" t="inlineStr">
        <is>
          <t>+225 07 78 34 90 35</t>
        </is>
      </c>
      <c r="E278" s="25" t="inlineStr">
        <is>
          <t>+225 07 78 34 90 35</t>
        </is>
      </c>
      <c r="F278" s="25" t="inlineStr">
        <is>
          <t>giraudkonan4@gmail.com</t>
        </is>
      </c>
      <c r="G278" s="26" t="inlineStr"/>
      <c r="H278" s="26" t="inlineStr"/>
      <c r="I278" s="26" t="inlineStr">
        <is>
          <t>A contacter</t>
        </is>
      </c>
      <c r="J278" s="27" t="n"/>
      <c r="K278" s="26" t="n"/>
      <c r="L278" s="26" t="n">
        <v>1</v>
      </c>
      <c r="M278" s="26" t="n"/>
      <c r="N278" s="26" t="inlineStr"/>
      <c r="O278" s="28">
        <f>IF(OR($J278="",$K278="",$M278=""),"",($J278+IF(AND($L278&gt;=2,$J278=5000),3000,0))*$K278*$M278)</f>
        <v/>
      </c>
      <c r="P278" s="26" t="inlineStr"/>
    </row>
    <row r="279">
      <c r="A279" s="25" t="n">
        <v>1</v>
      </c>
      <c r="B279" s="25" t="inlineStr">
        <is>
          <t>INSTITUT FAMAH PORT-BOUËT (IF PORT-BOUËT) ABIDJAN</t>
        </is>
      </c>
      <c r="C279" s="25" t="inlineStr">
        <is>
          <t>Abidjan - Port Bouet</t>
        </is>
      </c>
      <c r="D279" s="25" t="inlineStr">
        <is>
          <t>+225 07 58 98 67 79</t>
        </is>
      </c>
      <c r="E279" s="25" t="inlineStr">
        <is>
          <t>+225 07 58 98 67 79</t>
        </is>
      </c>
      <c r="F279" s="25" t="inlineStr">
        <is>
          <t>singodiomande2021@gmail.com</t>
        </is>
      </c>
      <c r="G279" s="26" t="inlineStr"/>
      <c r="H279" s="26" t="inlineStr"/>
      <c r="I279" s="26" t="inlineStr">
        <is>
          <t>A contacter</t>
        </is>
      </c>
      <c r="J279" s="27" t="n"/>
      <c r="K279" s="26" t="n"/>
      <c r="L279" s="26" t="n">
        <v>1</v>
      </c>
      <c r="M279" s="26" t="n"/>
      <c r="N279" s="26" t="inlineStr"/>
      <c r="O279" s="28">
        <f>IF(OR($J279="",$K279="",$M279=""),"",($J279+IF(AND($L279&gt;=2,$J279=5000),3000,0))*$K279*$M279)</f>
        <v/>
      </c>
      <c r="P279" s="26" t="inlineStr"/>
    </row>
    <row r="280">
      <c r="A280" s="25" t="n">
        <v>1</v>
      </c>
      <c r="B280" s="25" t="inlineStr">
        <is>
          <t>INSTITUT FAMAH RIVIERA ATTOBAN (IF ATTOBAN)</t>
        </is>
      </c>
      <c r="C280" s="25" t="inlineStr">
        <is>
          <t>Abidjan - Cocody</t>
        </is>
      </c>
      <c r="D280" s="25" t="inlineStr">
        <is>
          <t>+225 07 09 64 43 25</t>
        </is>
      </c>
      <c r="E280" s="25" t="inlineStr">
        <is>
          <t>+225 07 09 64 43 25</t>
        </is>
      </c>
      <c r="F280" s="25" t="inlineStr">
        <is>
          <t>ursystaline@gmail.com</t>
        </is>
      </c>
      <c r="G280" s="26" t="inlineStr"/>
      <c r="H280" s="26" t="inlineStr"/>
      <c r="I280" s="26" t="inlineStr">
        <is>
          <t>A contacter</t>
        </is>
      </c>
      <c r="J280" s="27" t="n"/>
      <c r="K280" s="26" t="n"/>
      <c r="L280" s="26" t="n">
        <v>1</v>
      </c>
      <c r="M280" s="26" t="n"/>
      <c r="N280" s="26" t="inlineStr"/>
      <c r="O280" s="28">
        <f>IF(OR($J280="",$K280="",$M280=""),"",($J280+IF(AND($L280&gt;=2,$J280=5000),3000,0))*$K280*$M280)</f>
        <v/>
      </c>
      <c r="P280" s="26" t="inlineStr"/>
    </row>
    <row r="281">
      <c r="A281" s="25" t="n">
        <v>1</v>
      </c>
      <c r="B281" s="25" t="inlineStr">
        <is>
          <t>INSTITUT FAMAH YOPOUGON MILLIONNAIRE (IF YOPOUGON MILLIONNAIRE)</t>
        </is>
      </c>
      <c r="C281" s="25" t="inlineStr">
        <is>
          <t>Abidjan - Yopougon</t>
        </is>
      </c>
      <c r="D281" s="25" t="inlineStr">
        <is>
          <t>+225 07 08 90 13 00</t>
        </is>
      </c>
      <c r="E281" s="25" t="inlineStr">
        <is>
          <t>+225 07 08 90 13 00</t>
        </is>
      </c>
      <c r="F281" s="25" t="inlineStr">
        <is>
          <t>idrissouattara214@gmail.com</t>
        </is>
      </c>
      <c r="G281" s="26" t="inlineStr"/>
      <c r="H281" s="26" t="inlineStr"/>
      <c r="I281" s="26" t="inlineStr">
        <is>
          <t>A contacter</t>
        </is>
      </c>
      <c r="J281" s="27" t="n"/>
      <c r="K281" s="26" t="n"/>
      <c r="L281" s="26" t="n">
        <v>1</v>
      </c>
      <c r="M281" s="26" t="n"/>
      <c r="N281" s="26" t="inlineStr"/>
      <c r="O281" s="28">
        <f>IF(OR($J281="",$K281="",$M281=""),"",($J281+IF(AND($L281&gt;=2,$J281=5000),3000,0))*$K281*$M281)</f>
        <v/>
      </c>
      <c r="P281" s="26" t="inlineStr"/>
    </row>
    <row r="282">
      <c r="A282" s="25" t="n">
        <v>1</v>
      </c>
      <c r="B282" s="25" t="inlineStr">
        <is>
          <t>INSTITUT FINAK DE SONGON (IFS)</t>
        </is>
      </c>
      <c r="C282" s="25" t="inlineStr">
        <is>
          <t>Abidjan - Songon</t>
        </is>
      </c>
      <c r="D282" s="25" t="inlineStr"/>
      <c r="E282" s="25" t="inlineStr"/>
      <c r="F282" s="25" t="inlineStr">
        <is>
          <t>info@institutfinak.ci</t>
        </is>
      </c>
      <c r="G282" s="26" t="inlineStr"/>
      <c r="H282" s="26" t="inlineStr"/>
      <c r="I282" s="26" t="inlineStr">
        <is>
          <t>A contacter</t>
        </is>
      </c>
      <c r="J282" s="27" t="n"/>
      <c r="K282" s="26" t="n"/>
      <c r="L282" s="26" t="n">
        <v>1</v>
      </c>
      <c r="M282" s="26" t="n"/>
      <c r="N282" s="26" t="inlineStr"/>
      <c r="O282" s="28">
        <f>IF(OR($J282="",$K282="",$M282=""),"",($J282+IF(AND($L282&gt;=2,$J282=5000),3000,0))*$K282*$M282)</f>
        <v/>
      </c>
      <c r="P282" s="26" t="inlineStr"/>
    </row>
    <row r="283">
      <c r="A283" s="25" t="n">
        <v>1</v>
      </c>
      <c r="B283" s="25" t="inlineStr">
        <is>
          <t>INSTITUT IMPERIAL (2I)</t>
        </is>
      </c>
      <c r="C283" s="25" t="inlineStr">
        <is>
          <t>Abidjan - Cocody</t>
        </is>
      </c>
      <c r="D283" s="25" t="inlineStr">
        <is>
          <t>+225 27 22 42 01 38</t>
        </is>
      </c>
      <c r="E283" s="25" t="inlineStr"/>
      <c r="F283" s="25" t="inlineStr">
        <is>
          <t>info@institut-imperial.com</t>
        </is>
      </c>
      <c r="G283" s="26" t="inlineStr"/>
      <c r="H283" s="26" t="inlineStr"/>
      <c r="I283" s="26" t="inlineStr">
        <is>
          <t>A contacter</t>
        </is>
      </c>
      <c r="J283" s="27" t="n"/>
      <c r="K283" s="26" t="n"/>
      <c r="L283" s="26" t="n">
        <v>1</v>
      </c>
      <c r="M283" s="26" t="n"/>
      <c r="N283" s="26" t="inlineStr"/>
      <c r="O283" s="28">
        <f>IF(OR($J283="",$K283="",$M283=""),"",($J283+IF(AND($L283&gt;=2,$J283=5000),3000,0))*$K283*$M283)</f>
        <v/>
      </c>
      <c r="P283" s="26" t="inlineStr"/>
    </row>
    <row r="284">
      <c r="A284" s="25" t="n">
        <v>1</v>
      </c>
      <c r="B284" s="25" t="inlineStr">
        <is>
          <t>INSTITUT INTERNATIONAL D'ADMINISTRATION ET DE MANAGEMENT (2IAM)</t>
        </is>
      </c>
      <c r="C284" s="25" t="inlineStr">
        <is>
          <t>Abidjan - Cocody</t>
        </is>
      </c>
      <c r="D284" s="25" t="inlineStr"/>
      <c r="E284" s="25" t="inlineStr"/>
      <c r="F284" s="25" t="inlineStr"/>
      <c r="G284" s="26" t="inlineStr"/>
      <c r="H284" s="26" t="inlineStr"/>
      <c r="I284" s="26" t="inlineStr">
        <is>
          <t>A contacter</t>
        </is>
      </c>
      <c r="J284" s="27" t="n"/>
      <c r="K284" s="26" t="n"/>
      <c r="L284" s="26" t="n">
        <v>1</v>
      </c>
      <c r="M284" s="26" t="n"/>
      <c r="N284" s="26" t="inlineStr"/>
      <c r="O284" s="28">
        <f>IF(OR($J284="",$K284="",$M284=""),"",($J284+IF(AND($L284&gt;=2,$J284=5000),3000,0))*$K284*$M284)</f>
        <v/>
      </c>
      <c r="P284" s="26" t="inlineStr"/>
    </row>
    <row r="285">
      <c r="A285" s="25" t="n">
        <v>1</v>
      </c>
      <c r="B285" s="25" t="inlineStr">
        <is>
          <t>INSTITUT INTERNATIONAL DE FORMATION EN ENTREPRENEURIAT-2IAE RIVIERA PALMERAIE (2IFE-2IAE RIVIERA PALMERAIE) (GROUPE 2IFE-2IAE)</t>
        </is>
      </c>
      <c r="C285" s="25" t="inlineStr">
        <is>
          <t>Abidjan - Riviera</t>
        </is>
      </c>
      <c r="D285" s="25" t="inlineStr">
        <is>
          <t>+225 27 22 51 81 75</t>
        </is>
      </c>
      <c r="E285" s="25" t="inlineStr"/>
      <c r="F285" s="25" t="inlineStr">
        <is>
          <t>skoua2000@yahoo.fr</t>
        </is>
      </c>
      <c r="G285" s="26" t="inlineStr"/>
      <c r="H285" s="26" t="inlineStr"/>
      <c r="I285" s="26" t="inlineStr">
        <is>
          <t>A contacter</t>
        </is>
      </c>
      <c r="J285" s="27" t="n"/>
      <c r="K285" s="26" t="n"/>
      <c r="L285" s="26" t="n">
        <v>1</v>
      </c>
      <c r="M285" s="26" t="n"/>
      <c r="N285" s="26" t="inlineStr"/>
      <c r="O285" s="28">
        <f>IF(OR($J285="",$K285="",$M285=""),"",($J285+IF(AND($L285&gt;=2,$J285=5000),3000,0))*$K285*$M285)</f>
        <v/>
      </c>
      <c r="P285" s="26" t="inlineStr"/>
    </row>
    <row r="286">
      <c r="A286" s="25" t="n">
        <v>1</v>
      </c>
      <c r="B286" s="25" t="inlineStr">
        <is>
          <t>INSTITUT INTERNATIONAL DE FORMATION EN ENTREPRENEURIAT-2IAE YOPOUGON (2IFE-2IAE YOPOUGON) (GROUPE 2IFE-2IAE)</t>
        </is>
      </c>
      <c r="C286" s="25" t="inlineStr">
        <is>
          <t>Abidjan - Yopougon</t>
        </is>
      </c>
      <c r="D286" s="25" t="inlineStr">
        <is>
          <t>+225 27 23 45 06 85</t>
        </is>
      </c>
      <c r="E286" s="25" t="inlineStr"/>
      <c r="F286" s="25" t="inlineStr">
        <is>
          <t>skoua2000@yahoo.fr</t>
        </is>
      </c>
      <c r="G286" s="26" t="inlineStr"/>
      <c r="H286" s="26" t="inlineStr"/>
      <c r="I286" s="26" t="inlineStr">
        <is>
          <t>A contacter</t>
        </is>
      </c>
      <c r="J286" s="27" t="n"/>
      <c r="K286" s="26" t="n"/>
      <c r="L286" s="26" t="n">
        <v>1</v>
      </c>
      <c r="M286" s="26" t="n"/>
      <c r="N286" s="26" t="inlineStr"/>
      <c r="O286" s="28">
        <f>IF(OR($J286="",$K286="",$M286=""),"",($J286+IF(AND($L286&gt;=2,$J286=5000),3000,0))*$K286*$M286)</f>
        <v/>
      </c>
      <c r="P286" s="26" t="inlineStr"/>
    </row>
    <row r="287">
      <c r="A287" s="25" t="n">
        <v>1</v>
      </c>
      <c r="B287" s="25" t="inlineStr">
        <is>
          <t>Institut International de Formation en Gestion et en Technologie (2IFGT) Cocody</t>
        </is>
      </c>
      <c r="C287" s="25" t="inlineStr">
        <is>
          <t>Abidjan - Cocody</t>
        </is>
      </c>
      <c r="D287" s="25" t="inlineStr">
        <is>
          <t>+225 05 05 35 25 29</t>
        </is>
      </c>
      <c r="E287" s="25" t="inlineStr">
        <is>
          <t>+225 05 05 35 25 29</t>
        </is>
      </c>
      <c r="F287" s="25" t="inlineStr">
        <is>
          <t>2ifgt.info@gmail.com</t>
        </is>
      </c>
      <c r="G287" s="26" t="inlineStr"/>
      <c r="H287" s="26" t="inlineStr"/>
      <c r="I287" s="26" t="inlineStr">
        <is>
          <t>A contacter</t>
        </is>
      </c>
      <c r="J287" s="27" t="n"/>
      <c r="K287" s="26" t="n"/>
      <c r="L287" s="26" t="n">
        <v>1</v>
      </c>
      <c r="M287" s="26" t="n"/>
      <c r="N287" s="26" t="inlineStr"/>
      <c r="O287" s="28">
        <f>IF(OR($J287="",$K287="",$M287=""),"",($J287+IF(AND($L287&gt;=2,$J287=5000),3000,0))*$K287*$M287)</f>
        <v/>
      </c>
      <c r="P287" s="26" t="inlineStr"/>
    </row>
    <row r="288">
      <c r="A288" s="25" t="n">
        <v>1</v>
      </c>
      <c r="B288" s="25" t="inlineStr">
        <is>
          <t>INSTITUT INTERNATIONAL DE TECHNOLOGIE SUPERIEURE (2ITS)</t>
        </is>
      </c>
      <c r="C288" s="25" t="inlineStr">
        <is>
          <t>Abidjan - Cocody</t>
        </is>
      </c>
      <c r="D288" s="25" t="inlineStr">
        <is>
          <t>+225 01 40 13 60 60</t>
        </is>
      </c>
      <c r="E288" s="25" t="inlineStr">
        <is>
          <t>+225 01 40 13 60 60</t>
        </is>
      </c>
      <c r="F288" s="25" t="inlineStr">
        <is>
          <t>info@2its.ci</t>
        </is>
      </c>
      <c r="G288" s="26" t="inlineStr"/>
      <c r="H288" s="26" t="inlineStr"/>
      <c r="I288" s="26" t="inlineStr">
        <is>
          <t>A contacter</t>
        </is>
      </c>
      <c r="J288" s="27" t="n"/>
      <c r="K288" s="26" t="n"/>
      <c r="L288" s="26" t="n">
        <v>1</v>
      </c>
      <c r="M288" s="26" t="n"/>
      <c r="N288" s="26" t="inlineStr"/>
      <c r="O288" s="28">
        <f>IF(OR($J288="",$K288="",$M288=""),"",($J288+IF(AND($L288&gt;=2,$J288=5000),3000,0))*$K288*$M288)</f>
        <v/>
      </c>
      <c r="P288" s="26" t="inlineStr"/>
    </row>
    <row r="289">
      <c r="A289" s="25" t="n">
        <v>1</v>
      </c>
      <c r="B289" s="25" t="inlineStr">
        <is>
          <t>INSTITUT INTERNATIONAL DES ARTS ET METIERS DE COTE D IVOIRE (2IAM)</t>
        </is>
      </c>
      <c r="C289" s="25" t="inlineStr">
        <is>
          <t>Abidjan - Cocody</t>
        </is>
      </c>
      <c r="D289" s="25" t="inlineStr">
        <is>
          <t>+225 05 54 56 78 24</t>
        </is>
      </c>
      <c r="E289" s="25" t="inlineStr">
        <is>
          <t>+225 05 54 56 78 24</t>
        </is>
      </c>
      <c r="F289" s="25" t="inlineStr">
        <is>
          <t>infos@2iam.edu.ci</t>
        </is>
      </c>
      <c r="G289" s="26" t="inlineStr"/>
      <c r="H289" s="26" t="inlineStr"/>
      <c r="I289" s="26" t="inlineStr">
        <is>
          <t>A contacter</t>
        </is>
      </c>
      <c r="J289" s="27" t="n"/>
      <c r="K289" s="26" t="n"/>
      <c r="L289" s="26" t="n">
        <v>1</v>
      </c>
      <c r="M289" s="26" t="n"/>
      <c r="N289" s="26" t="inlineStr"/>
      <c r="O289" s="28">
        <f>IF(OR($J289="",$K289="",$M289=""),"",($J289+IF(AND($L289&gt;=2,$J289=5000),3000,0))*$K289*$M289)</f>
        <v/>
      </c>
      <c r="P289" s="26" t="inlineStr"/>
    </row>
    <row r="290">
      <c r="A290" s="25" t="n">
        <v>1</v>
      </c>
      <c r="B290" s="25" t="inlineStr">
        <is>
          <t>INSTITUT INTERNATIONAL POLYTECHNIQUE DES ELITES D'ABIDJAN (IIPEA ABOBO)</t>
        </is>
      </c>
      <c r="C290" s="25" t="inlineStr">
        <is>
          <t>Abidjan - Abobo</t>
        </is>
      </c>
      <c r="D290" s="25" t="inlineStr">
        <is>
          <t>+225 07 01 88 58 16</t>
        </is>
      </c>
      <c r="E290" s="25" t="inlineStr">
        <is>
          <t>+225 07 01 88 58 16</t>
        </is>
      </c>
      <c r="F290" s="25" t="inlineStr">
        <is>
          <t>secretariat@iipea.com</t>
        </is>
      </c>
      <c r="G290" s="26" t="inlineStr"/>
      <c r="H290" s="26" t="inlineStr"/>
      <c r="I290" s="26" t="inlineStr">
        <is>
          <t>A contacter</t>
        </is>
      </c>
      <c r="J290" s="27" t="n"/>
      <c r="K290" s="26" t="n"/>
      <c r="L290" s="26" t="n">
        <v>1</v>
      </c>
      <c r="M290" s="26" t="n"/>
      <c r="N290" s="26" t="inlineStr"/>
      <c r="O290" s="28">
        <f>IF(OR($J290="",$K290="",$M290=""),"",($J290+IF(AND($L290&gt;=2,$J290=5000),3000,0))*$K290*$M290)</f>
        <v/>
      </c>
      <c r="P290" s="26" t="inlineStr"/>
    </row>
    <row r="291">
      <c r="A291" s="25" t="n">
        <v>1</v>
      </c>
      <c r="B291" s="25" t="inlineStr">
        <is>
          <t>INSTITUT INTERNATIONAL POLYTECHNIQUE DES ELITES D'ABIDJAN (IIPEA ANGRE)</t>
        </is>
      </c>
      <c r="C291" s="25" t="inlineStr">
        <is>
          <t>Abidjan - Cocody</t>
        </is>
      </c>
      <c r="D291" s="25" t="inlineStr">
        <is>
          <t>+225 07 68 68 84 84</t>
        </is>
      </c>
      <c r="E291" s="25" t="inlineStr">
        <is>
          <t>+225 07 68 68 84 84</t>
        </is>
      </c>
      <c r="F291" s="25" t="inlineStr">
        <is>
          <t>secretariat@iipea.com</t>
        </is>
      </c>
      <c r="G291" s="26" t="inlineStr"/>
      <c r="H291" s="26" t="inlineStr"/>
      <c r="I291" s="26" t="inlineStr">
        <is>
          <t>A contacter</t>
        </is>
      </c>
      <c r="J291" s="27" t="n"/>
      <c r="K291" s="26" t="n"/>
      <c r="L291" s="26" t="n">
        <v>1</v>
      </c>
      <c r="M291" s="26" t="n"/>
      <c r="N291" s="26" t="inlineStr"/>
      <c r="O291" s="28">
        <f>IF(OR($J291="",$K291="",$M291=""),"",($J291+IF(AND($L291&gt;=2,$J291=5000),3000,0))*$K291*$M291)</f>
        <v/>
      </c>
      <c r="P291" s="26" t="inlineStr"/>
    </row>
    <row r="292">
      <c r="A292" s="25" t="n">
        <v>1</v>
      </c>
      <c r="B292" s="25" t="inlineStr">
        <is>
          <t>INSTITUT INTERNATIONAL POLYTECHNIQUE DES ELITES D'ABIDJAN (IIPEA KOUMASSI)</t>
        </is>
      </c>
      <c r="C292" s="25" t="inlineStr">
        <is>
          <t>Abidjan - Koumassi</t>
        </is>
      </c>
      <c r="D292" s="25" t="inlineStr">
        <is>
          <t>+225 07 02 39 77 03</t>
        </is>
      </c>
      <c r="E292" s="25" t="inlineStr">
        <is>
          <t>+225 07 02 39 77 03</t>
        </is>
      </c>
      <c r="F292" s="25" t="inlineStr">
        <is>
          <t>secretariat@iipea.com</t>
        </is>
      </c>
      <c r="G292" s="26" t="inlineStr"/>
      <c r="H292" s="26" t="inlineStr"/>
      <c r="I292" s="26" t="inlineStr">
        <is>
          <t>A contacter</t>
        </is>
      </c>
      <c r="J292" s="27" t="n"/>
      <c r="K292" s="26" t="n"/>
      <c r="L292" s="26" t="n">
        <v>1</v>
      </c>
      <c r="M292" s="26" t="n"/>
      <c r="N292" s="26" t="inlineStr"/>
      <c r="O292" s="28">
        <f>IF(OR($J292="",$K292="",$M292=""),"",($J292+IF(AND($L292&gt;=2,$J292=5000),3000,0))*$K292*$M292)</f>
        <v/>
      </c>
      <c r="P292" s="26" t="inlineStr"/>
    </row>
    <row r="293">
      <c r="A293" s="25" t="n">
        <v>1</v>
      </c>
      <c r="B293" s="25" t="inlineStr">
        <is>
          <t>INSTITUT INTERNATIONAL POLYTECHNIQUE DES ELITES D'ABIDJAN (IIPEA PORT BOUET)</t>
        </is>
      </c>
      <c r="C293" s="25" t="inlineStr">
        <is>
          <t>Abidjan - Port Bouet</t>
        </is>
      </c>
      <c r="D293" s="25" t="inlineStr">
        <is>
          <t>+225 07 02 01 71 27</t>
        </is>
      </c>
      <c r="E293" s="25" t="inlineStr">
        <is>
          <t>+225 07 02 01 71 27</t>
        </is>
      </c>
      <c r="F293" s="25" t="inlineStr">
        <is>
          <t>secretariat@iipea.com</t>
        </is>
      </c>
      <c r="G293" s="26" t="inlineStr"/>
      <c r="H293" s="26" t="inlineStr"/>
      <c r="I293" s="26" t="inlineStr">
        <is>
          <t>A contacter</t>
        </is>
      </c>
      <c r="J293" s="27" t="n"/>
      <c r="K293" s="26" t="n"/>
      <c r="L293" s="26" t="n">
        <v>1</v>
      </c>
      <c r="M293" s="26" t="n"/>
      <c r="N293" s="26" t="inlineStr"/>
      <c r="O293" s="28">
        <f>IF(OR($J293="",$K293="",$M293=""),"",($J293+IF(AND($L293&gt;=2,$J293=5000),3000,0))*$K293*$M293)</f>
        <v/>
      </c>
      <c r="P293" s="26" t="inlineStr"/>
    </row>
    <row r="294">
      <c r="A294" s="25" t="n">
        <v>1</v>
      </c>
      <c r="B294" s="25" t="inlineStr">
        <is>
          <t>INSTITUT INTERNATIONAL POLYTECHNIQUE DES ELITES D'ABIDJAN (IIPEA RIVIERA)</t>
        </is>
      </c>
      <c r="C294" s="25" t="inlineStr">
        <is>
          <t>Abidjan - Cocody</t>
        </is>
      </c>
      <c r="D294" s="25" t="inlineStr">
        <is>
          <t>+225 07 68 68 82 82</t>
        </is>
      </c>
      <c r="E294" s="25" t="inlineStr">
        <is>
          <t>+225 07 68 68 82 82</t>
        </is>
      </c>
      <c r="F294" s="25" t="inlineStr">
        <is>
          <t>secretariat@iipea.com</t>
        </is>
      </c>
      <c r="G294" s="26" t="inlineStr"/>
      <c r="H294" s="26" t="inlineStr"/>
      <c r="I294" s="26" t="inlineStr">
        <is>
          <t>A contacter</t>
        </is>
      </c>
      <c r="J294" s="27" t="n"/>
      <c r="K294" s="26" t="n"/>
      <c r="L294" s="26" t="n">
        <v>1</v>
      </c>
      <c r="M294" s="26" t="n"/>
      <c r="N294" s="26" t="inlineStr"/>
      <c r="O294" s="28">
        <f>IF(OR($J294="",$K294="",$M294=""),"",($J294+IF(AND($L294&gt;=2,$J294=5000),3000,0))*$K294*$M294)</f>
        <v/>
      </c>
      <c r="P294" s="26" t="inlineStr"/>
    </row>
    <row r="295">
      <c r="A295" s="25" t="n">
        <v>1</v>
      </c>
      <c r="B295" s="25" t="inlineStr">
        <is>
          <t>INSTITUT INTERNATIONAL POLYTECHNIQUE DES ELITES D'ABIDJAN (IIPEA YOPOUGON)</t>
        </is>
      </c>
      <c r="C295" s="25" t="inlineStr">
        <is>
          <t>Abidjan - Yopougon</t>
        </is>
      </c>
      <c r="D295" s="25" t="inlineStr"/>
      <c r="E295" s="25" t="inlineStr"/>
      <c r="F295" s="25" t="inlineStr"/>
      <c r="G295" s="26" t="inlineStr"/>
      <c r="H295" s="26" t="inlineStr"/>
      <c r="I295" s="26" t="inlineStr">
        <is>
          <t>A contacter</t>
        </is>
      </c>
      <c r="J295" s="27" t="n"/>
      <c r="K295" s="26" t="n"/>
      <c r="L295" s="26" t="n">
        <v>1</v>
      </c>
      <c r="M295" s="26" t="n"/>
      <c r="N295" s="26" t="inlineStr"/>
      <c r="O295" s="28">
        <f>IF(OR($J295="",$K295="",$M295=""),"",($J295+IF(AND($L295&gt;=2,$J295=5000),3000,0))*$K295*$M295)</f>
        <v/>
      </c>
      <c r="P295" s="26" t="inlineStr"/>
    </row>
    <row r="296">
      <c r="A296" s="25" t="n">
        <v>1</v>
      </c>
      <c r="B296" s="25" t="inlineStr">
        <is>
          <t>INSTITUT IRAO COCODY</t>
        </is>
      </c>
      <c r="C296" s="25" t="inlineStr">
        <is>
          <t>Abidjan - Cocody</t>
        </is>
      </c>
      <c r="D296" s="25" t="inlineStr"/>
      <c r="E296" s="25" t="inlineStr"/>
      <c r="F296" s="25" t="inlineStr">
        <is>
          <t>rusta.irao@gmail.com</t>
        </is>
      </c>
      <c r="G296" s="26" t="inlineStr"/>
      <c r="H296" s="26" t="inlineStr"/>
      <c r="I296" s="26" t="inlineStr">
        <is>
          <t>A contacter</t>
        </is>
      </c>
      <c r="J296" s="27" t="n"/>
      <c r="K296" s="26" t="n"/>
      <c r="L296" s="26" t="n">
        <v>1</v>
      </c>
      <c r="M296" s="26" t="n"/>
      <c r="N296" s="26" t="inlineStr"/>
      <c r="O296" s="28">
        <f>IF(OR($J296="",$K296="",$M296=""),"",($J296+IF(AND($L296&gt;=2,$J296=5000),3000,0))*$K296*$M296)</f>
        <v/>
      </c>
      <c r="P296" s="26" t="inlineStr"/>
    </row>
    <row r="297">
      <c r="A297" s="25" t="n">
        <v>1</v>
      </c>
      <c r="B297" s="25" t="inlineStr">
        <is>
          <t>INSTITUT IRAO YOPOUGON</t>
        </is>
      </c>
      <c r="C297" s="25" t="inlineStr">
        <is>
          <t>Abidjan - Yopougon</t>
        </is>
      </c>
      <c r="D297" s="25" t="inlineStr"/>
      <c r="E297" s="25" t="inlineStr"/>
      <c r="F297" s="25" t="inlineStr">
        <is>
          <t>rusta.irao@gmail.com</t>
        </is>
      </c>
      <c r="G297" s="26" t="inlineStr"/>
      <c r="H297" s="26" t="inlineStr"/>
      <c r="I297" s="26" t="inlineStr">
        <is>
          <t>A contacter</t>
        </is>
      </c>
      <c r="J297" s="27" t="n"/>
      <c r="K297" s="26" t="n"/>
      <c r="L297" s="26" t="n">
        <v>1</v>
      </c>
      <c r="M297" s="26" t="n"/>
      <c r="N297" s="26" t="inlineStr"/>
      <c r="O297" s="28">
        <f>IF(OR($J297="",$K297="",$M297=""),"",($J297+IF(AND($L297&gt;=2,$J297=5000),3000,0))*$K297*$M297)</f>
        <v/>
      </c>
      <c r="P297" s="26" t="inlineStr"/>
    </row>
    <row r="298">
      <c r="A298" s="25" t="n">
        <v>1</v>
      </c>
      <c r="B298" s="25" t="inlineStr">
        <is>
          <t>INSTITUT LEGACY PLATEAU ABIDJAN</t>
        </is>
      </c>
      <c r="C298" s="25" t="inlineStr">
        <is>
          <t>Abidjan - Plateau</t>
        </is>
      </c>
      <c r="D298" s="25" t="inlineStr">
        <is>
          <t>+225 27 20 22 95 47</t>
        </is>
      </c>
      <c r="E298" s="25" t="inlineStr">
        <is>
          <t>+225 07 07 47 40 05</t>
        </is>
      </c>
      <c r="F298" s="25" t="inlineStr">
        <is>
          <t>ductinan@yahoo.fr</t>
        </is>
      </c>
      <c r="G298" s="26" t="inlineStr"/>
      <c r="H298" s="26" t="inlineStr"/>
      <c r="I298" s="26" t="inlineStr">
        <is>
          <t>A contacter</t>
        </is>
      </c>
      <c r="J298" s="27" t="n"/>
      <c r="K298" s="26" t="n"/>
      <c r="L298" s="26" t="n">
        <v>1</v>
      </c>
      <c r="M298" s="26" t="n"/>
      <c r="N298" s="26" t="inlineStr"/>
      <c r="O298" s="28">
        <f>IF(OR($J298="",$K298="",$M298=""),"",($J298+IF(AND($L298&gt;=2,$J298=5000),3000,0))*$K298*$M298)</f>
        <v/>
      </c>
      <c r="P298" s="26" t="inlineStr"/>
    </row>
    <row r="299">
      <c r="A299" s="25" t="n">
        <v>1</v>
      </c>
      <c r="B299" s="25" t="inlineStr">
        <is>
          <t>INSTITUT LKM YOPOUGON ABIDJAN (ILKM)</t>
        </is>
      </c>
      <c r="C299" s="25" t="inlineStr">
        <is>
          <t>Abidjan - Yopougon</t>
        </is>
      </c>
      <c r="D299" s="25" t="inlineStr">
        <is>
          <t>+225 27 23 50 77 78</t>
        </is>
      </c>
      <c r="E299" s="25" t="inlineStr"/>
      <c r="F299" s="25" t="inlineStr">
        <is>
          <t>institut_lkm@yahoo.fr</t>
        </is>
      </c>
      <c r="G299" s="26" t="inlineStr"/>
      <c r="H299" s="26" t="inlineStr"/>
      <c r="I299" s="26" t="inlineStr">
        <is>
          <t>A contacter</t>
        </is>
      </c>
      <c r="J299" s="27" t="n"/>
      <c r="K299" s="26" t="n"/>
      <c r="L299" s="26" t="n">
        <v>1</v>
      </c>
      <c r="M299" s="26" t="n"/>
      <c r="N299" s="26" t="inlineStr"/>
      <c r="O299" s="28">
        <f>IF(OR($J299="",$K299="",$M299=""),"",($J299+IF(AND($L299&gt;=2,$J299=5000),3000,0))*$K299*$M299)</f>
        <v/>
      </c>
      <c r="P299" s="26" t="inlineStr"/>
    </row>
    <row r="300">
      <c r="A300" s="25" t="n">
        <v>1</v>
      </c>
      <c r="B300" s="25" t="inlineStr">
        <is>
          <t>INSTITUT POLYTECHNIQUE DU SUD (IPS)</t>
        </is>
      </c>
      <c r="C300" s="25" t="inlineStr">
        <is>
          <t>Abidjan - Cocody</t>
        </is>
      </c>
      <c r="D300" s="25" t="inlineStr">
        <is>
          <t>+225 07 08 75 33 33</t>
        </is>
      </c>
      <c r="E300" s="25" t="inlineStr">
        <is>
          <t>+225 07 08 75 33 33</t>
        </is>
      </c>
      <c r="F300" s="25" t="inlineStr"/>
      <c r="G300" s="26" t="inlineStr"/>
      <c r="H300" s="26" t="inlineStr"/>
      <c r="I300" s="26" t="inlineStr">
        <is>
          <t>A contacter</t>
        </is>
      </c>
      <c r="J300" s="27" t="n"/>
      <c r="K300" s="26" t="n"/>
      <c r="L300" s="26" t="n">
        <v>1</v>
      </c>
      <c r="M300" s="26" t="n"/>
      <c r="N300" s="26" t="inlineStr"/>
      <c r="O300" s="28">
        <f>IF(OR($J300="",$K300="",$M300=""),"",($J300+IF(AND($L300&gt;=2,$J300=5000),3000,0))*$K300*$M300)</f>
        <v/>
      </c>
      <c r="P300" s="26" t="inlineStr"/>
    </row>
    <row r="301">
      <c r="A301" s="25" t="n">
        <v>1</v>
      </c>
      <c r="B301" s="25" t="inlineStr">
        <is>
          <t>INSTITUT POLYTECHNIQUE INTERNATIONALE FRANÇOIS (IPIF)</t>
        </is>
      </c>
      <c r="C301" s="25" t="inlineStr">
        <is>
          <t>Abidjan - Cocody</t>
        </is>
      </c>
      <c r="D301" s="25" t="inlineStr">
        <is>
          <t>+225 27 22 42 99 59</t>
        </is>
      </c>
      <c r="E301" s="25" t="inlineStr"/>
      <c r="F301" s="25" t="inlineStr">
        <is>
          <t>ehui.enoh@topautoci.com</t>
        </is>
      </c>
      <c r="G301" s="26" t="inlineStr"/>
      <c r="H301" s="26" t="inlineStr"/>
      <c r="I301" s="26" t="inlineStr">
        <is>
          <t>A contacter</t>
        </is>
      </c>
      <c r="J301" s="27" t="n"/>
      <c r="K301" s="26" t="n"/>
      <c r="L301" s="26" t="n">
        <v>1</v>
      </c>
      <c r="M301" s="26" t="n"/>
      <c r="N301" s="26" t="inlineStr"/>
      <c r="O301" s="28">
        <f>IF(OR($J301="",$K301="",$M301=""),"",($J301+IF(AND($L301&gt;=2,$J301=5000),3000,0))*$K301*$M301)</f>
        <v/>
      </c>
      <c r="P301" s="26" t="inlineStr"/>
    </row>
    <row r="302">
      <c r="A302" s="25" t="n">
        <v>1</v>
      </c>
      <c r="B302" s="25" t="inlineStr">
        <is>
          <t>INSTITUT POLYVALENT DES AFFAIRES ET DU MANAGEMENT (IPAM)</t>
        </is>
      </c>
      <c r="C302" s="25" t="inlineStr">
        <is>
          <t>Abidjan - Cocody</t>
        </is>
      </c>
      <c r="D302" s="25" t="inlineStr"/>
      <c r="E302" s="25" t="inlineStr"/>
      <c r="F302" s="25" t="inlineStr">
        <is>
          <t>info@ipam.ci</t>
        </is>
      </c>
      <c r="G302" s="26" t="inlineStr"/>
      <c r="H302" s="26" t="inlineStr"/>
      <c r="I302" s="26" t="inlineStr">
        <is>
          <t>A contacter</t>
        </is>
      </c>
      <c r="J302" s="27" t="n"/>
      <c r="K302" s="26" t="n"/>
      <c r="L302" s="26" t="n">
        <v>1</v>
      </c>
      <c r="M302" s="26" t="n"/>
      <c r="N302" s="26" t="inlineStr"/>
      <c r="O302" s="28">
        <f>IF(OR($J302="",$K302="",$M302=""),"",($J302+IF(AND($L302&gt;=2,$J302=5000),3000,0))*$K302*$M302)</f>
        <v/>
      </c>
      <c r="P302" s="26" t="inlineStr"/>
    </row>
    <row r="303">
      <c r="A303" s="25" t="n">
        <v>1</v>
      </c>
      <c r="B303" s="25" t="inlineStr">
        <is>
          <t>INSTITUT PRESBYTERIEN DE COTE D'IVOIRE (IPCI)</t>
        </is>
      </c>
      <c r="C303" s="25" t="inlineStr">
        <is>
          <t>Abidjan - Yopougon</t>
        </is>
      </c>
      <c r="D303" s="25" t="inlineStr">
        <is>
          <t>+225 27 23 00 50 16</t>
        </is>
      </c>
      <c r="E303" s="25" t="inlineStr">
        <is>
          <t>+225 07 09 67 89 60</t>
        </is>
      </c>
      <c r="F303" s="25" t="inlineStr">
        <is>
          <t>institut.ipci@gmail.com</t>
        </is>
      </c>
      <c r="G303" s="26" t="inlineStr"/>
      <c r="H303" s="26" t="inlineStr"/>
      <c r="I303" s="26" t="inlineStr">
        <is>
          <t>A contacter</t>
        </is>
      </c>
      <c r="J303" s="27" t="n"/>
      <c r="K303" s="26" t="n"/>
      <c r="L303" s="26" t="n">
        <v>1</v>
      </c>
      <c r="M303" s="26" t="n"/>
      <c r="N303" s="26" t="inlineStr"/>
      <c r="O303" s="28">
        <f>IF(OR($J303="",$K303="",$M303=""),"",($J303+IF(AND($L303&gt;=2,$J303=5000),3000,0))*$K303*$M303)</f>
        <v/>
      </c>
      <c r="P303" s="26" t="inlineStr"/>
    </row>
    <row r="304">
      <c r="A304" s="25" t="n">
        <v>1</v>
      </c>
      <c r="B304" s="25" t="inlineStr">
        <is>
          <t>INSTITUT PRIVE SIATA (IP - SIATA)</t>
        </is>
      </c>
      <c r="C304" s="25" t="inlineStr">
        <is>
          <t>Abidjan - Yopougon</t>
        </is>
      </c>
      <c r="D304" s="25" t="inlineStr">
        <is>
          <t>+225 07 08 91 46 30</t>
        </is>
      </c>
      <c r="E304" s="25" t="inlineStr">
        <is>
          <t>+225 07 08 91 46 30</t>
        </is>
      </c>
      <c r="F304" s="25" t="inlineStr">
        <is>
          <t>ipsiata@gmail.com</t>
        </is>
      </c>
      <c r="G304" s="26" t="inlineStr"/>
      <c r="H304" s="26" t="inlineStr"/>
      <c r="I304" s="26" t="inlineStr">
        <is>
          <t>A contacter</t>
        </is>
      </c>
      <c r="J304" s="27" t="n"/>
      <c r="K304" s="26" t="n"/>
      <c r="L304" s="26" t="n">
        <v>1</v>
      </c>
      <c r="M304" s="26" t="n"/>
      <c r="N304" s="26" t="inlineStr"/>
      <c r="O304" s="28">
        <f>IF(OR($J304="",$K304="",$M304=""),"",($J304+IF(AND($L304&gt;=2,$J304=5000),3000,0))*$K304*$M304)</f>
        <v/>
      </c>
      <c r="P304" s="26" t="inlineStr"/>
    </row>
    <row r="305">
      <c r="A305" s="25" t="n">
        <v>1</v>
      </c>
      <c r="B305" s="25" t="inlineStr">
        <is>
          <t>INSTITUT PROSELYTE (IP)</t>
        </is>
      </c>
      <c r="C305" s="25" t="inlineStr">
        <is>
          <t>Abidjan - Yopougon</t>
        </is>
      </c>
      <c r="D305" s="25" t="inlineStr">
        <is>
          <t>+225 07 09 67 89 60</t>
        </is>
      </c>
      <c r="E305" s="25" t="inlineStr">
        <is>
          <t>+225 07 09 67 89 60</t>
        </is>
      </c>
      <c r="F305" s="25" t="inlineStr">
        <is>
          <t>institutproselyte@gmail.com</t>
        </is>
      </c>
      <c r="G305" s="26" t="inlineStr"/>
      <c r="H305" s="26" t="inlineStr"/>
      <c r="I305" s="26" t="inlineStr">
        <is>
          <t>A contacter</t>
        </is>
      </c>
      <c r="J305" s="27" t="n"/>
      <c r="K305" s="26" t="n"/>
      <c r="L305" s="26" t="n">
        <v>1</v>
      </c>
      <c r="M305" s="26" t="n"/>
      <c r="N305" s="26" t="inlineStr"/>
      <c r="O305" s="28">
        <f>IF(OR($J305="",$K305="",$M305=""),"",($J305+IF(AND($L305&gt;=2,$J305=5000),3000,0))*$K305*$M305)</f>
        <v/>
      </c>
      <c r="P305" s="26" t="inlineStr"/>
    </row>
    <row r="306">
      <c r="A306" s="25" t="n">
        <v>1</v>
      </c>
      <c r="B306" s="25" t="inlineStr">
        <is>
          <t>INSTITUT SACRE COEUR (ISC)</t>
        </is>
      </c>
      <c r="C306" s="25" t="inlineStr">
        <is>
          <t>Abidjan - Riviera</t>
        </is>
      </c>
      <c r="D306" s="25" t="inlineStr">
        <is>
          <t>+225 27 22 43 59 52</t>
        </is>
      </c>
      <c r="E306" s="25" t="inlineStr">
        <is>
          <t>+225 07 08 14 80 45</t>
        </is>
      </c>
      <c r="F306" s="25" t="inlineStr">
        <is>
          <t>institutsacrecoeur@gmail.com</t>
        </is>
      </c>
      <c r="G306" s="26" t="inlineStr"/>
      <c r="H306" s="26" t="inlineStr"/>
      <c r="I306" s="26" t="inlineStr">
        <is>
          <t>A contacter</t>
        </is>
      </c>
      <c r="J306" s="27" t="n"/>
      <c r="K306" s="26" t="n"/>
      <c r="L306" s="26" t="n">
        <v>1</v>
      </c>
      <c r="M306" s="26" t="n"/>
      <c r="N306" s="26" t="inlineStr"/>
      <c r="O306" s="28">
        <f>IF(OR($J306="",$K306="",$M306=""),"",($J306+IF(AND($L306&gt;=2,$J306=5000),3000,0))*$K306*$M306)</f>
        <v/>
      </c>
      <c r="P306" s="26" t="inlineStr"/>
    </row>
    <row r="307">
      <c r="A307" s="25" t="n">
        <v>1</v>
      </c>
      <c r="B307" s="25" t="inlineStr">
        <is>
          <t>INSTITUT SUPEREIRUR DE GESTION D'ECONOMIE ET DE MANAGEMENT (ISGEMA)</t>
        </is>
      </c>
      <c r="C307" s="25" t="inlineStr">
        <is>
          <t>Abidjan - Cocody</t>
        </is>
      </c>
      <c r="D307" s="25" t="inlineStr">
        <is>
          <t>+225 27 22 48 82 32</t>
        </is>
      </c>
      <c r="E307" s="25" t="inlineStr"/>
      <c r="F307" s="25" t="inlineStr">
        <is>
          <t>cepibformation@yahoo.fr</t>
        </is>
      </c>
      <c r="G307" s="26" t="inlineStr"/>
      <c r="H307" s="26" t="inlineStr"/>
      <c r="I307" s="26" t="inlineStr">
        <is>
          <t>A contacter</t>
        </is>
      </c>
      <c r="J307" s="27" t="n"/>
      <c r="K307" s="26" t="n"/>
      <c r="L307" s="26" t="n">
        <v>1</v>
      </c>
      <c r="M307" s="26" t="n"/>
      <c r="N307" s="26" t="inlineStr"/>
      <c r="O307" s="28">
        <f>IF(OR($J307="",$K307="",$M307=""),"",($J307+IF(AND($L307&gt;=2,$J307=5000),3000,0))*$K307*$M307)</f>
        <v/>
      </c>
      <c r="P307" s="26" t="inlineStr"/>
    </row>
    <row r="308">
      <c r="A308" s="25" t="n">
        <v>1</v>
      </c>
      <c r="B308" s="25" t="inlineStr">
        <is>
          <t>INSTITUT SUPERIEUR ADAM MARSHALL (ISAM) YOPOUGON</t>
        </is>
      </c>
      <c r="C308" s="25" t="inlineStr">
        <is>
          <t>Abidjan - Yopougon</t>
        </is>
      </c>
      <c r="D308" s="25" t="inlineStr">
        <is>
          <t>+225 07 09 83 11 81</t>
        </is>
      </c>
      <c r="E308" s="25" t="inlineStr">
        <is>
          <t>+225 07 09 83 11 81</t>
        </is>
      </c>
      <c r="F308" s="25" t="inlineStr">
        <is>
          <t>touthax@gmail.com</t>
        </is>
      </c>
      <c r="G308" s="26" t="inlineStr"/>
      <c r="H308" s="26" t="inlineStr"/>
      <c r="I308" s="26" t="inlineStr">
        <is>
          <t>A contacter</t>
        </is>
      </c>
      <c r="J308" s="27" t="n"/>
      <c r="K308" s="26" t="n"/>
      <c r="L308" s="26" t="n">
        <v>1</v>
      </c>
      <c r="M308" s="26" t="n"/>
      <c r="N308" s="26" t="inlineStr"/>
      <c r="O308" s="28">
        <f>IF(OR($J308="",$K308="",$M308=""),"",($J308+IF(AND($L308&gt;=2,$J308=5000),3000,0))*$K308*$M308)</f>
        <v/>
      </c>
      <c r="P308" s="26" t="inlineStr"/>
    </row>
    <row r="309">
      <c r="A309" s="25" t="n">
        <v>1</v>
      </c>
      <c r="B309" s="25" t="inlineStr">
        <is>
          <t>INSTITUT SUPERIEUR ADAM MARSHALL PLATEAU</t>
        </is>
      </c>
      <c r="C309" s="25" t="inlineStr">
        <is>
          <t>Abidjan - Plateau</t>
        </is>
      </c>
      <c r="D309" s="25" t="inlineStr">
        <is>
          <t>+225 27 20 22 68 91</t>
        </is>
      </c>
      <c r="E309" s="25" t="inlineStr"/>
      <c r="F309" s="25" t="inlineStr">
        <is>
          <t>infoadammarshall@gmail.com</t>
        </is>
      </c>
      <c r="G309" s="26" t="inlineStr"/>
      <c r="H309" s="26" t="inlineStr"/>
      <c r="I309" s="26" t="inlineStr">
        <is>
          <t>A contacter</t>
        </is>
      </c>
      <c r="J309" s="27" t="n"/>
      <c r="K309" s="26" t="n"/>
      <c r="L309" s="26" t="n">
        <v>1</v>
      </c>
      <c r="M309" s="26" t="n"/>
      <c r="N309" s="26" t="inlineStr"/>
      <c r="O309" s="28">
        <f>IF(OR($J309="",$K309="",$M309=""),"",($J309+IF(AND($L309&gt;=2,$J309=5000),3000,0))*$K309*$M309)</f>
        <v/>
      </c>
      <c r="P309" s="26" t="inlineStr"/>
    </row>
    <row r="310">
      <c r="A310" s="25" t="n">
        <v>1</v>
      </c>
      <c r="B310" s="25" t="inlineStr">
        <is>
          <t>INSTITUT SUPERIEUR AKANDJI (IS AKANDJI)</t>
        </is>
      </c>
      <c r="C310" s="25" t="inlineStr">
        <is>
          <t>Abidjan - Cocody</t>
        </is>
      </c>
      <c r="D310" s="25" t="inlineStr">
        <is>
          <t>+225 07 48 97 47 61</t>
        </is>
      </c>
      <c r="E310" s="25" t="inlineStr">
        <is>
          <t>+225 07 48 97 47 61</t>
        </is>
      </c>
      <c r="F310" s="25" t="inlineStr">
        <is>
          <t>info@instituteakanji.com</t>
        </is>
      </c>
      <c r="G310" s="26" t="inlineStr"/>
      <c r="H310" s="26" t="inlineStr"/>
      <c r="I310" s="26" t="inlineStr">
        <is>
          <t>A contacter</t>
        </is>
      </c>
      <c r="J310" s="27" t="n"/>
      <c r="K310" s="26" t="n"/>
      <c r="L310" s="26" t="n">
        <v>1</v>
      </c>
      <c r="M310" s="26" t="n"/>
      <c r="N310" s="26" t="inlineStr"/>
      <c r="O310" s="28">
        <f>IF(OR($J310="",$K310="",$M310=""),"",($J310+IF(AND($L310&gt;=2,$J310=5000),3000,0))*$K310*$M310)</f>
        <v/>
      </c>
      <c r="P310" s="26" t="inlineStr"/>
    </row>
    <row r="311">
      <c r="A311" s="25" t="n">
        <v>1</v>
      </c>
      <c r="B311" s="25" t="inlineStr">
        <is>
          <t>INSTITUT SUPERIEUR ARC-EN-CIEL (ISA)</t>
        </is>
      </c>
      <c r="C311" s="25" t="inlineStr">
        <is>
          <t>Abidjan - Cocody</t>
        </is>
      </c>
      <c r="D311" s="25" t="inlineStr">
        <is>
          <t>+225 07 99 50 04 11</t>
        </is>
      </c>
      <c r="E311" s="25" t="inlineStr">
        <is>
          <t>+225 07 99 50 04 11</t>
        </is>
      </c>
      <c r="F311" s="25" t="inlineStr">
        <is>
          <t>info@groupeisa.ci</t>
        </is>
      </c>
      <c r="G311" s="26" t="inlineStr"/>
      <c r="H311" s="26" t="inlineStr"/>
      <c r="I311" s="26" t="inlineStr">
        <is>
          <t>A contacter</t>
        </is>
      </c>
      <c r="J311" s="27" t="n"/>
      <c r="K311" s="26" t="n"/>
      <c r="L311" s="26" t="n">
        <v>1</v>
      </c>
      <c r="M311" s="26" t="n"/>
      <c r="N311" s="26" t="inlineStr"/>
      <c r="O311" s="28">
        <f>IF(OR($J311="",$K311="",$M311=""),"",($J311+IF(AND($L311&gt;=2,$J311=5000),3000,0))*$K311*$M311)</f>
        <v/>
      </c>
      <c r="P311" s="26" t="inlineStr"/>
    </row>
    <row r="312">
      <c r="A312" s="25" t="n">
        <v>1</v>
      </c>
      <c r="B312" s="25" t="inlineStr">
        <is>
          <t>INSTITUT SUPERIEUR BLAISE PASCAL BINGERVILLE (ISBP)</t>
        </is>
      </c>
      <c r="C312" s="25" t="inlineStr">
        <is>
          <t>Abidjan - Bingerville</t>
        </is>
      </c>
      <c r="D312" s="25" t="inlineStr">
        <is>
          <t>+225 27 22 34 26 48</t>
        </is>
      </c>
      <c r="E312" s="25" t="inlineStr">
        <is>
          <t>+225 05 54 43 22 22</t>
        </is>
      </c>
      <c r="F312" s="25" t="inlineStr">
        <is>
          <t>isbp.dir@gmail.com</t>
        </is>
      </c>
      <c r="G312" s="26" t="inlineStr"/>
      <c r="H312" s="26" t="inlineStr"/>
      <c r="I312" s="26" t="inlineStr">
        <is>
          <t>A contacter</t>
        </is>
      </c>
      <c r="J312" s="27" t="n"/>
      <c r="K312" s="26" t="n"/>
      <c r="L312" s="26" t="n">
        <v>1</v>
      </c>
      <c r="M312" s="26" t="n"/>
      <c r="N312" s="26" t="inlineStr"/>
      <c r="O312" s="28">
        <f>IF(OR($J312="",$K312="",$M312=""),"",($J312+IF(AND($L312&gt;=2,$J312=5000),3000,0))*$K312*$M312)</f>
        <v/>
      </c>
      <c r="P312" s="26" t="inlineStr"/>
    </row>
    <row r="313">
      <c r="A313" s="25" t="n">
        <v>1</v>
      </c>
      <c r="B313" s="25" t="inlineStr">
        <is>
          <t>INSTITUT SUPERIEUR BOSOL (ISB ABIDJAN)</t>
        </is>
      </c>
      <c r="C313" s="25" t="inlineStr">
        <is>
          <t>Abidjan - Cocody</t>
        </is>
      </c>
      <c r="D313" s="25" t="inlineStr">
        <is>
          <t>+225 01 03 74 32 80</t>
        </is>
      </c>
      <c r="E313" s="25" t="inlineStr">
        <is>
          <t>+225 01 03 74 32 80</t>
        </is>
      </c>
      <c r="F313" s="25" t="inlineStr">
        <is>
          <t>institutbosol.abidjan@gmail.com</t>
        </is>
      </c>
      <c r="G313" s="26" t="inlineStr"/>
      <c r="H313" s="26" t="inlineStr"/>
      <c r="I313" s="26" t="inlineStr">
        <is>
          <t>A contacter</t>
        </is>
      </c>
      <c r="J313" s="27" t="n"/>
      <c r="K313" s="26" t="n"/>
      <c r="L313" s="26" t="n">
        <v>1</v>
      </c>
      <c r="M313" s="26" t="n"/>
      <c r="N313" s="26" t="inlineStr"/>
      <c r="O313" s="28">
        <f>IF(OR($J313="",$K313="",$M313=""),"",($J313+IF(AND($L313&gt;=2,$J313=5000),3000,0))*$K313*$M313)</f>
        <v/>
      </c>
      <c r="P313" s="26" t="inlineStr"/>
    </row>
    <row r="314">
      <c r="A314" s="25" t="n">
        <v>1</v>
      </c>
      <c r="B314" s="25" t="inlineStr">
        <is>
          <t>INSTITUT SUPERIEUR D'ADMINISTRATION D'ENTREPRISE (ISAE ABIDJAN)</t>
        </is>
      </c>
      <c r="C314" s="25" t="inlineStr">
        <is>
          <t>Abidjan - Cocody</t>
        </is>
      </c>
      <c r="D314" s="25" t="inlineStr">
        <is>
          <t>+225 27 22 43 54 05</t>
        </is>
      </c>
      <c r="E314" s="25" t="inlineStr">
        <is>
          <t>+225 07 09 74 28 16</t>
        </is>
      </c>
      <c r="F314" s="25" t="inlineStr">
        <is>
          <t>info@isaeci.com</t>
        </is>
      </c>
      <c r="G314" s="26" t="inlineStr"/>
      <c r="H314" s="26" t="inlineStr"/>
      <c r="I314" s="26" t="inlineStr">
        <is>
          <t>A contacter</t>
        </is>
      </c>
      <c r="J314" s="27" t="n"/>
      <c r="K314" s="26" t="n"/>
      <c r="L314" s="26" t="n">
        <v>1</v>
      </c>
      <c r="M314" s="26" t="n"/>
      <c r="N314" s="26" t="inlineStr"/>
      <c r="O314" s="28">
        <f>IF(OR($J314="",$K314="",$M314=""),"",($J314+IF(AND($L314&gt;=2,$J314=5000),3000,0))*$K314*$M314)</f>
        <v/>
      </c>
      <c r="P314" s="26" t="inlineStr"/>
    </row>
    <row r="315">
      <c r="A315" s="25" t="n">
        <v>1</v>
      </c>
      <c r="B315" s="25" t="inlineStr">
        <is>
          <t>INSTITUT SUPERIEUR DE COMMERCE D'ADMINISTRATION ET DE TECHNOLOGIE (ISCAT)</t>
        </is>
      </c>
      <c r="C315" s="25" t="inlineStr">
        <is>
          <t>Abidjan - Cocody</t>
        </is>
      </c>
      <c r="D315" s="25" t="inlineStr">
        <is>
          <t>+225 07 06 66 66 63</t>
        </is>
      </c>
      <c r="E315" s="25" t="inlineStr">
        <is>
          <t>+225 07 06 66 66 63</t>
        </is>
      </c>
      <c r="F315" s="25" t="inlineStr"/>
      <c r="G315" s="26" t="inlineStr"/>
      <c r="H315" s="26" t="inlineStr"/>
      <c r="I315" s="26" t="inlineStr">
        <is>
          <t>A contacter</t>
        </is>
      </c>
      <c r="J315" s="27" t="n"/>
      <c r="K315" s="26" t="n"/>
      <c r="L315" s="26" t="n">
        <v>1</v>
      </c>
      <c r="M315" s="26" t="n"/>
      <c r="N315" s="26" t="inlineStr"/>
      <c r="O315" s="28">
        <f>IF(OR($J315="",$K315="",$M315=""),"",($J315+IF(AND($L315&gt;=2,$J315=5000),3000,0))*$K315*$M315)</f>
        <v/>
      </c>
      <c r="P315" s="26" t="inlineStr"/>
    </row>
    <row r="316">
      <c r="A316" s="25" t="n">
        <v>1</v>
      </c>
      <c r="B316" s="25" t="inlineStr">
        <is>
          <t>INSTITUT SUPERIEUR DE COMMERCE ET DE MANAGEMENT (ISCM)</t>
        </is>
      </c>
      <c r="C316" s="25" t="inlineStr">
        <is>
          <t>Abidjan - Cocody</t>
        </is>
      </c>
      <c r="D316" s="25" t="inlineStr">
        <is>
          <t>+225 27 22 42 80 47</t>
        </is>
      </c>
      <c r="E316" s="25" t="inlineStr"/>
      <c r="F316" s="25" t="inlineStr">
        <is>
          <t>iscmabidjan@gmail.com</t>
        </is>
      </c>
      <c r="G316" s="26" t="inlineStr"/>
      <c r="H316" s="26" t="inlineStr"/>
      <c r="I316" s="26" t="inlineStr">
        <is>
          <t>A contacter</t>
        </is>
      </c>
      <c r="J316" s="27" t="n"/>
      <c r="K316" s="26" t="n"/>
      <c r="L316" s="26" t="n">
        <v>1</v>
      </c>
      <c r="M316" s="26" t="n"/>
      <c r="N316" s="26" t="inlineStr"/>
      <c r="O316" s="28">
        <f>IF(OR($J316="",$K316="",$M316=""),"",($J316+IF(AND($L316&gt;=2,$J316=5000),3000,0))*$K316*$M316)</f>
        <v/>
      </c>
      <c r="P316" s="26" t="inlineStr"/>
    </row>
    <row r="317">
      <c r="A317" s="25" t="n">
        <v>1</v>
      </c>
      <c r="B317" s="25" t="inlineStr">
        <is>
          <t>INSTITUT SUPERIEUR DE COMMERCE ET DE MANAGEMENT MAERIFA (ISCM MAERIFA)</t>
        </is>
      </c>
      <c r="C317" s="25" t="inlineStr">
        <is>
          <t>Abidjan - Abobo</t>
        </is>
      </c>
      <c r="D317" s="25" t="inlineStr">
        <is>
          <t>+225 05 05 04 02 24</t>
        </is>
      </c>
      <c r="E317" s="25" t="inlineStr">
        <is>
          <t>+225 05 05 04 02 24</t>
        </is>
      </c>
      <c r="F317" s="25" t="inlineStr">
        <is>
          <t>dkoumba2009@yahoo.fr</t>
        </is>
      </c>
      <c r="G317" s="26" t="inlineStr"/>
      <c r="H317" s="26" t="inlineStr"/>
      <c r="I317" s="26" t="inlineStr">
        <is>
          <t>A contacter</t>
        </is>
      </c>
      <c r="J317" s="27" t="n"/>
      <c r="K317" s="26" t="n"/>
      <c r="L317" s="26" t="n">
        <v>1</v>
      </c>
      <c r="M317" s="26" t="n"/>
      <c r="N317" s="26" t="inlineStr"/>
      <c r="O317" s="28">
        <f>IF(OR($J317="",$K317="",$M317=""),"",($J317+IF(AND($L317&gt;=2,$J317=5000),3000,0))*$K317*$M317)</f>
        <v/>
      </c>
      <c r="P317" s="26" t="inlineStr"/>
    </row>
    <row r="318">
      <c r="A318" s="25" t="n">
        <v>1</v>
      </c>
      <c r="B318" s="25" t="inlineStr">
        <is>
          <t>INSTITUT SUPERIEUR DE COMMERCE, D'AGRICULTURE ET DE NOUVELLES TECHNOLOGIES (ISCANT)</t>
        </is>
      </c>
      <c r="C318" s="25" t="inlineStr">
        <is>
          <t>Abidjan - Cocody</t>
        </is>
      </c>
      <c r="D318" s="25" t="inlineStr">
        <is>
          <t>+225 07 48 80 93 52</t>
        </is>
      </c>
      <c r="E318" s="25" t="inlineStr">
        <is>
          <t>+225 07 48 80 93 52</t>
        </is>
      </c>
      <c r="F318" s="25" t="inlineStr"/>
      <c r="G318" s="26" t="inlineStr"/>
      <c r="H318" s="26" t="inlineStr"/>
      <c r="I318" s="26" t="inlineStr">
        <is>
          <t>A contacter</t>
        </is>
      </c>
      <c r="J318" s="27" t="n"/>
      <c r="K318" s="26" t="n"/>
      <c r="L318" s="26" t="n">
        <v>1</v>
      </c>
      <c r="M318" s="26" t="n"/>
      <c r="N318" s="26" t="inlineStr"/>
      <c r="O318" s="28">
        <f>IF(OR($J318="",$K318="",$M318=""),"",($J318+IF(AND($L318&gt;=2,$J318=5000),3000,0))*$K318*$M318)</f>
        <v/>
      </c>
      <c r="P318" s="26" t="inlineStr"/>
    </row>
    <row r="319">
      <c r="A319" s="25" t="n">
        <v>1</v>
      </c>
      <c r="B319" s="25" t="inlineStr">
        <is>
          <t>INSTITUT SUPERIEUR DE FORMATION APPLIQUEE (ISFA)</t>
        </is>
      </c>
      <c r="C319" s="25" t="inlineStr">
        <is>
          <t>Abidjan - Abobo</t>
        </is>
      </c>
      <c r="D319" s="25" t="inlineStr">
        <is>
          <t>+225 07 57 13 68 00</t>
        </is>
      </c>
      <c r="E319" s="25" t="inlineStr">
        <is>
          <t>+225 07 57 13 68 00</t>
        </is>
      </c>
      <c r="F319" s="25" t="inlineStr">
        <is>
          <t>isfa.institutsuperieur@gmail.com</t>
        </is>
      </c>
      <c r="G319" s="26" t="inlineStr"/>
      <c r="H319" s="26" t="inlineStr"/>
      <c r="I319" s="26" t="inlineStr">
        <is>
          <t>A contacter</t>
        </is>
      </c>
      <c r="J319" s="27" t="n"/>
      <c r="K319" s="26" t="n"/>
      <c r="L319" s="26" t="n">
        <v>1</v>
      </c>
      <c r="M319" s="26" t="n"/>
      <c r="N319" s="26" t="inlineStr"/>
      <c r="O319" s="28">
        <f>IF(OR($J319="",$K319="",$M319=""),"",($J319+IF(AND($L319&gt;=2,$J319=5000),3000,0))*$K319*$M319)</f>
        <v/>
      </c>
      <c r="P319" s="26" t="inlineStr"/>
    </row>
    <row r="320">
      <c r="A320" s="25" t="n">
        <v>1</v>
      </c>
      <c r="B320" s="25" t="inlineStr">
        <is>
          <t>INSTITUT SUPERIEUR DE FORMATION AUX METIERS DE L'INFORMATIQUE (ISFMI)</t>
        </is>
      </c>
      <c r="C320" s="25" t="inlineStr">
        <is>
          <t>Abidjan - Plateau</t>
        </is>
      </c>
      <c r="D320" s="25" t="inlineStr">
        <is>
          <t>+225 27 20 32 83 39</t>
        </is>
      </c>
      <c r="E320" s="25" t="inlineStr"/>
      <c r="F320" s="25" t="inlineStr">
        <is>
          <t>yeyinou123@yahoo.fr</t>
        </is>
      </c>
      <c r="G320" s="26" t="inlineStr"/>
      <c r="H320" s="26" t="inlineStr"/>
      <c r="I320" s="26" t="inlineStr">
        <is>
          <t>A contacter</t>
        </is>
      </c>
      <c r="J320" s="27" t="n"/>
      <c r="K320" s="26" t="n"/>
      <c r="L320" s="26" t="n">
        <v>1</v>
      </c>
      <c r="M320" s="26" t="n"/>
      <c r="N320" s="26" t="inlineStr"/>
      <c r="O320" s="28">
        <f>IF(OR($J320="",$K320="",$M320=""),"",($J320+IF(AND($L320&gt;=2,$J320=5000),3000,0))*$K320*$M320)</f>
        <v/>
      </c>
      <c r="P320" s="26" t="inlineStr"/>
    </row>
    <row r="321">
      <c r="A321" s="25" t="n">
        <v>1</v>
      </c>
      <c r="B321" s="25" t="inlineStr">
        <is>
          <t>INSTITUT SUPERIEUR DE FORMATION ELITE TECHNOLOGIE YOPOUGON NIANGON (ISF-ELITECH)</t>
        </is>
      </c>
      <c r="C321" s="25" t="inlineStr">
        <is>
          <t>Abidjan - Yopougon</t>
        </is>
      </c>
      <c r="D321" s="25" t="inlineStr">
        <is>
          <t>+225 07 07 38 06 92</t>
        </is>
      </c>
      <c r="E321" s="25" t="inlineStr">
        <is>
          <t>+225 07 07 38 06 92</t>
        </is>
      </c>
      <c r="F321" s="25" t="inlineStr">
        <is>
          <t>isf.elitech@gmail.com</t>
        </is>
      </c>
      <c r="G321" s="26" t="inlineStr"/>
      <c r="H321" s="26" t="inlineStr"/>
      <c r="I321" s="26" t="inlineStr">
        <is>
          <t>A contacter</t>
        </is>
      </c>
      <c r="J321" s="27" t="n"/>
      <c r="K321" s="26" t="n"/>
      <c r="L321" s="26" t="n">
        <v>1</v>
      </c>
      <c r="M321" s="26" t="n"/>
      <c r="N321" s="26" t="inlineStr"/>
      <c r="O321" s="28">
        <f>IF(OR($J321="",$K321="",$M321=""),"",($J321+IF(AND($L321&gt;=2,$J321=5000),3000,0))*$K321*$M321)</f>
        <v/>
      </c>
      <c r="P321" s="26" t="inlineStr"/>
    </row>
    <row r="322">
      <c r="A322" s="25" t="n">
        <v>1</v>
      </c>
      <c r="B322" s="25" t="inlineStr">
        <is>
          <t>INSTITUT SUPERIEUR DE FORMATION EN COMMERCE ET GESTION D'ABIDJAN (ISFCG)</t>
        </is>
      </c>
      <c r="C322" s="25" t="inlineStr">
        <is>
          <t>Abidjan - Cocody</t>
        </is>
      </c>
      <c r="D322" s="25" t="inlineStr">
        <is>
          <t>+225 27 22 52 49 48</t>
        </is>
      </c>
      <c r="E322" s="25" t="inlineStr">
        <is>
          <t>+225 07 48 36 37 22</t>
        </is>
      </c>
      <c r="F322" s="25" t="inlineStr"/>
      <c r="G322" s="26" t="inlineStr"/>
      <c r="H322" s="26" t="inlineStr"/>
      <c r="I322" s="26" t="inlineStr">
        <is>
          <t>A contacter</t>
        </is>
      </c>
      <c r="J322" s="27" t="n"/>
      <c r="K322" s="26" t="n"/>
      <c r="L322" s="26" t="n">
        <v>1</v>
      </c>
      <c r="M322" s="26" t="n"/>
      <c r="N322" s="26" t="inlineStr"/>
      <c r="O322" s="28">
        <f>IF(OR($J322="",$K322="",$M322=""),"",($J322+IF(AND($L322&gt;=2,$J322=5000),3000,0))*$K322*$M322)</f>
        <v/>
      </c>
      <c r="P322" s="26" t="inlineStr"/>
    </row>
    <row r="323">
      <c r="A323" s="25" t="n">
        <v>1</v>
      </c>
      <c r="B323" s="25" t="inlineStr">
        <is>
          <t>INSTITUT SUPERIEUR DE FORMATION ET D'INNOVATION D'ABIDJAN - ISFIA</t>
        </is>
      </c>
      <c r="C323" s="25" t="inlineStr">
        <is>
          <t>Abidjan - Cocody</t>
        </is>
      </c>
      <c r="D323" s="25" t="inlineStr"/>
      <c r="E323" s="25" t="inlineStr"/>
      <c r="F323" s="25" t="inlineStr">
        <is>
          <t>isfiaabidjan@gmail.com</t>
        </is>
      </c>
      <c r="G323" s="26" t="inlineStr"/>
      <c r="H323" s="26" t="inlineStr"/>
      <c r="I323" s="26" t="inlineStr">
        <is>
          <t>A contacter</t>
        </is>
      </c>
      <c r="J323" s="27" t="n"/>
      <c r="K323" s="26" t="n"/>
      <c r="L323" s="26" t="n">
        <v>1</v>
      </c>
      <c r="M323" s="26" t="n"/>
      <c r="N323" s="26" t="inlineStr"/>
      <c r="O323" s="28">
        <f>IF(OR($J323="",$K323="",$M323=""),"",($J323+IF(AND($L323&gt;=2,$J323=5000),3000,0))*$K323*$M323)</f>
        <v/>
      </c>
      <c r="P323" s="26" t="inlineStr"/>
    </row>
    <row r="324">
      <c r="A324" s="25" t="n">
        <v>1</v>
      </c>
      <c r="B324" s="25" t="inlineStr">
        <is>
          <t>INSTITUT SUPERIEUR DE FORMATION POUR LE DEVELOPPEMENT DES COMPETENCES (ISDEC)</t>
        </is>
      </c>
      <c r="C324" s="25" t="inlineStr">
        <is>
          <t>Abidjan - Abobo</t>
        </is>
      </c>
      <c r="D324" s="25" t="inlineStr">
        <is>
          <t>+225 07 58 16 42 16</t>
        </is>
      </c>
      <c r="E324" s="25" t="inlineStr">
        <is>
          <t>+225 07 58 16 42 16</t>
        </is>
      </c>
      <c r="F324" s="25" t="inlineStr">
        <is>
          <t>isdecabobo@gmail.com</t>
        </is>
      </c>
      <c r="G324" s="26" t="inlineStr"/>
      <c r="H324" s="26" t="inlineStr"/>
      <c r="I324" s="26" t="inlineStr">
        <is>
          <t>A contacter</t>
        </is>
      </c>
      <c r="J324" s="27" t="n"/>
      <c r="K324" s="26" t="n"/>
      <c r="L324" s="26" t="n">
        <v>1</v>
      </c>
      <c r="M324" s="26" t="n"/>
      <c r="N324" s="26" t="inlineStr"/>
      <c r="O324" s="28">
        <f>IF(OR($J324="",$K324="",$M324=""),"",($J324+IF(AND($L324&gt;=2,$J324=5000),3000,0))*$K324*$M324)</f>
        <v/>
      </c>
      <c r="P324" s="26" t="inlineStr"/>
    </row>
    <row r="325">
      <c r="A325" s="25" t="n">
        <v>1</v>
      </c>
      <c r="B325" s="25" t="inlineStr">
        <is>
          <t>INSTITUT SUPERIEUR DE FORMATION SIBATA (ISFOS)</t>
        </is>
      </c>
      <c r="C325" s="25" t="inlineStr">
        <is>
          <t>Abidjan - Yopougon</t>
        </is>
      </c>
      <c r="D325" s="25" t="inlineStr">
        <is>
          <t>+225 07 07 26 46 57</t>
        </is>
      </c>
      <c r="E325" s="25" t="inlineStr">
        <is>
          <t>+225 07 07 26 46 57</t>
        </is>
      </c>
      <c r="F325" s="25" t="inlineStr">
        <is>
          <t>isfos.sibata@gmail.com</t>
        </is>
      </c>
      <c r="G325" s="26" t="inlineStr"/>
      <c r="H325" s="26" t="inlineStr"/>
      <c r="I325" s="26" t="inlineStr">
        <is>
          <t>A contacter</t>
        </is>
      </c>
      <c r="J325" s="27" t="n"/>
      <c r="K325" s="26" t="n"/>
      <c r="L325" s="26" t="n">
        <v>1</v>
      </c>
      <c r="M325" s="26" t="n"/>
      <c r="N325" s="26" t="inlineStr"/>
      <c r="O325" s="28">
        <f>IF(OR($J325="",$K325="",$M325=""),"",($J325+IF(AND($L325&gt;=2,$J325=5000),3000,0))*$K325*$M325)</f>
        <v/>
      </c>
      <c r="P325" s="26" t="inlineStr"/>
    </row>
    <row r="326">
      <c r="A326" s="25" t="n">
        <v>1</v>
      </c>
      <c r="B326" s="25" t="inlineStr">
        <is>
          <t>INSTITUT SUPERIEUR DE GESTION DES ENTREPRISES (ISGE)</t>
        </is>
      </c>
      <c r="C326" s="25" t="inlineStr">
        <is>
          <t>Abidjan - Cocody</t>
        </is>
      </c>
      <c r="D326" s="25" t="inlineStr">
        <is>
          <t>+225 27 22 44 23 00</t>
        </is>
      </c>
      <c r="E326" s="25" t="inlineStr">
        <is>
          <t>+225 27 22 29 07 05</t>
        </is>
      </c>
      <c r="F326" s="25" t="inlineStr"/>
      <c r="G326" s="26" t="inlineStr"/>
      <c r="H326" s="26" t="inlineStr"/>
      <c r="I326" s="26" t="inlineStr">
        <is>
          <t>A contacter</t>
        </is>
      </c>
      <c r="J326" s="27" t="n"/>
      <c r="K326" s="26" t="n"/>
      <c r="L326" s="26" t="n">
        <v>1</v>
      </c>
      <c r="M326" s="26" t="n"/>
      <c r="N326" s="26" t="inlineStr"/>
      <c r="O326" s="28">
        <f>IF(OR($J326="",$K326="",$M326=""),"",($J326+IF(AND($L326&gt;=2,$J326=5000),3000,0))*$K326*$M326)</f>
        <v/>
      </c>
      <c r="P326" s="26" t="inlineStr"/>
    </row>
    <row r="327">
      <c r="A327" s="25" t="n">
        <v>1</v>
      </c>
      <c r="B327" s="25" t="inlineStr">
        <is>
          <t>INSTITUT SUPERIEUR DE GESTION ET DU BATIMENT (ISG BAT)</t>
        </is>
      </c>
      <c r="C327" s="25" t="inlineStr">
        <is>
          <t>Abidjan - Yopougon</t>
        </is>
      </c>
      <c r="D327" s="25" t="inlineStr">
        <is>
          <t>+225 07 08 09 92 41</t>
        </is>
      </c>
      <c r="E327" s="25" t="inlineStr">
        <is>
          <t>+225 07 08 09 92 41</t>
        </is>
      </c>
      <c r="F327" s="25" t="inlineStr">
        <is>
          <t>info@isgbat-ci.com</t>
        </is>
      </c>
      <c r="G327" s="26" t="inlineStr"/>
      <c r="H327" s="26" t="inlineStr"/>
      <c r="I327" s="26" t="inlineStr">
        <is>
          <t>A contacter</t>
        </is>
      </c>
      <c r="J327" s="27" t="n"/>
      <c r="K327" s="26" t="n"/>
      <c r="L327" s="26" t="n">
        <v>1</v>
      </c>
      <c r="M327" s="26" t="n"/>
      <c r="N327" s="26" t="inlineStr"/>
      <c r="O327" s="28">
        <f>IF(OR($J327="",$K327="",$M327=""),"",($J327+IF(AND($L327&gt;=2,$J327=5000),3000,0))*$K327*$M327)</f>
        <v/>
      </c>
      <c r="P327" s="26" t="inlineStr"/>
    </row>
    <row r="328">
      <c r="A328" s="25" t="n">
        <v>1</v>
      </c>
      <c r="B328" s="25" t="inlineStr">
        <is>
          <t>INSTITUT SUPERIEUR DE LA CULTURE ET DES ARTS (INSCA)</t>
        </is>
      </c>
      <c r="C328" s="25" t="inlineStr">
        <is>
          <t>Abidjan - Cocody</t>
        </is>
      </c>
      <c r="D328" s="25" t="inlineStr">
        <is>
          <t>+225 27 22 41 81 25</t>
        </is>
      </c>
      <c r="E328" s="25" t="inlineStr">
        <is>
          <t>+225 07 47 80 67 24</t>
        </is>
      </c>
      <c r="F328" s="25" t="inlineStr">
        <is>
          <t>inscafor@yahoo.fr</t>
        </is>
      </c>
      <c r="G328" s="26" t="inlineStr"/>
      <c r="H328" s="26" t="inlineStr"/>
      <c r="I328" s="26" t="inlineStr">
        <is>
          <t>A contacter</t>
        </is>
      </c>
      <c r="J328" s="27" t="n"/>
      <c r="K328" s="26" t="n"/>
      <c r="L328" s="26" t="n">
        <v>1</v>
      </c>
      <c r="M328" s="26" t="n"/>
      <c r="N328" s="26" t="inlineStr"/>
      <c r="O328" s="28">
        <f>IF(OR($J328="",$K328="",$M328=""),"",($J328+IF(AND($L328&gt;=2,$J328=5000),3000,0))*$K328*$M328)</f>
        <v/>
      </c>
      <c r="P328" s="26" t="inlineStr"/>
    </row>
    <row r="329">
      <c r="A329" s="25" t="n">
        <v>1</v>
      </c>
      <c r="B329" s="25" t="inlineStr">
        <is>
          <t>INSTITUT SUPERIEUR DE MANAGEMENT ADONAÏ (ISM ADONAÏ)</t>
        </is>
      </c>
      <c r="C329" s="25" t="inlineStr">
        <is>
          <t>Abidjan - Cocody</t>
        </is>
      </c>
      <c r="D329" s="25" t="inlineStr">
        <is>
          <t>+225 01 41 80 55 12</t>
        </is>
      </c>
      <c r="E329" s="25" t="inlineStr">
        <is>
          <t>+225 01 41 80 55 12</t>
        </is>
      </c>
      <c r="F329" s="25" t="inlineStr">
        <is>
          <t>infoismadonaici@ismadonai.net</t>
        </is>
      </c>
      <c r="G329" s="26" t="inlineStr"/>
      <c r="H329" s="26" t="inlineStr"/>
      <c r="I329" s="26" t="inlineStr">
        <is>
          <t>A contacter</t>
        </is>
      </c>
      <c r="J329" s="27" t="n"/>
      <c r="K329" s="26" t="n"/>
      <c r="L329" s="26" t="n">
        <v>1</v>
      </c>
      <c r="M329" s="26" t="n"/>
      <c r="N329" s="26" t="inlineStr"/>
      <c r="O329" s="28">
        <f>IF(OR($J329="",$K329="",$M329=""),"",($J329+IF(AND($L329&gt;=2,$J329=5000),3000,0))*$K329*$M329)</f>
        <v/>
      </c>
      <c r="P329" s="26" t="inlineStr"/>
    </row>
    <row r="330">
      <c r="A330" s="25" t="n">
        <v>1</v>
      </c>
      <c r="B330" s="25" t="inlineStr">
        <is>
          <t>INSTITUT SUPERIEUR DE MARKETING ET DE COMPTABILITE COCODY (ISMC COCODY)</t>
        </is>
      </c>
      <c r="C330" s="25" t="inlineStr">
        <is>
          <t>Abidjan - Cocody</t>
        </is>
      </c>
      <c r="D330" s="25" t="inlineStr">
        <is>
          <t>+225 07 07 74 82 34</t>
        </is>
      </c>
      <c r="E330" s="25" t="inlineStr">
        <is>
          <t>+225 07 07 74 82 34</t>
        </is>
      </c>
      <c r="F330" s="25" t="inlineStr">
        <is>
          <t>ismcabatta@gmail.com</t>
        </is>
      </c>
      <c r="G330" s="26" t="inlineStr"/>
      <c r="H330" s="26" t="inlineStr"/>
      <c r="I330" s="26" t="inlineStr">
        <is>
          <t>A contacter</t>
        </is>
      </c>
      <c r="J330" s="27" t="n"/>
      <c r="K330" s="26" t="n"/>
      <c r="L330" s="26" t="n">
        <v>1</v>
      </c>
      <c r="M330" s="26" t="n"/>
      <c r="N330" s="26" t="inlineStr"/>
      <c r="O330" s="28">
        <f>IF(OR($J330="",$K330="",$M330=""),"",($J330+IF(AND($L330&gt;=2,$J330=5000),3000,0))*$K330*$M330)</f>
        <v/>
      </c>
      <c r="P330" s="26" t="inlineStr"/>
    </row>
    <row r="331">
      <c r="A331" s="25" t="n">
        <v>1</v>
      </c>
      <c r="B331" s="25" t="inlineStr">
        <is>
          <t>INSTITUT SUPERIEUR DE STATISTIQUE D'ECONOMETRIE ET DE DATA SCIENCE (INSSEDS)</t>
        </is>
      </c>
      <c r="C331" s="25" t="inlineStr">
        <is>
          <t>Abidjan - Cocody</t>
        </is>
      </c>
      <c r="D331" s="25" t="inlineStr">
        <is>
          <t>+225 07 08 08 91 29</t>
        </is>
      </c>
      <c r="E331" s="25" t="inlineStr">
        <is>
          <t>+225 07 08 08 91 29</t>
        </is>
      </c>
      <c r="F331" s="25" t="inlineStr">
        <is>
          <t>infos@insseds-edu.com</t>
        </is>
      </c>
      <c r="G331" s="26" t="inlineStr"/>
      <c r="H331" s="26" t="inlineStr"/>
      <c r="I331" s="26" t="inlineStr">
        <is>
          <t>A contacter</t>
        </is>
      </c>
      <c r="J331" s="27" t="n"/>
      <c r="K331" s="26" t="n"/>
      <c r="L331" s="26" t="n">
        <v>1</v>
      </c>
      <c r="M331" s="26" t="n"/>
      <c r="N331" s="26" t="inlineStr"/>
      <c r="O331" s="28">
        <f>IF(OR($J331="",$K331="",$M331=""),"",($J331+IF(AND($L331&gt;=2,$J331=5000),3000,0))*$K331*$M331)</f>
        <v/>
      </c>
      <c r="P331" s="26" t="inlineStr"/>
    </row>
    <row r="332">
      <c r="A332" s="25" t="n">
        <v>1</v>
      </c>
      <c r="B332" s="25" t="inlineStr">
        <is>
          <t>INSTITUT SUPERIEUR DE TECHNOLOGIE DE COTE D'IVOIRE COCODY (ISTCI COCODY) (ISTCI-2PLATEAUX)</t>
        </is>
      </c>
      <c r="C332" s="25" t="inlineStr">
        <is>
          <t>Abidjan - Cocody</t>
        </is>
      </c>
      <c r="D332" s="25" t="inlineStr"/>
      <c r="E332" s="25" t="inlineStr"/>
      <c r="F332" s="25" t="inlineStr">
        <is>
          <t>rusta.istci2@gmail.com</t>
        </is>
      </c>
      <c r="G332" s="26" t="inlineStr"/>
      <c r="H332" s="26" t="inlineStr"/>
      <c r="I332" s="26" t="inlineStr">
        <is>
          <t>A contacter</t>
        </is>
      </c>
      <c r="J332" s="27" t="n"/>
      <c r="K332" s="26" t="n"/>
      <c r="L332" s="26" t="n">
        <v>1</v>
      </c>
      <c r="M332" s="26" t="n"/>
      <c r="N332" s="26" t="inlineStr"/>
      <c r="O332" s="28">
        <f>IF(OR($J332="",$K332="",$M332=""),"",($J332+IF(AND($L332&gt;=2,$J332=5000),3000,0))*$K332*$M332)</f>
        <v/>
      </c>
      <c r="P332" s="26" t="inlineStr"/>
    </row>
    <row r="333">
      <c r="A333" s="25" t="n">
        <v>1</v>
      </c>
      <c r="B333" s="25" t="inlineStr">
        <is>
          <t>INSTITUT SUPERIEUR DE TECHNOLOGIE DE COTE D'IVOIRE PLATEAU (ISTCI PLATEAU)</t>
        </is>
      </c>
      <c r="C333" s="25" t="inlineStr">
        <is>
          <t>Abidjan - Plateau</t>
        </is>
      </c>
      <c r="D333" s="25" t="inlineStr"/>
      <c r="E333" s="25" t="inlineStr"/>
      <c r="F333" s="25" t="inlineStr">
        <is>
          <t>rusta.istci@gmail.com</t>
        </is>
      </c>
      <c r="G333" s="26" t="inlineStr"/>
      <c r="H333" s="26" t="inlineStr"/>
      <c r="I333" s="26" t="inlineStr">
        <is>
          <t>A contacter</t>
        </is>
      </c>
      <c r="J333" s="27" t="n"/>
      <c r="K333" s="26" t="n"/>
      <c r="L333" s="26" t="n">
        <v>1</v>
      </c>
      <c r="M333" s="26" t="n"/>
      <c r="N333" s="26" t="inlineStr"/>
      <c r="O333" s="28">
        <f>IF(OR($J333="",$K333="",$M333=""),"",($J333+IF(AND($L333&gt;=2,$J333=5000),3000,0))*$K333*$M333)</f>
        <v/>
      </c>
      <c r="P333" s="26" t="inlineStr"/>
    </row>
    <row r="334">
      <c r="A334" s="25" t="n">
        <v>1</v>
      </c>
      <c r="B334" s="25" t="inlineStr">
        <is>
          <t>INSTITUT SUPERIEUR DE TECHNOLOGIE DE COTE D'IVOIRE YOPOUGON (ISTCI YOPOUGON)</t>
        </is>
      </c>
      <c r="C334" s="25" t="inlineStr">
        <is>
          <t>Abidjan - Yopougon</t>
        </is>
      </c>
      <c r="D334" s="25" t="inlineStr"/>
      <c r="E334" s="25" t="inlineStr"/>
      <c r="F334" s="25" t="inlineStr">
        <is>
          <t>rusta.istci@gmail.com</t>
        </is>
      </c>
      <c r="G334" s="26" t="inlineStr"/>
      <c r="H334" s="26" t="inlineStr"/>
      <c r="I334" s="26" t="inlineStr">
        <is>
          <t>A contacter</t>
        </is>
      </c>
      <c r="J334" s="27" t="n"/>
      <c r="K334" s="26" t="n"/>
      <c r="L334" s="26" t="n">
        <v>1</v>
      </c>
      <c r="M334" s="26" t="n"/>
      <c r="N334" s="26" t="inlineStr"/>
      <c r="O334" s="28">
        <f>IF(OR($J334="",$K334="",$M334=""),"",($J334+IF(AND($L334&gt;=2,$J334=5000),3000,0))*$K334*$M334)</f>
        <v/>
      </c>
      <c r="P334" s="26" t="inlineStr"/>
    </row>
    <row r="335">
      <c r="A335" s="25" t="n">
        <v>1</v>
      </c>
      <c r="B335" s="25" t="inlineStr">
        <is>
          <t>INSTITUT SUPERIEUR DE TECHNOLOGIE DUBASS (IST-DUBASS)</t>
        </is>
      </c>
      <c r="C335" s="25" t="inlineStr">
        <is>
          <t>Abidjan - Riviera</t>
        </is>
      </c>
      <c r="D335" s="25" t="inlineStr">
        <is>
          <t>+225 27 22 00 47 67</t>
        </is>
      </c>
      <c r="E335" s="25" t="inlineStr"/>
      <c r="F335" s="25" t="inlineStr">
        <is>
          <t>istdubass@gmail.com</t>
        </is>
      </c>
      <c r="G335" s="26" t="inlineStr"/>
      <c r="H335" s="26" t="inlineStr"/>
      <c r="I335" s="26" t="inlineStr">
        <is>
          <t>A contacter</t>
        </is>
      </c>
      <c r="J335" s="27" t="n"/>
      <c r="K335" s="26" t="n"/>
      <c r="L335" s="26" t="n">
        <v>1</v>
      </c>
      <c r="M335" s="26" t="n"/>
      <c r="N335" s="26" t="inlineStr"/>
      <c r="O335" s="28">
        <f>IF(OR($J335="",$K335="",$M335=""),"",($J335+IF(AND($L335&gt;=2,$J335=5000),3000,0))*$K335*$M335)</f>
        <v/>
      </c>
      <c r="P335" s="26" t="inlineStr"/>
    </row>
    <row r="336">
      <c r="A336" s="25" t="n">
        <v>1</v>
      </c>
      <c r="B336" s="25" t="inlineStr">
        <is>
          <t>INSTITUT SUPERIEUR DE TECHNOLOGIE ET PROFESSIONNEL (ISTP) YOPOUGON</t>
        </is>
      </c>
      <c r="C336" s="25" t="inlineStr">
        <is>
          <t>Abidjan - Yopougon</t>
        </is>
      </c>
      <c r="D336" s="25" t="inlineStr">
        <is>
          <t>+225 07 09 00 86 00</t>
        </is>
      </c>
      <c r="E336" s="25" t="inlineStr">
        <is>
          <t>+225 07 09 00 86 00</t>
        </is>
      </c>
      <c r="F336" s="25" t="inlineStr">
        <is>
          <t>kouadioyacouba@gmail.com</t>
        </is>
      </c>
      <c r="G336" s="26" t="inlineStr"/>
      <c r="H336" s="26" t="inlineStr"/>
      <c r="I336" s="26" t="inlineStr">
        <is>
          <t>A contacter</t>
        </is>
      </c>
      <c r="J336" s="27" t="n"/>
      <c r="K336" s="26" t="n"/>
      <c r="L336" s="26" t="n">
        <v>1</v>
      </c>
      <c r="M336" s="26" t="n"/>
      <c r="N336" s="26" t="inlineStr"/>
      <c r="O336" s="28">
        <f>IF(OR($J336="",$K336="",$M336=""),"",($J336+IF(AND($L336&gt;=2,$J336=5000),3000,0))*$K336*$M336)</f>
        <v/>
      </c>
      <c r="P336" s="26" t="inlineStr"/>
    </row>
    <row r="337">
      <c r="A337" s="25" t="n">
        <v>1</v>
      </c>
      <c r="B337" s="25" t="inlineStr">
        <is>
          <t>INSTITUT SUPERIEUR DE TECHNOLOGIE LAMA FOFANA (ISTLAF)</t>
        </is>
      </c>
      <c r="C337" s="25" t="inlineStr">
        <is>
          <t>Abidjan - Yopougon</t>
        </is>
      </c>
      <c r="D337" s="25" t="inlineStr">
        <is>
          <t>+225 07 09 23 23 70</t>
        </is>
      </c>
      <c r="E337" s="25" t="inlineStr">
        <is>
          <t>+225 07 09 23 23 70</t>
        </is>
      </c>
      <c r="F337" s="25" t="inlineStr">
        <is>
          <t>gsl.lama@gmail.com</t>
        </is>
      </c>
      <c r="G337" s="26" t="inlineStr"/>
      <c r="H337" s="26" t="inlineStr"/>
      <c r="I337" s="26" t="inlineStr">
        <is>
          <t>A contacter</t>
        </is>
      </c>
      <c r="J337" s="27" t="n"/>
      <c r="K337" s="26" t="n"/>
      <c r="L337" s="26" t="n">
        <v>1</v>
      </c>
      <c r="M337" s="26" t="n"/>
      <c r="N337" s="26" t="inlineStr"/>
      <c r="O337" s="28">
        <f>IF(OR($J337="",$K337="",$M337=""),"",($J337+IF(AND($L337&gt;=2,$J337=5000),3000,0))*$K337*$M337)</f>
        <v/>
      </c>
      <c r="P337" s="26" t="inlineStr"/>
    </row>
    <row r="338">
      <c r="A338" s="25" t="n">
        <v>1</v>
      </c>
      <c r="B338" s="25" t="inlineStr">
        <is>
          <t>INSTITUT SUPERIEUR DE TECHNOLOGIES APPLIQUEES ET COMMERCIALES (INSTAC)</t>
        </is>
      </c>
      <c r="C338" s="25" t="inlineStr">
        <is>
          <t>Abidjan - Yopougon</t>
        </is>
      </c>
      <c r="D338" s="25" t="inlineStr">
        <is>
          <t>+225 27 23 52 23 98</t>
        </is>
      </c>
      <c r="E338" s="25" t="inlineStr"/>
      <c r="F338" s="25" t="inlineStr">
        <is>
          <t>instaclaude@gmail.com</t>
        </is>
      </c>
      <c r="G338" s="26" t="inlineStr"/>
      <c r="H338" s="26" t="inlineStr"/>
      <c r="I338" s="26" t="inlineStr">
        <is>
          <t>A contacter</t>
        </is>
      </c>
      <c r="J338" s="27" t="n"/>
      <c r="K338" s="26" t="n"/>
      <c r="L338" s="26" t="n">
        <v>1</v>
      </c>
      <c r="M338" s="26" t="n"/>
      <c r="N338" s="26" t="inlineStr"/>
      <c r="O338" s="28">
        <f>IF(OR($J338="",$K338="",$M338=""),"",($J338+IF(AND($L338&gt;=2,$J338=5000),3000,0))*$K338*$M338)</f>
        <v/>
      </c>
      <c r="P338" s="26" t="inlineStr"/>
    </row>
    <row r="339">
      <c r="A339" s="25" t="n">
        <v>1</v>
      </c>
      <c r="B339" s="25" t="inlineStr">
        <is>
          <t>INSTITUT SUPERIEUR DES CARRIERES COMMERCIALES COCODY (ISCC COCODY)</t>
        </is>
      </c>
      <c r="C339" s="25" t="inlineStr">
        <is>
          <t>Abidjan - Cocody</t>
        </is>
      </c>
      <c r="D339" s="25" t="inlineStr"/>
      <c r="E339" s="25" t="inlineStr"/>
      <c r="F339" s="25" t="inlineStr"/>
      <c r="G339" s="26" t="inlineStr"/>
      <c r="H339" s="26" t="inlineStr"/>
      <c r="I339" s="26" t="inlineStr">
        <is>
          <t>A contacter</t>
        </is>
      </c>
      <c r="J339" s="27" t="n"/>
      <c r="K339" s="26" t="n"/>
      <c r="L339" s="26" t="n">
        <v>1</v>
      </c>
      <c r="M339" s="26" t="n"/>
      <c r="N339" s="26" t="inlineStr"/>
      <c r="O339" s="28">
        <f>IF(OR($J339="",$K339="",$M339=""),"",($J339+IF(AND($L339&gt;=2,$J339=5000),3000,0))*$K339*$M339)</f>
        <v/>
      </c>
      <c r="P339" s="26" t="inlineStr"/>
    </row>
    <row r="340">
      <c r="A340" s="25" t="n">
        <v>1</v>
      </c>
      <c r="B340" s="25" t="inlineStr">
        <is>
          <t>INSTITUT SUPERIEUR DES CARRIERES COMMERCIALES TREICHVILLE (ISCC TREICHVILLE)</t>
        </is>
      </c>
      <c r="C340" s="25" t="inlineStr">
        <is>
          <t>Abidjan - Treichville</t>
        </is>
      </c>
      <c r="D340" s="25" t="inlineStr">
        <is>
          <t>+225 27 21 37 72 67</t>
        </is>
      </c>
      <c r="E340" s="25" t="inlineStr">
        <is>
          <t>+225 05 45 38 57 57</t>
        </is>
      </c>
      <c r="F340" s="25" t="inlineStr">
        <is>
          <t>iscc18@yahoo.fr</t>
        </is>
      </c>
      <c r="G340" s="26" t="inlineStr"/>
      <c r="H340" s="26" t="inlineStr"/>
      <c r="I340" s="26" t="inlineStr">
        <is>
          <t>A contacter</t>
        </is>
      </c>
      <c r="J340" s="27" t="n"/>
      <c r="K340" s="26" t="n"/>
      <c r="L340" s="26" t="n">
        <v>1</v>
      </c>
      <c r="M340" s="26" t="n"/>
      <c r="N340" s="26" t="inlineStr"/>
      <c r="O340" s="28">
        <f>IF(OR($J340="",$K340="",$M340=""),"",($J340+IF(AND($L340&gt;=2,$J340=5000),3000,0))*$K340*$M340)</f>
        <v/>
      </c>
      <c r="P340" s="26" t="inlineStr"/>
    </row>
    <row r="341">
      <c r="A341" s="25" t="n">
        <v>1</v>
      </c>
      <c r="B341" s="25" t="inlineStr">
        <is>
          <t>INSTITUT SUPERIEUR DES METIERS DE GESTION ET DE TECHNOLOGIE (ISMGT)</t>
        </is>
      </c>
      <c r="C341" s="25" t="inlineStr">
        <is>
          <t>Abidjan - Cocody</t>
        </is>
      </c>
      <c r="D341" s="25" t="inlineStr"/>
      <c r="E341" s="25" t="inlineStr"/>
      <c r="F341" s="25" t="inlineStr"/>
      <c r="G341" s="26" t="inlineStr"/>
      <c r="H341" s="26" t="inlineStr"/>
      <c r="I341" s="26" t="inlineStr">
        <is>
          <t>A contacter</t>
        </is>
      </c>
      <c r="J341" s="27" t="n"/>
      <c r="K341" s="26" t="n"/>
      <c r="L341" s="26" t="n">
        <v>1</v>
      </c>
      <c r="M341" s="26" t="n"/>
      <c r="N341" s="26" t="inlineStr"/>
      <c r="O341" s="28">
        <f>IF(OR($J341="",$K341="",$M341=""),"",($J341+IF(AND($L341&gt;=2,$J341=5000),3000,0))*$K341*$M341)</f>
        <v/>
      </c>
      <c r="P341" s="26" t="inlineStr"/>
    </row>
    <row r="342">
      <c r="A342" s="25" t="n">
        <v>1</v>
      </c>
      <c r="B342" s="25" t="inlineStr">
        <is>
          <t>INSTITUT SUPERIEUR DES NOUVELLES TECHNOLOGIES ET DE GESTION - GROUPE SEGBE (ISNTG - GROUPE SEGBE)</t>
        </is>
      </c>
      <c r="C342" s="25" t="inlineStr">
        <is>
          <t>Abidjan - Yopougon</t>
        </is>
      </c>
      <c r="D342" s="25" t="inlineStr">
        <is>
          <t>+225 07 08 03 27 77</t>
        </is>
      </c>
      <c r="E342" s="25" t="inlineStr">
        <is>
          <t>+225 07 08 03 27 77</t>
        </is>
      </c>
      <c r="F342" s="25" t="inlineStr">
        <is>
          <t>instgsegbe1@gmail.com</t>
        </is>
      </c>
      <c r="G342" s="26" t="inlineStr"/>
      <c r="H342" s="26" t="inlineStr"/>
      <c r="I342" s="26" t="inlineStr">
        <is>
          <t>A contacter</t>
        </is>
      </c>
      <c r="J342" s="27" t="n"/>
      <c r="K342" s="26" t="n"/>
      <c r="L342" s="26" t="n">
        <v>1</v>
      </c>
      <c r="M342" s="26" t="n"/>
      <c r="N342" s="26" t="inlineStr"/>
      <c r="O342" s="28">
        <f>IF(OR($J342="",$K342="",$M342=""),"",($J342+IF(AND($L342&gt;=2,$J342=5000),3000,0))*$K342*$M342)</f>
        <v/>
      </c>
      <c r="P342" s="26" t="inlineStr"/>
    </row>
    <row r="343">
      <c r="A343" s="25" t="n">
        <v>1</v>
      </c>
      <c r="B343" s="25" t="inlineStr">
        <is>
          <t>INSTITUT SUPERIEUR DES SCIENCES APPLIQUEES (INSSA)</t>
        </is>
      </c>
      <c r="C343" s="25" t="inlineStr">
        <is>
          <t>Abidjan - Cocody</t>
        </is>
      </c>
      <c r="D343" s="25" t="inlineStr">
        <is>
          <t>+225 27 22 42 48 48</t>
        </is>
      </c>
      <c r="E343" s="25" t="inlineStr"/>
      <c r="F343" s="25" t="inlineStr">
        <is>
          <t>groupeinssa@hotmail.com</t>
        </is>
      </c>
      <c r="G343" s="26" t="inlineStr"/>
      <c r="H343" s="26" t="inlineStr"/>
      <c r="I343" s="26" t="inlineStr">
        <is>
          <t>A contacter</t>
        </is>
      </c>
      <c r="J343" s="27" t="n"/>
      <c r="K343" s="26" t="n"/>
      <c r="L343" s="26" t="n">
        <v>1</v>
      </c>
      <c r="M343" s="26" t="n"/>
      <c r="N343" s="26" t="inlineStr"/>
      <c r="O343" s="28">
        <f>IF(OR($J343="",$K343="",$M343=""),"",($J343+IF(AND($L343&gt;=2,$J343=5000),3000,0))*$K343*$M343)</f>
        <v/>
      </c>
      <c r="P343" s="26" t="inlineStr"/>
    </row>
    <row r="344">
      <c r="A344" s="25" t="n">
        <v>1</v>
      </c>
      <c r="B344" s="25" t="inlineStr">
        <is>
          <t>INSTITUT SUPERIEUR DES SCIENCES DE L AGRICULTURE ET DE L ALIMENTATION (INSSA-AL EPHRATA)</t>
        </is>
      </c>
      <c r="C344" s="25" t="inlineStr">
        <is>
          <t>Abidjan - Cocody</t>
        </is>
      </c>
      <c r="D344" s="25" t="inlineStr">
        <is>
          <t>+225 27 22 47 25 22</t>
        </is>
      </c>
      <c r="E344" s="25" t="inlineStr">
        <is>
          <t>+225 07 47 29 65 02</t>
        </is>
      </c>
      <c r="F344" s="25" t="inlineStr"/>
      <c r="G344" s="26" t="inlineStr"/>
      <c r="H344" s="26" t="inlineStr"/>
      <c r="I344" s="26" t="inlineStr">
        <is>
          <t>A contacter</t>
        </is>
      </c>
      <c r="J344" s="27" t="n"/>
      <c r="K344" s="26" t="n"/>
      <c r="L344" s="26" t="n">
        <v>1</v>
      </c>
      <c r="M344" s="26" t="n"/>
      <c r="N344" s="26" t="inlineStr"/>
      <c r="O344" s="28">
        <f>IF(OR($J344="",$K344="",$M344=""),"",($J344+IF(AND($L344&gt;=2,$J344=5000),3000,0))*$K344*$M344)</f>
        <v/>
      </c>
      <c r="P344" s="26" t="inlineStr"/>
    </row>
    <row r="345">
      <c r="A345" s="25" t="n">
        <v>1</v>
      </c>
      <c r="B345" s="25" t="inlineStr">
        <is>
          <t>INSTITUT SUPERIEUR DES SCIENCES ET DE GESTION (IS2G)</t>
        </is>
      </c>
      <c r="C345" s="25" t="inlineStr">
        <is>
          <t>Abidjan - Yopougon</t>
        </is>
      </c>
      <c r="D345" s="25" t="inlineStr"/>
      <c r="E345" s="25" t="inlineStr"/>
      <c r="F345" s="25" t="inlineStr"/>
      <c r="G345" s="26" t="inlineStr"/>
      <c r="H345" s="26" t="inlineStr"/>
      <c r="I345" s="26" t="inlineStr">
        <is>
          <t>A contacter</t>
        </is>
      </c>
      <c r="J345" s="27" t="n"/>
      <c r="K345" s="26" t="n"/>
      <c r="L345" s="26" t="n">
        <v>1</v>
      </c>
      <c r="M345" s="26" t="n"/>
      <c r="N345" s="26" t="inlineStr"/>
      <c r="O345" s="28">
        <f>IF(OR($J345="",$K345="",$M345=""),"",($J345+IF(AND($L345&gt;=2,$J345=5000),3000,0))*$K345*$M345)</f>
        <v/>
      </c>
      <c r="P345" s="26" t="inlineStr"/>
    </row>
    <row r="346">
      <c r="A346" s="25" t="n">
        <v>1</v>
      </c>
      <c r="B346" s="25" t="inlineStr">
        <is>
          <t>INSTITUT SUPERIEUR DES TECHNIQUES COMPTABLES, JURIDIQUES ET FISCALES BONOUA (ISTCJF BONOUA)</t>
        </is>
      </c>
      <c r="C346" s="25" t="inlineStr">
        <is>
          <t>Abidjan - Bonoua</t>
        </is>
      </c>
      <c r="D346" s="25" t="inlineStr">
        <is>
          <t>+225 27 21 31 03 13</t>
        </is>
      </c>
      <c r="E346" s="25" t="inlineStr">
        <is>
          <t>+225 07 49 61 34 04</t>
        </is>
      </c>
      <c r="F346" s="25" t="inlineStr">
        <is>
          <t>istcjfabidjan2018@gmail.com</t>
        </is>
      </c>
      <c r="G346" s="26" t="inlineStr"/>
      <c r="H346" s="26" t="inlineStr"/>
      <c r="I346" s="26" t="inlineStr">
        <is>
          <t>A contacter</t>
        </is>
      </c>
      <c r="J346" s="27" t="n"/>
      <c r="K346" s="26" t="n"/>
      <c r="L346" s="26" t="n">
        <v>1</v>
      </c>
      <c r="M346" s="26" t="n"/>
      <c r="N346" s="26" t="inlineStr"/>
      <c r="O346" s="28">
        <f>IF(OR($J346="",$K346="",$M346=""),"",($J346+IF(AND($L346&gt;=2,$J346=5000),3000,0))*$K346*$M346)</f>
        <v/>
      </c>
      <c r="P346" s="26" t="inlineStr"/>
    </row>
    <row r="347">
      <c r="A347" s="25" t="n">
        <v>1</v>
      </c>
      <c r="B347" s="25" t="inlineStr">
        <is>
          <t>INSTITUT SUPERIEUR DES TECHNIQUES COMPTABLES, JURIDIQUES ET FISCALES COCODY (ISTCJF COCODY)</t>
        </is>
      </c>
      <c r="C347" s="25" t="inlineStr">
        <is>
          <t>Abidjan - Cocody</t>
        </is>
      </c>
      <c r="D347" s="25" t="inlineStr">
        <is>
          <t>+225 27 22 40 40 07</t>
        </is>
      </c>
      <c r="E347" s="25" t="inlineStr">
        <is>
          <t>+225 01 01 70 63 88</t>
        </is>
      </c>
      <c r="F347" s="25" t="inlineStr">
        <is>
          <t>istcjfabidjan2018@gmail.com</t>
        </is>
      </c>
      <c r="G347" s="26" t="inlineStr"/>
      <c r="H347" s="26" t="inlineStr"/>
      <c r="I347" s="26" t="inlineStr">
        <is>
          <t>A contacter</t>
        </is>
      </c>
      <c r="J347" s="27" t="n"/>
      <c r="K347" s="26" t="n"/>
      <c r="L347" s="26" t="n">
        <v>1</v>
      </c>
      <c r="M347" s="26" t="n"/>
      <c r="N347" s="26" t="inlineStr"/>
      <c r="O347" s="28">
        <f>IF(OR($J347="",$K347="",$M347=""),"",($J347+IF(AND($L347&gt;=2,$J347=5000),3000,0))*$K347*$M347)</f>
        <v/>
      </c>
      <c r="P347" s="26" t="inlineStr"/>
    </row>
    <row r="348">
      <c r="A348" s="25" t="n">
        <v>1</v>
      </c>
      <c r="B348" s="25" t="inlineStr">
        <is>
          <t>INSTITUT SUPERIEUR DES TECHNOLOGIES ET DE MANAGEMENT ABIDJAN (ISTEMA PLATEAU) (GROUPE ISTEMA)</t>
        </is>
      </c>
      <c r="C348" s="25" t="inlineStr">
        <is>
          <t>Abidjan - Plateau</t>
        </is>
      </c>
      <c r="D348" s="25" t="inlineStr">
        <is>
          <t>+225 25 23 00 38 32</t>
        </is>
      </c>
      <c r="E348" s="25" t="inlineStr">
        <is>
          <t>+225 07 08 93 79 93</t>
        </is>
      </c>
      <c r="F348" s="25" t="inlineStr">
        <is>
          <t>2018groupe.istema@gmail.com</t>
        </is>
      </c>
      <c r="G348" s="26" t="inlineStr"/>
      <c r="H348" s="26" t="inlineStr"/>
      <c r="I348" s="26" t="inlineStr">
        <is>
          <t>A contacter</t>
        </is>
      </c>
      <c r="J348" s="27" t="n"/>
      <c r="K348" s="26" t="n"/>
      <c r="L348" s="26" t="n">
        <v>1</v>
      </c>
      <c r="M348" s="26" t="n"/>
      <c r="N348" s="26" t="inlineStr"/>
      <c r="O348" s="28">
        <f>IF(OR($J348="",$K348="",$M348=""),"",($J348+IF(AND($L348&gt;=2,$J348=5000),3000,0))*$K348*$M348)</f>
        <v/>
      </c>
      <c r="P348" s="26" t="inlineStr"/>
    </row>
    <row r="349">
      <c r="A349" s="25" t="n">
        <v>1</v>
      </c>
      <c r="B349" s="25" t="inlineStr">
        <is>
          <t>INSTITUT SUPERIEUR DES TECHNOLOGIES ET DE MANAGEMENT ABIDJAN (ISTEMA YOPOUGON)</t>
        </is>
      </c>
      <c r="C349" s="25" t="inlineStr">
        <is>
          <t>Abidjan - Yopougon</t>
        </is>
      </c>
      <c r="D349" s="25" t="inlineStr">
        <is>
          <t>+225 25 23 00 38 32</t>
        </is>
      </c>
      <c r="E349" s="25" t="inlineStr">
        <is>
          <t>+225 07 08 93 79 93</t>
        </is>
      </c>
      <c r="F349" s="25" t="inlineStr">
        <is>
          <t>2019.groupeistema.yop@gmail.com</t>
        </is>
      </c>
      <c r="G349" s="26" t="inlineStr"/>
      <c r="H349" s="26" t="inlineStr"/>
      <c r="I349" s="26" t="inlineStr">
        <is>
          <t>A contacter</t>
        </is>
      </c>
      <c r="J349" s="27" t="n"/>
      <c r="K349" s="26" t="n"/>
      <c r="L349" s="26" t="n">
        <v>1</v>
      </c>
      <c r="M349" s="26" t="n"/>
      <c r="N349" s="26" t="inlineStr"/>
      <c r="O349" s="28">
        <f>IF(OR($J349="",$K349="",$M349=""),"",($J349+IF(AND($L349&gt;=2,$J349=5000),3000,0))*$K349*$M349)</f>
        <v/>
      </c>
      <c r="P349" s="26" t="inlineStr"/>
    </row>
    <row r="350">
      <c r="A350" s="25" t="n">
        <v>1</v>
      </c>
      <c r="B350" s="25" t="inlineStr">
        <is>
          <t>INSTITUT SUPERIEUR DES TECHNOLOGIES ET DE MANAGEMENT COCODY (ISTM COCODY)</t>
        </is>
      </c>
      <c r="C350" s="25" t="inlineStr">
        <is>
          <t>Abidjan - Cocody</t>
        </is>
      </c>
      <c r="D350" s="25" t="inlineStr"/>
      <c r="E350" s="25" t="inlineStr"/>
      <c r="F350" s="25" t="inlineStr">
        <is>
          <t>diaksidik@gmail.com</t>
        </is>
      </c>
      <c r="G350" s="26" t="inlineStr"/>
      <c r="H350" s="26" t="inlineStr"/>
      <c r="I350" s="26" t="inlineStr">
        <is>
          <t>A contacter</t>
        </is>
      </c>
      <c r="J350" s="27" t="n"/>
      <c r="K350" s="26" t="n"/>
      <c r="L350" s="26" t="n">
        <v>1</v>
      </c>
      <c r="M350" s="26" t="n"/>
      <c r="N350" s="26" t="inlineStr"/>
      <c r="O350" s="28">
        <f>IF(OR($J350="",$K350="",$M350=""),"",($J350+IF(AND($L350&gt;=2,$J350=5000),3000,0))*$K350*$M350)</f>
        <v/>
      </c>
      <c r="P350" s="26" t="inlineStr"/>
    </row>
    <row r="351">
      <c r="A351" s="25" t="n">
        <v>1</v>
      </c>
      <c r="B351" s="25" t="inlineStr">
        <is>
          <t>INSTITUT SUPERIEUR DES TECHNOLOGIES ET DE MANAGEMENT PLATEAU (ISTM PLATEAU)</t>
        </is>
      </c>
      <c r="C351" s="25" t="inlineStr">
        <is>
          <t>Abidjan - Plateau</t>
        </is>
      </c>
      <c r="D351" s="25" t="inlineStr">
        <is>
          <t>+225 07 68 87 67 73</t>
        </is>
      </c>
      <c r="E351" s="25" t="inlineStr">
        <is>
          <t>+225 07 68 87 67 73</t>
        </is>
      </c>
      <c r="F351" s="25" t="inlineStr">
        <is>
          <t>diaksidik@gmail.com</t>
        </is>
      </c>
      <c r="G351" s="26" t="inlineStr"/>
      <c r="H351" s="26" t="inlineStr"/>
      <c r="I351" s="26" t="inlineStr">
        <is>
          <t>A contacter</t>
        </is>
      </c>
      <c r="J351" s="27" t="n"/>
      <c r="K351" s="26" t="n"/>
      <c r="L351" s="26" t="n">
        <v>1</v>
      </c>
      <c r="M351" s="26" t="n"/>
      <c r="N351" s="26" t="inlineStr"/>
      <c r="O351" s="28">
        <f>IF(OR($J351="",$K351="",$M351=""),"",($J351+IF(AND($L351&gt;=2,$J351=5000),3000,0))*$K351*$M351)</f>
        <v/>
      </c>
      <c r="P351" s="26" t="inlineStr"/>
    </row>
    <row r="352">
      <c r="A352" s="25" t="n">
        <v>1</v>
      </c>
      <c r="B352" s="25" t="inlineStr">
        <is>
          <t>INSTITUT SUPERIEUR DES TECHNOLOGIES ET DE MANAGEMENT YOPOUGON (ISTM YOPOUGON)</t>
        </is>
      </c>
      <c r="C352" s="25" t="inlineStr">
        <is>
          <t>Abidjan - Yopougon</t>
        </is>
      </c>
      <c r="D352" s="25" t="inlineStr">
        <is>
          <t>+225 01 02 23 23 95</t>
        </is>
      </c>
      <c r="E352" s="25" t="inlineStr">
        <is>
          <t>+225 01 02 23 23 95</t>
        </is>
      </c>
      <c r="F352" s="25" t="inlineStr">
        <is>
          <t>diaksidik@gmail.com</t>
        </is>
      </c>
      <c r="G352" s="26" t="inlineStr"/>
      <c r="H352" s="26" t="inlineStr"/>
      <c r="I352" s="26" t="inlineStr">
        <is>
          <t>A contacter</t>
        </is>
      </c>
      <c r="J352" s="27" t="n"/>
      <c r="K352" s="26" t="n"/>
      <c r="L352" s="26" t="n">
        <v>1</v>
      </c>
      <c r="M352" s="26" t="n"/>
      <c r="N352" s="26" t="inlineStr"/>
      <c r="O352" s="28">
        <f>IF(OR($J352="",$K352="",$M352=""),"",($J352+IF(AND($L352&gt;=2,$J352=5000),3000,0))*$K352*$M352)</f>
        <v/>
      </c>
      <c r="P352" s="26" t="inlineStr"/>
    </row>
    <row r="353">
      <c r="A353" s="25" t="n">
        <v>1</v>
      </c>
      <c r="B353" s="25" t="inlineStr">
        <is>
          <t>INSTITUT SUPERIEUR DJEKAT IGNACE DE LOYOLA (ISDIL)</t>
        </is>
      </c>
      <c r="C353" s="25" t="inlineStr">
        <is>
          <t>Abidjan - Bingerville</t>
        </is>
      </c>
      <c r="D353" s="25" t="inlineStr">
        <is>
          <t>+225 27 22 40 30 67</t>
        </is>
      </c>
      <c r="E353" s="25" t="inlineStr">
        <is>
          <t>+225 07 07 62 14 90</t>
        </is>
      </c>
      <c r="F353" s="25" t="inlineStr"/>
      <c r="G353" s="26" t="inlineStr"/>
      <c r="H353" s="26" t="inlineStr"/>
      <c r="I353" s="26" t="inlineStr">
        <is>
          <t>A contacter</t>
        </is>
      </c>
      <c r="J353" s="27" t="n"/>
      <c r="K353" s="26" t="n"/>
      <c r="L353" s="26" t="n">
        <v>1</v>
      </c>
      <c r="M353" s="26" t="n"/>
      <c r="N353" s="26" t="inlineStr"/>
      <c r="O353" s="28">
        <f>IF(OR($J353="",$K353="",$M353=""),"",($J353+IF(AND($L353&gt;=2,$J353=5000),3000,0))*$K353*$M353)</f>
        <v/>
      </c>
      <c r="P353" s="26" t="inlineStr"/>
    </row>
    <row r="354">
      <c r="A354" s="25" t="n">
        <v>1</v>
      </c>
      <c r="B354" s="25" t="inlineStr">
        <is>
          <t>INSTITUT SUPERIEUR EZ (IS- EZ)</t>
        </is>
      </c>
      <c r="C354" s="25" t="inlineStr">
        <is>
          <t>Abidjan - Abobo</t>
        </is>
      </c>
      <c r="D354" s="25" t="inlineStr">
        <is>
          <t>+225 27 22 41 73 90</t>
        </is>
      </c>
      <c r="E354" s="25" t="inlineStr"/>
      <c r="F354" s="25" t="inlineStr">
        <is>
          <t>institutsup2ez@gmail.com</t>
        </is>
      </c>
      <c r="G354" s="26" t="inlineStr"/>
      <c r="H354" s="26" t="inlineStr"/>
      <c r="I354" s="26" t="inlineStr">
        <is>
          <t>A contacter</t>
        </is>
      </c>
      <c r="J354" s="27" t="n"/>
      <c r="K354" s="26" t="n"/>
      <c r="L354" s="26" t="n">
        <v>1</v>
      </c>
      <c r="M354" s="26" t="n"/>
      <c r="N354" s="26" t="inlineStr"/>
      <c r="O354" s="28">
        <f>IF(OR($J354="",$K354="",$M354=""),"",($J354+IF(AND($L354&gt;=2,$J354=5000),3000,0))*$K354*$M354)</f>
        <v/>
      </c>
      <c r="P354" s="26" t="inlineStr"/>
    </row>
    <row r="355">
      <c r="A355" s="25" t="n">
        <v>1</v>
      </c>
      <c r="B355" s="25" t="inlineStr">
        <is>
          <t>INSTITUT SUPERIEUR EZOUA (ISE IROBO / DABOU)</t>
        </is>
      </c>
      <c r="C355" s="25" t="inlineStr">
        <is>
          <t>Abidjan - Dabou</t>
        </is>
      </c>
      <c r="D355" s="25" t="inlineStr"/>
      <c r="E355" s="25" t="inlineStr"/>
      <c r="F355" s="25" t="inlineStr">
        <is>
          <t>ezouaraymond@gmail.com</t>
        </is>
      </c>
      <c r="G355" s="26" t="inlineStr"/>
      <c r="H355" s="26" t="inlineStr"/>
      <c r="I355" s="26" t="inlineStr">
        <is>
          <t>A contacter</t>
        </is>
      </c>
      <c r="J355" s="27" t="n"/>
      <c r="K355" s="26" t="n"/>
      <c r="L355" s="26" t="n">
        <v>1</v>
      </c>
      <c r="M355" s="26" t="n"/>
      <c r="N355" s="26" t="inlineStr"/>
      <c r="O355" s="28">
        <f>IF(OR($J355="",$K355="",$M355=""),"",($J355+IF(AND($L355&gt;=2,$J355=5000),3000,0))*$K355*$M355)</f>
        <v/>
      </c>
      <c r="P355" s="26" t="inlineStr"/>
    </row>
    <row r="356">
      <c r="A356" s="25" t="n">
        <v>1</v>
      </c>
      <c r="B356" s="25" t="inlineStr">
        <is>
          <t>INSTITUT SUPERIEUR FADETTE 2 (ISF 2)</t>
        </is>
      </c>
      <c r="C356" s="25" t="inlineStr">
        <is>
          <t>Abidjan - Yopougon</t>
        </is>
      </c>
      <c r="D356" s="25" t="inlineStr">
        <is>
          <t>+225 07 08 33 17 89</t>
        </is>
      </c>
      <c r="E356" s="25" t="inlineStr">
        <is>
          <t>+225 07 08 33 17 89</t>
        </is>
      </c>
      <c r="F356" s="25" t="inlineStr"/>
      <c r="G356" s="26" t="inlineStr"/>
      <c r="H356" s="26" t="inlineStr"/>
      <c r="I356" s="26" t="inlineStr">
        <is>
          <t>A contacter</t>
        </is>
      </c>
      <c r="J356" s="27" t="n"/>
      <c r="K356" s="26" t="n"/>
      <c r="L356" s="26" t="n">
        <v>1</v>
      </c>
      <c r="M356" s="26" t="n"/>
      <c r="N356" s="26" t="inlineStr"/>
      <c r="O356" s="28">
        <f>IF(OR($J356="",$K356="",$M356=""),"",($J356+IF(AND($L356&gt;=2,$J356=5000),3000,0))*$K356*$M356)</f>
        <v/>
      </c>
      <c r="P356" s="26" t="inlineStr"/>
    </row>
    <row r="357">
      <c r="A357" s="25" t="n">
        <v>1</v>
      </c>
      <c r="B357" s="25" t="inlineStr">
        <is>
          <t>INSTITUT SUPERIEUR FRED ET POPEE/EP2059</t>
        </is>
      </c>
      <c r="C357" s="25" t="inlineStr">
        <is>
          <t>Abidjan - Cocody</t>
        </is>
      </c>
      <c r="D357" s="25" t="inlineStr"/>
      <c r="E357" s="25" t="inlineStr"/>
      <c r="F357" s="25" t="inlineStr"/>
      <c r="G357" s="26" t="inlineStr"/>
      <c r="H357" s="26" t="inlineStr"/>
      <c r="I357" s="26" t="inlineStr">
        <is>
          <t>A contacter</t>
        </is>
      </c>
      <c r="J357" s="27" t="n"/>
      <c r="K357" s="26" t="n"/>
      <c r="L357" s="26" t="n">
        <v>1</v>
      </c>
      <c r="M357" s="26" t="n"/>
      <c r="N357" s="26" t="inlineStr"/>
      <c r="O357" s="28">
        <f>IF(OR($J357="",$K357="",$M357=""),"",($J357+IF(AND($L357&gt;=2,$J357=5000),3000,0))*$K357*$M357)</f>
        <v/>
      </c>
      <c r="P357" s="26" t="inlineStr"/>
    </row>
    <row r="358">
      <c r="A358" s="25" t="n">
        <v>1</v>
      </c>
      <c r="B358" s="25" t="inlineStr">
        <is>
          <t>INSTITUT SUPERIEUR GNIRA-CI (IS GNIRA-CI)</t>
        </is>
      </c>
      <c r="C358" s="25" t="inlineStr">
        <is>
          <t>Abidjan - Yopougon</t>
        </is>
      </c>
      <c r="D358" s="25" t="inlineStr">
        <is>
          <t>+225 27 23 00 23 96</t>
        </is>
      </c>
      <c r="E358" s="25" t="inlineStr">
        <is>
          <t>+225 07 87 87 88 88</t>
        </is>
      </c>
      <c r="F358" s="25" t="inlineStr">
        <is>
          <t>gniraconsulting@gmail.com</t>
        </is>
      </c>
      <c r="G358" s="26" t="inlineStr"/>
      <c r="H358" s="26" t="inlineStr"/>
      <c r="I358" s="26" t="inlineStr">
        <is>
          <t>A contacter</t>
        </is>
      </c>
      <c r="J358" s="27" t="n"/>
      <c r="K358" s="26" t="n"/>
      <c r="L358" s="26" t="n">
        <v>1</v>
      </c>
      <c r="M358" s="26" t="n"/>
      <c r="N358" s="26" t="inlineStr"/>
      <c r="O358" s="28">
        <f>IF(OR($J358="",$K358="",$M358=""),"",($J358+IF(AND($L358&gt;=2,$J358=5000),3000,0))*$K358*$M358)</f>
        <v/>
      </c>
      <c r="P358" s="26" t="inlineStr"/>
    </row>
    <row r="359">
      <c r="A359" s="25" t="n">
        <v>1</v>
      </c>
      <c r="B359" s="25" t="inlineStr">
        <is>
          <t>INSTITUT SUPERIEUR GRACE MARIE (ISGM)</t>
        </is>
      </c>
      <c r="C359" s="25" t="inlineStr">
        <is>
          <t>Abidjan - Koumassi</t>
        </is>
      </c>
      <c r="D359" s="25" t="inlineStr">
        <is>
          <t>+225 07 47 68 63 40</t>
        </is>
      </c>
      <c r="E359" s="25" t="inlineStr">
        <is>
          <t>+225 07 47 68 63 40</t>
        </is>
      </c>
      <c r="F359" s="25" t="inlineStr"/>
      <c r="G359" s="26" t="inlineStr"/>
      <c r="H359" s="26" t="inlineStr"/>
      <c r="I359" s="26" t="inlineStr">
        <is>
          <t>A contacter</t>
        </is>
      </c>
      <c r="J359" s="27" t="n"/>
      <c r="K359" s="26" t="n"/>
      <c r="L359" s="26" t="n">
        <v>1</v>
      </c>
      <c r="M359" s="26" t="n"/>
      <c r="N359" s="26" t="inlineStr"/>
      <c r="O359" s="28">
        <f>IF(OR($J359="",$K359="",$M359=""),"",($J359+IF(AND($L359&gt;=2,$J359=5000),3000,0))*$K359*$M359)</f>
        <v/>
      </c>
      <c r="P359" s="26" t="inlineStr"/>
    </row>
    <row r="360">
      <c r="A360" s="25" t="n">
        <v>1</v>
      </c>
      <c r="B360" s="25" t="inlineStr">
        <is>
          <t>INSTITUT SUPERIEUR JONATHAN LEVIS (ISJL)</t>
        </is>
      </c>
      <c r="C360" s="25" t="inlineStr">
        <is>
          <t>Abidjan - Cocody</t>
        </is>
      </c>
      <c r="D360" s="25" t="inlineStr">
        <is>
          <t>+225 07 47 53 10 96</t>
        </is>
      </c>
      <c r="E360" s="25" t="inlineStr">
        <is>
          <t>+225 07 47 53 10 96</t>
        </is>
      </c>
      <c r="F360" s="25" t="inlineStr">
        <is>
          <t>isjlevis@gmail.com</t>
        </is>
      </c>
      <c r="G360" s="26" t="inlineStr"/>
      <c r="H360" s="26" t="inlineStr"/>
      <c r="I360" s="26" t="inlineStr">
        <is>
          <t>A contacter</t>
        </is>
      </c>
      <c r="J360" s="27" t="n"/>
      <c r="K360" s="26" t="n"/>
      <c r="L360" s="26" t="n">
        <v>1</v>
      </c>
      <c r="M360" s="26" t="n"/>
      <c r="N360" s="26" t="inlineStr"/>
      <c r="O360" s="28">
        <f>IF(OR($J360="",$K360="",$M360=""),"",($J360+IF(AND($L360&gt;=2,$J360=5000),3000,0))*$K360*$M360)</f>
        <v/>
      </c>
      <c r="P360" s="26" t="inlineStr"/>
    </row>
    <row r="361">
      <c r="A361" s="25" t="n">
        <v>1</v>
      </c>
      <c r="B361" s="25" t="inlineStr">
        <is>
          <t>INSTITUT SUPERIEUR KLEYS</t>
        </is>
      </c>
      <c r="C361" s="25" t="inlineStr">
        <is>
          <t>Abidjan - Cocody</t>
        </is>
      </c>
      <c r="D361" s="25" t="inlineStr">
        <is>
          <t>+225 25 22 02 28 16</t>
        </is>
      </c>
      <c r="E361" s="25" t="inlineStr">
        <is>
          <t>+225 05 56 59 00 04</t>
        </is>
      </c>
      <c r="F361" s="25" t="inlineStr">
        <is>
          <t>infos@kleys.edu.ci</t>
        </is>
      </c>
      <c r="G361" s="26" t="inlineStr"/>
      <c r="H361" s="26" t="inlineStr"/>
      <c r="I361" s="26" t="inlineStr">
        <is>
          <t>A contacter</t>
        </is>
      </c>
      <c r="J361" s="27" t="n"/>
      <c r="K361" s="26" t="n"/>
      <c r="L361" s="26" t="n">
        <v>1</v>
      </c>
      <c r="M361" s="26" t="n"/>
      <c r="N361" s="26" t="inlineStr"/>
      <c r="O361" s="28">
        <f>IF(OR($J361="",$K361="",$M361=""),"",($J361+IF(AND($L361&gt;=2,$J361=5000),3000,0))*$K361*$M361)</f>
        <v/>
      </c>
      <c r="P361" s="26" t="inlineStr"/>
    </row>
    <row r="362">
      <c r="A362" s="25" t="n">
        <v>1</v>
      </c>
      <c r="B362" s="25" t="inlineStr">
        <is>
          <t>INSTITUT SUPERIEUR LE FROMAGER (IS LE FROMAGER)</t>
        </is>
      </c>
      <c r="C362" s="25" t="inlineStr">
        <is>
          <t>Abidjan - Cocody</t>
        </is>
      </c>
      <c r="D362" s="25" t="inlineStr">
        <is>
          <t>+225 27 23 49 14 49</t>
        </is>
      </c>
      <c r="E362" s="25" t="inlineStr"/>
      <c r="F362" s="25" t="inlineStr"/>
      <c r="G362" s="26" t="inlineStr"/>
      <c r="H362" s="26" t="inlineStr"/>
      <c r="I362" s="26" t="inlineStr">
        <is>
          <t>A contacter</t>
        </is>
      </c>
      <c r="J362" s="27" t="n"/>
      <c r="K362" s="26" t="n"/>
      <c r="L362" s="26" t="n">
        <v>1</v>
      </c>
      <c r="M362" s="26" t="n"/>
      <c r="N362" s="26" t="inlineStr"/>
      <c r="O362" s="28">
        <f>IF(OR($J362="",$K362="",$M362=""),"",($J362+IF(AND($L362&gt;=2,$J362=5000),3000,0))*$K362*$M362)</f>
        <v/>
      </c>
      <c r="P362" s="26" t="inlineStr"/>
    </row>
    <row r="363">
      <c r="A363" s="25" t="n">
        <v>1</v>
      </c>
      <c r="B363" s="25" t="inlineStr">
        <is>
          <t>INSTITUT SUPERIEUR LE PONT NEUF (ISLPN)</t>
        </is>
      </c>
      <c r="C363" s="25" t="inlineStr">
        <is>
          <t>Abidjan - Cocody</t>
        </is>
      </c>
      <c r="D363" s="25" t="inlineStr">
        <is>
          <t>+225 07 07 98 65 86</t>
        </is>
      </c>
      <c r="E363" s="25" t="inlineStr">
        <is>
          <t>+225 07 07 98 65 86</t>
        </is>
      </c>
      <c r="F363" s="25" t="inlineStr"/>
      <c r="G363" s="26" t="inlineStr"/>
      <c r="H363" s="26" t="inlineStr"/>
      <c r="I363" s="26" t="inlineStr">
        <is>
          <t>A contacter</t>
        </is>
      </c>
      <c r="J363" s="27" t="n"/>
      <c r="K363" s="26" t="n"/>
      <c r="L363" s="26" t="n">
        <v>1</v>
      </c>
      <c r="M363" s="26" t="n"/>
      <c r="N363" s="26" t="inlineStr"/>
      <c r="O363" s="28">
        <f>IF(OR($J363="",$K363="",$M363=""),"",($J363+IF(AND($L363&gt;=2,$J363=5000),3000,0))*$K363*$M363)</f>
        <v/>
      </c>
      <c r="P363" s="26" t="inlineStr"/>
    </row>
    <row r="364">
      <c r="A364" s="25" t="n">
        <v>1</v>
      </c>
      <c r="B364" s="25" t="inlineStr">
        <is>
          <t>INSTITUT SUPERIEUR LOWMAMNESS (ISL YOPOUGON)</t>
        </is>
      </c>
      <c r="C364" s="25" t="inlineStr">
        <is>
          <t>Abidjan - Yopougon</t>
        </is>
      </c>
      <c r="D364" s="25" t="inlineStr">
        <is>
          <t>+225 07 79 69 28 32</t>
        </is>
      </c>
      <c r="E364" s="25" t="inlineStr">
        <is>
          <t>+225 07 79 69 28 32</t>
        </is>
      </c>
      <c r="F364" s="25" t="inlineStr">
        <is>
          <t>islowmamness@gmail.com</t>
        </is>
      </c>
      <c r="G364" s="26" t="inlineStr"/>
      <c r="H364" s="26" t="inlineStr"/>
      <c r="I364" s="26" t="inlineStr">
        <is>
          <t>A contacter</t>
        </is>
      </c>
      <c r="J364" s="27" t="n"/>
      <c r="K364" s="26" t="n"/>
      <c r="L364" s="26" t="n">
        <v>1</v>
      </c>
      <c r="M364" s="26" t="n"/>
      <c r="N364" s="26" t="inlineStr"/>
      <c r="O364" s="28">
        <f>IF(OR($J364="",$K364="",$M364=""),"",($J364+IF(AND($L364&gt;=2,$J364=5000),3000,0))*$K364*$M364)</f>
        <v/>
      </c>
      <c r="P364" s="26" t="inlineStr"/>
    </row>
    <row r="365">
      <c r="A365" s="25" t="n">
        <v>1</v>
      </c>
      <c r="B365" s="25" t="inlineStr">
        <is>
          <t>INSTITUT SUPERIEUR MICHEL ZADI (ISMZ)</t>
        </is>
      </c>
      <c r="C365" s="25" t="inlineStr">
        <is>
          <t>Abidjan - Yopougon</t>
        </is>
      </c>
      <c r="D365" s="25" t="inlineStr">
        <is>
          <t>+225 05 05 99 21 54</t>
        </is>
      </c>
      <c r="E365" s="25" t="inlineStr">
        <is>
          <t>+225 05 05 99 21 54</t>
        </is>
      </c>
      <c r="F365" s="25" t="inlineStr">
        <is>
          <t>k_n_m1975@yahoo.fr</t>
        </is>
      </c>
      <c r="G365" s="26" t="inlineStr"/>
      <c r="H365" s="26" t="inlineStr"/>
      <c r="I365" s="26" t="inlineStr">
        <is>
          <t>A contacter</t>
        </is>
      </c>
      <c r="J365" s="27" t="n"/>
      <c r="K365" s="26" t="n"/>
      <c r="L365" s="26" t="n">
        <v>1</v>
      </c>
      <c r="M365" s="26" t="n"/>
      <c r="N365" s="26" t="inlineStr"/>
      <c r="O365" s="28">
        <f>IF(OR($J365="",$K365="",$M365=""),"",($J365+IF(AND($L365&gt;=2,$J365=5000),3000,0))*$K365*$M365)</f>
        <v/>
      </c>
      <c r="P365" s="26" t="inlineStr"/>
    </row>
    <row r="366">
      <c r="A366" s="25" t="n">
        <v>1</v>
      </c>
      <c r="B366" s="25" t="inlineStr">
        <is>
          <t>INSTITUT SUPERIEUR NACHA AHMED DANIEL (ISNAD)</t>
        </is>
      </c>
      <c r="C366" s="25" t="inlineStr">
        <is>
          <t>Abidjan - Cocody</t>
        </is>
      </c>
      <c r="D366" s="25" t="inlineStr">
        <is>
          <t>+225 27 22 20 33 61</t>
        </is>
      </c>
      <c r="E366" s="25" t="inlineStr">
        <is>
          <t>+225 07 47 85 56 09</t>
        </is>
      </c>
      <c r="F366" s="25" t="inlineStr">
        <is>
          <t>isnad.ecolesup@gmail.com</t>
        </is>
      </c>
      <c r="G366" s="26" t="inlineStr"/>
      <c r="H366" s="26" t="inlineStr"/>
      <c r="I366" s="26" t="inlineStr">
        <is>
          <t>A contacter</t>
        </is>
      </c>
      <c r="J366" s="27" t="n"/>
      <c r="K366" s="26" t="n"/>
      <c r="L366" s="26" t="n">
        <v>1</v>
      </c>
      <c r="M366" s="26" t="n"/>
      <c r="N366" s="26" t="inlineStr"/>
      <c r="O366" s="28">
        <f>IF(OR($J366="",$K366="",$M366=""),"",($J366+IF(AND($L366&gt;=2,$J366=5000),3000,0))*$K366*$M366)</f>
        <v/>
      </c>
      <c r="P366" s="26" t="inlineStr"/>
    </row>
    <row r="367">
      <c r="A367" s="25" t="n">
        <v>1</v>
      </c>
      <c r="B367" s="25" t="inlineStr">
        <is>
          <t>INSTITUT SUPERIEUR NANAN THERESE (ISNT)</t>
        </is>
      </c>
      <c r="C367" s="25" t="inlineStr">
        <is>
          <t>Abidjan - Plateau</t>
        </is>
      </c>
      <c r="D367" s="25" t="inlineStr">
        <is>
          <t>+225 27 20 24 31 51</t>
        </is>
      </c>
      <c r="E367" s="25" t="inlineStr">
        <is>
          <t>+225 07 59 45 45 77</t>
        </is>
      </c>
      <c r="F367" s="25" t="inlineStr">
        <is>
          <t>institutsuperieurnanantherese@gmail.com</t>
        </is>
      </c>
      <c r="G367" s="26" t="inlineStr"/>
      <c r="H367" s="26" t="inlineStr"/>
      <c r="I367" s="26" t="inlineStr">
        <is>
          <t>A contacter</t>
        </is>
      </c>
      <c r="J367" s="27" t="n"/>
      <c r="K367" s="26" t="n"/>
      <c r="L367" s="26" t="n">
        <v>1</v>
      </c>
      <c r="M367" s="26" t="n"/>
      <c r="N367" s="26" t="inlineStr"/>
      <c r="O367" s="28">
        <f>IF(OR($J367="",$K367="",$M367=""),"",($J367+IF(AND($L367&gt;=2,$J367=5000),3000,0))*$K367*$M367)</f>
        <v/>
      </c>
      <c r="P367" s="26" t="inlineStr"/>
    </row>
    <row r="368">
      <c r="A368" s="25" t="n">
        <v>1</v>
      </c>
      <c r="B368" s="25" t="inlineStr">
        <is>
          <t>INSTITUT SUPERIEUR NATHAN YOPOUGON (ISNY)</t>
        </is>
      </c>
      <c r="C368" s="25" t="inlineStr">
        <is>
          <t>Abidjan - Yopougon</t>
        </is>
      </c>
      <c r="D368" s="25" t="inlineStr">
        <is>
          <t>+225 07 08 44 37 54</t>
        </is>
      </c>
      <c r="E368" s="25" t="inlineStr">
        <is>
          <t>+225 07 08 44 37 54</t>
        </is>
      </c>
      <c r="F368" s="25" t="inlineStr">
        <is>
          <t>institutsuperieurnathanyop21@gmail.com</t>
        </is>
      </c>
      <c r="G368" s="26" t="inlineStr"/>
      <c r="H368" s="26" t="inlineStr"/>
      <c r="I368" s="26" t="inlineStr">
        <is>
          <t>A contacter</t>
        </is>
      </c>
      <c r="J368" s="27" t="n"/>
      <c r="K368" s="26" t="n"/>
      <c r="L368" s="26" t="n">
        <v>1</v>
      </c>
      <c r="M368" s="26" t="n"/>
      <c r="N368" s="26" t="inlineStr"/>
      <c r="O368" s="28">
        <f>IF(OR($J368="",$K368="",$M368=""),"",($J368+IF(AND($L368&gt;=2,$J368=5000),3000,0))*$K368*$M368)</f>
        <v/>
      </c>
      <c r="P368" s="26" t="inlineStr"/>
    </row>
    <row r="369">
      <c r="A369" s="25" t="n">
        <v>1</v>
      </c>
      <c r="B369" s="25" t="inlineStr">
        <is>
          <t>INSTITUT SUPERIEUR POLYTECHNIQUE D'AFRIQUE (ISPA)</t>
        </is>
      </c>
      <c r="C369" s="25" t="inlineStr">
        <is>
          <t>Abidjan - Cocody</t>
        </is>
      </c>
      <c r="D369" s="25" t="inlineStr">
        <is>
          <t>+225 27 22 20 05 30</t>
        </is>
      </c>
      <c r="E369" s="25" t="inlineStr">
        <is>
          <t>+225 05 95 57 71 42</t>
        </is>
      </c>
      <c r="F369" s="25" t="inlineStr">
        <is>
          <t>info@ispapolytech.fr</t>
        </is>
      </c>
      <c r="G369" s="26" t="inlineStr"/>
      <c r="H369" s="26" t="inlineStr"/>
      <c r="I369" s="26" t="inlineStr">
        <is>
          <t>A contacter</t>
        </is>
      </c>
      <c r="J369" s="27" t="n"/>
      <c r="K369" s="26" t="n"/>
      <c r="L369" s="26" t="n">
        <v>1</v>
      </c>
      <c r="M369" s="26" t="n"/>
      <c r="N369" s="26" t="inlineStr"/>
      <c r="O369" s="28">
        <f>IF(OR($J369="",$K369="",$M369=""),"",($J369+IF(AND($L369&gt;=2,$J369=5000),3000,0))*$K369*$M369)</f>
        <v/>
      </c>
      <c r="P369" s="26" t="inlineStr"/>
    </row>
    <row r="370">
      <c r="A370" s="25" t="n">
        <v>1</v>
      </c>
      <c r="B370" s="25" t="inlineStr">
        <is>
          <t>INSTITUT SUPERIEUR POLYTECHNIQUE ROOSEVELT (ISPR)</t>
        </is>
      </c>
      <c r="C370" s="25" t="inlineStr">
        <is>
          <t>Abidjan - Abobo</t>
        </is>
      </c>
      <c r="D370" s="25" t="inlineStr">
        <is>
          <t>+225 07 08 19 23 82</t>
        </is>
      </c>
      <c r="E370" s="25" t="inlineStr">
        <is>
          <t>+225 07 08 19 23 82</t>
        </is>
      </c>
      <c r="F370" s="25" t="inlineStr">
        <is>
          <t>institut.ispr@gmail.com</t>
        </is>
      </c>
      <c r="G370" s="26" t="inlineStr"/>
      <c r="H370" s="26" t="inlineStr"/>
      <c r="I370" s="26" t="inlineStr">
        <is>
          <t>A contacter</t>
        </is>
      </c>
      <c r="J370" s="27" t="n"/>
      <c r="K370" s="26" t="n"/>
      <c r="L370" s="26" t="n">
        <v>1</v>
      </c>
      <c r="M370" s="26" t="n"/>
      <c r="N370" s="26" t="inlineStr"/>
      <c r="O370" s="28">
        <f>IF(OR($J370="",$K370="",$M370=""),"",($J370+IF(AND($L370&gt;=2,$J370=5000),3000,0))*$K370*$M370)</f>
        <v/>
      </c>
      <c r="P370" s="26" t="inlineStr"/>
    </row>
    <row r="371">
      <c r="A371" s="25" t="n">
        <v>1</v>
      </c>
      <c r="B371" s="25" t="inlineStr">
        <is>
          <t>INSTITUT SUPERIEUR POLYTECHNIQUE WASSA COCODY (ISP WASSA COCODY)</t>
        </is>
      </c>
      <c r="C371" s="25" t="inlineStr">
        <is>
          <t>Abidjan - Cocody</t>
        </is>
      </c>
      <c r="D371" s="25" t="inlineStr">
        <is>
          <t>+225 07 69 19 32 88</t>
        </is>
      </c>
      <c r="E371" s="25" t="inlineStr">
        <is>
          <t>+225 07 69 19 32 88</t>
        </is>
      </c>
      <c r="F371" s="25" t="inlineStr">
        <is>
          <t>ispwassa.info@gmail.com</t>
        </is>
      </c>
      <c r="G371" s="26" t="inlineStr"/>
      <c r="H371" s="26" t="inlineStr"/>
      <c r="I371" s="26" t="inlineStr">
        <is>
          <t>A contacter</t>
        </is>
      </c>
      <c r="J371" s="27" t="n"/>
      <c r="K371" s="26" t="n"/>
      <c r="L371" s="26" t="n">
        <v>1</v>
      </c>
      <c r="M371" s="26" t="n"/>
      <c r="N371" s="26" t="inlineStr"/>
      <c r="O371" s="28">
        <f>IF(OR($J371="",$K371="",$M371=""),"",($J371+IF(AND($L371&gt;=2,$J371=5000),3000,0))*$K371*$M371)</f>
        <v/>
      </c>
      <c r="P371" s="26" t="inlineStr"/>
    </row>
    <row r="372">
      <c r="A372" s="25" t="n">
        <v>1</v>
      </c>
      <c r="B372" s="25" t="inlineStr">
        <is>
          <t>INSTITUT SUPERIEUR PROFESSIONNEL (ISP)</t>
        </is>
      </c>
      <c r="C372" s="25" t="inlineStr">
        <is>
          <t>Abidjan - Abobo</t>
        </is>
      </c>
      <c r="D372" s="25" t="inlineStr">
        <is>
          <t>+225 07 77 77 45 43</t>
        </is>
      </c>
      <c r="E372" s="25" t="inlineStr">
        <is>
          <t>+225 07 77 77 45 43</t>
        </is>
      </c>
      <c r="F372" s="25" t="inlineStr"/>
      <c r="G372" s="26" t="inlineStr"/>
      <c r="H372" s="26" t="inlineStr"/>
      <c r="I372" s="26" t="inlineStr">
        <is>
          <t>A contacter</t>
        </is>
      </c>
      <c r="J372" s="27" t="n"/>
      <c r="K372" s="26" t="n"/>
      <c r="L372" s="26" t="n">
        <v>1</v>
      </c>
      <c r="M372" s="26" t="n"/>
      <c r="N372" s="26" t="inlineStr"/>
      <c r="O372" s="28">
        <f>IF(OR($J372="",$K372="",$M372=""),"",($J372+IF(AND($L372&gt;=2,$J372=5000),3000,0))*$K372*$M372)</f>
        <v/>
      </c>
      <c r="P372" s="26" t="inlineStr"/>
    </row>
    <row r="373">
      <c r="A373" s="25" t="n">
        <v>1</v>
      </c>
      <c r="B373" s="25" t="inlineStr">
        <is>
          <t>INSTITUT SUPERIEUR PROFESSIONNEL NOTRE DAME DE LA PAIX TREICHVILLE (ISP NDP TREICHVILLE)</t>
        </is>
      </c>
      <c r="C373" s="25" t="inlineStr">
        <is>
          <t>Abidjan - Treichville</t>
        </is>
      </c>
      <c r="D373" s="25" t="inlineStr">
        <is>
          <t>+225 27 21 25 65 24</t>
        </is>
      </c>
      <c r="E373" s="25" t="inlineStr"/>
      <c r="F373" s="25" t="inlineStr">
        <is>
          <t>ispndptreichville@yahoo.fr</t>
        </is>
      </c>
      <c r="G373" s="26" t="inlineStr"/>
      <c r="H373" s="26" t="inlineStr"/>
      <c r="I373" s="26" t="inlineStr">
        <is>
          <t>A contacter</t>
        </is>
      </c>
      <c r="J373" s="27" t="n"/>
      <c r="K373" s="26" t="n"/>
      <c r="L373" s="26" t="n">
        <v>1</v>
      </c>
      <c r="M373" s="26" t="n"/>
      <c r="N373" s="26" t="inlineStr"/>
      <c r="O373" s="28">
        <f>IF(OR($J373="",$K373="",$M373=""),"",($J373+IF(AND($L373&gt;=2,$J373=5000),3000,0))*$K373*$M373)</f>
        <v/>
      </c>
      <c r="P373" s="26" t="inlineStr"/>
    </row>
    <row r="374">
      <c r="A374" s="25" t="n">
        <v>1</v>
      </c>
      <c r="B374" s="25" t="inlineStr">
        <is>
          <t>INSTITUT SUPERIEUR SAINT CYRILLE (I2SC ABOBO)</t>
        </is>
      </c>
      <c r="C374" s="25" t="inlineStr">
        <is>
          <t>Abidjan - Abobo</t>
        </is>
      </c>
      <c r="D374" s="25" t="inlineStr">
        <is>
          <t>+225 05 00 98 69 92</t>
        </is>
      </c>
      <c r="E374" s="25" t="inlineStr">
        <is>
          <t>+225 05 00 98 69 92</t>
        </is>
      </c>
      <c r="F374" s="25" t="inlineStr">
        <is>
          <t>isscsup@gmail.com</t>
        </is>
      </c>
      <c r="G374" s="26" t="inlineStr"/>
      <c r="H374" s="26" t="inlineStr"/>
      <c r="I374" s="26" t="inlineStr">
        <is>
          <t>A contacter</t>
        </is>
      </c>
      <c r="J374" s="27" t="n"/>
      <c r="K374" s="26" t="n"/>
      <c r="L374" s="26" t="n">
        <v>1</v>
      </c>
      <c r="M374" s="26" t="n"/>
      <c r="N374" s="26" t="inlineStr"/>
      <c r="O374" s="28">
        <f>IF(OR($J374="",$K374="",$M374=""),"",($J374+IF(AND($L374&gt;=2,$J374=5000),3000,0))*$K374*$M374)</f>
        <v/>
      </c>
      <c r="P374" s="26" t="inlineStr"/>
    </row>
    <row r="375">
      <c r="A375" s="25" t="n">
        <v>1</v>
      </c>
      <c r="B375" s="25" t="inlineStr">
        <is>
          <t>INSTITUT SUPERIEUR SAINT CYRILLE (I2SC)</t>
        </is>
      </c>
      <c r="C375" s="25" t="inlineStr">
        <is>
          <t>Abidjan - Yopougon</t>
        </is>
      </c>
      <c r="D375" s="25" t="inlineStr">
        <is>
          <t>+225 27 23 46 86 47</t>
        </is>
      </c>
      <c r="E375" s="25" t="inlineStr">
        <is>
          <t>+225 01 40 70 06 26</t>
        </is>
      </c>
      <c r="F375" s="25" t="inlineStr">
        <is>
          <t>isscsup@gmail.com</t>
        </is>
      </c>
      <c r="G375" s="26" t="inlineStr"/>
      <c r="H375" s="26" t="inlineStr"/>
      <c r="I375" s="26" t="inlineStr">
        <is>
          <t>A contacter</t>
        </is>
      </c>
      <c r="J375" s="27" t="n"/>
      <c r="K375" s="26" t="n"/>
      <c r="L375" s="26" t="n">
        <v>1</v>
      </c>
      <c r="M375" s="26" t="n"/>
      <c r="N375" s="26" t="inlineStr"/>
      <c r="O375" s="28">
        <f>IF(OR($J375="",$K375="",$M375=""),"",($J375+IF(AND($L375&gt;=2,$J375=5000),3000,0))*$K375*$M375)</f>
        <v/>
      </c>
      <c r="P375" s="26" t="inlineStr"/>
    </row>
    <row r="376">
      <c r="A376" s="25" t="n">
        <v>1</v>
      </c>
      <c r="B376" s="25" t="inlineStr">
        <is>
          <t>INSTITUT SUPERIEUR SAINT JAURES (IS2J)</t>
        </is>
      </c>
      <c r="C376" s="25" t="inlineStr">
        <is>
          <t>Abidjan - Abobo</t>
        </is>
      </c>
      <c r="D376" s="25" t="inlineStr">
        <is>
          <t>+225 05 76 72 50 50</t>
        </is>
      </c>
      <c r="E376" s="25" t="inlineStr">
        <is>
          <t>+225 05 76 72 50 50</t>
        </is>
      </c>
      <c r="F376" s="25" t="inlineStr">
        <is>
          <t>isjeanjaures@gmail.com</t>
        </is>
      </c>
      <c r="G376" s="26" t="inlineStr"/>
      <c r="H376" s="26" t="inlineStr"/>
      <c r="I376" s="26" t="inlineStr">
        <is>
          <t>A contacter</t>
        </is>
      </c>
      <c r="J376" s="27" t="n"/>
      <c r="K376" s="26" t="n"/>
      <c r="L376" s="26" t="n">
        <v>1</v>
      </c>
      <c r="M376" s="26" t="n"/>
      <c r="N376" s="26" t="inlineStr"/>
      <c r="O376" s="28">
        <f>IF(OR($J376="",$K376="",$M376=""),"",($J376+IF(AND($L376&gt;=2,$J376=5000),3000,0))*$K376*$M376)</f>
        <v/>
      </c>
      <c r="P376" s="26" t="inlineStr"/>
    </row>
    <row r="377">
      <c r="A377" s="25" t="n">
        <v>1</v>
      </c>
      <c r="B377" s="25" t="inlineStr">
        <is>
          <t>INSTITUT SUPERIEUR SAINT MICHEL ANYAMA</t>
        </is>
      </c>
      <c r="C377" s="25" t="inlineStr">
        <is>
          <t>Abidjan - Anyama</t>
        </is>
      </c>
      <c r="D377" s="25" t="inlineStr"/>
      <c r="E377" s="25" t="inlineStr"/>
      <c r="F377" s="25" t="inlineStr"/>
      <c r="G377" s="26" t="inlineStr"/>
      <c r="H377" s="26" t="inlineStr"/>
      <c r="I377" s="26" t="inlineStr">
        <is>
          <t>A contacter</t>
        </is>
      </c>
      <c r="J377" s="27" t="n"/>
      <c r="K377" s="26" t="n"/>
      <c r="L377" s="26" t="n">
        <v>1</v>
      </c>
      <c r="M377" s="26" t="n"/>
      <c r="N377" s="26" t="inlineStr"/>
      <c r="O377" s="28">
        <f>IF(OR($J377="",$K377="",$M377=""),"",($J377+IF(AND($L377&gt;=2,$J377=5000),3000,0))*$K377*$M377)</f>
        <v/>
      </c>
      <c r="P377" s="26" t="inlineStr"/>
    </row>
    <row r="378">
      <c r="A378" s="25" t="n">
        <v>1</v>
      </c>
      <c r="B378" s="25" t="inlineStr">
        <is>
          <t>INSTITUT SUPERIEUR SAINTE FOI ABIDJAN (ISSF ABIDJAN)</t>
        </is>
      </c>
      <c r="C378" s="25" t="inlineStr">
        <is>
          <t>Abidjan - Abobo</t>
        </is>
      </c>
      <c r="D378" s="25" t="inlineStr">
        <is>
          <t>+225 27 24 39 27 41</t>
        </is>
      </c>
      <c r="E378" s="25" t="inlineStr"/>
      <c r="F378" s="25" t="inlineStr">
        <is>
          <t>groupesaintefoi@gmail.com</t>
        </is>
      </c>
      <c r="G378" s="26" t="inlineStr"/>
      <c r="H378" s="26" t="inlineStr"/>
      <c r="I378" s="26" t="inlineStr">
        <is>
          <t>A contacter</t>
        </is>
      </c>
      <c r="J378" s="27" t="n"/>
      <c r="K378" s="26" t="n"/>
      <c r="L378" s="26" t="n">
        <v>1</v>
      </c>
      <c r="M378" s="26" t="n"/>
      <c r="N378" s="26" t="inlineStr"/>
      <c r="O378" s="28">
        <f>IF(OR($J378="",$K378="",$M378=""),"",($J378+IF(AND($L378&gt;=2,$J378=5000),3000,0))*$K378*$M378)</f>
        <v/>
      </c>
      <c r="P378" s="26" t="inlineStr"/>
    </row>
    <row r="379">
      <c r="A379" s="25" t="n">
        <v>1</v>
      </c>
      <c r="B379" s="25" t="inlineStr">
        <is>
          <t>INSTITUT SUPERIEUR SEPI (IS YOPOUGON)</t>
        </is>
      </c>
      <c r="C379" s="25" t="inlineStr">
        <is>
          <t>Abidjan - Yopougon</t>
        </is>
      </c>
      <c r="D379" s="25" t="inlineStr">
        <is>
          <t>+225 07 77 25 83 47</t>
        </is>
      </c>
      <c r="E379" s="25" t="inlineStr">
        <is>
          <t>+225 07 77 25 83 47</t>
        </is>
      </c>
      <c r="F379" s="25" t="inlineStr">
        <is>
          <t>nouhkone66@gmail.com</t>
        </is>
      </c>
      <c r="G379" s="26" t="inlineStr"/>
      <c r="H379" s="26" t="inlineStr"/>
      <c r="I379" s="26" t="inlineStr">
        <is>
          <t>A contacter</t>
        </is>
      </c>
      <c r="J379" s="27" t="n"/>
      <c r="K379" s="26" t="n"/>
      <c r="L379" s="26" t="n">
        <v>1</v>
      </c>
      <c r="M379" s="26" t="n"/>
      <c r="N379" s="26" t="inlineStr"/>
      <c r="O379" s="28">
        <f>IF(OR($J379="",$K379="",$M379=""),"",($J379+IF(AND($L379&gt;=2,$J379=5000),3000,0))*$K379*$M379)</f>
        <v/>
      </c>
      <c r="P379" s="26" t="inlineStr"/>
    </row>
    <row r="380">
      <c r="A380" s="25" t="n">
        <v>1</v>
      </c>
      <c r="B380" s="25" t="inlineStr">
        <is>
          <t>INSTITUT SUPERIEUR TECHNIQUE LA COLOMBE (IST LA COLOMBE) (ISTCO)</t>
        </is>
      </c>
      <c r="C380" s="25" t="inlineStr">
        <is>
          <t>Abidjan - Koumassi</t>
        </is>
      </c>
      <c r="D380" s="25" t="inlineStr">
        <is>
          <t>+225 27 21 28 75 28</t>
        </is>
      </c>
      <c r="E380" s="25" t="inlineStr"/>
      <c r="F380" s="25" t="inlineStr">
        <is>
          <t>datonkere111@yahoo.fr</t>
        </is>
      </c>
      <c r="G380" s="26" t="inlineStr"/>
      <c r="H380" s="26" t="inlineStr"/>
      <c r="I380" s="26" t="inlineStr">
        <is>
          <t>A contacter</t>
        </is>
      </c>
      <c r="J380" s="27" t="n"/>
      <c r="K380" s="26" t="n"/>
      <c r="L380" s="26" t="n">
        <v>1</v>
      </c>
      <c r="M380" s="26" t="n"/>
      <c r="N380" s="26" t="inlineStr"/>
      <c r="O380" s="28">
        <f>IF(OR($J380="",$K380="",$M380=""),"",($J380+IF(AND($L380&gt;=2,$J380=5000),3000,0))*$K380*$M380)</f>
        <v/>
      </c>
      <c r="P380" s="26" t="inlineStr"/>
    </row>
    <row r="381">
      <c r="A381" s="25" t="n">
        <v>1</v>
      </c>
      <c r="B381" s="25" t="inlineStr">
        <is>
          <t>INSTITUT SUPERIEUR TECHNIQUE SAINT JACQUES (IST St JACQUES)</t>
        </is>
      </c>
      <c r="C381" s="25" t="inlineStr">
        <is>
          <t>Abidjan - Cocody</t>
        </is>
      </c>
      <c r="D381" s="25" t="inlineStr">
        <is>
          <t>+225 07 07 08 00 82</t>
        </is>
      </c>
      <c r="E381" s="25" t="inlineStr">
        <is>
          <t>+225 07 07 08 00 82</t>
        </is>
      </c>
      <c r="F381" s="25" t="inlineStr">
        <is>
          <t>iststjacques1979@gmail.com</t>
        </is>
      </c>
      <c r="G381" s="26" t="inlineStr"/>
      <c r="H381" s="26" t="inlineStr"/>
      <c r="I381" s="26" t="inlineStr">
        <is>
          <t>A contacter</t>
        </is>
      </c>
      <c r="J381" s="27" t="n"/>
      <c r="K381" s="26" t="n"/>
      <c r="L381" s="26" t="n">
        <v>1</v>
      </c>
      <c r="M381" s="26" t="n"/>
      <c r="N381" s="26" t="inlineStr"/>
      <c r="O381" s="28">
        <f>IF(OR($J381="",$K381="",$M381=""),"",($J381+IF(AND($L381&gt;=2,$J381=5000),3000,0))*$K381*$M381)</f>
        <v/>
      </c>
      <c r="P381" s="26" t="inlineStr"/>
    </row>
    <row r="382">
      <c r="A382" s="25" t="n">
        <v>1</v>
      </c>
      <c r="B382" s="25" t="inlineStr">
        <is>
          <t>INSTITUT SUPERIEURE DE TECHNOLOGIE ET PROFESSIONNEL YOPOUGON (ISTP YOPOUGON)</t>
        </is>
      </c>
      <c r="C382" s="25" t="inlineStr">
        <is>
          <t>Abidjan - Yopougon</t>
        </is>
      </c>
      <c r="D382" s="25" t="inlineStr"/>
      <c r="E382" s="25" t="inlineStr"/>
      <c r="F382" s="25" t="inlineStr"/>
      <c r="G382" s="26" t="inlineStr"/>
      <c r="H382" s="26" t="inlineStr"/>
      <c r="I382" s="26" t="inlineStr">
        <is>
          <t>A contacter</t>
        </is>
      </c>
      <c r="J382" s="27" t="n"/>
      <c r="K382" s="26" t="n"/>
      <c r="L382" s="26" t="n">
        <v>1</v>
      </c>
      <c r="M382" s="26" t="n"/>
      <c r="N382" s="26" t="inlineStr"/>
      <c r="O382" s="28">
        <f>IF(OR($J382="",$K382="",$M382=""),"",($J382+IF(AND($L382&gt;=2,$J382=5000),3000,0))*$K382*$M382)</f>
        <v/>
      </c>
      <c r="P382" s="26" t="inlineStr"/>
    </row>
    <row r="383">
      <c r="A383" s="25" t="n">
        <v>1</v>
      </c>
      <c r="B383" s="25" t="inlineStr">
        <is>
          <t>INSTITUT SUPÉRIEUR ADAM MARSHALL ABOBO (ISAM ANNEXE ABOBO)</t>
        </is>
      </c>
      <c r="C383" s="25" t="inlineStr">
        <is>
          <t>Abidjan - Abobo</t>
        </is>
      </c>
      <c r="D383" s="25" t="inlineStr">
        <is>
          <t>+225 27 20 22 68 91</t>
        </is>
      </c>
      <c r="E383" s="25" t="inlineStr"/>
      <c r="F383" s="25" t="inlineStr">
        <is>
          <t>infoadammarshall@gmail.com</t>
        </is>
      </c>
      <c r="G383" s="26" t="inlineStr"/>
      <c r="H383" s="26" t="inlineStr"/>
      <c r="I383" s="26" t="inlineStr">
        <is>
          <t>A contacter</t>
        </is>
      </c>
      <c r="J383" s="27" t="n"/>
      <c r="K383" s="26" t="n"/>
      <c r="L383" s="26" t="n">
        <v>1</v>
      </c>
      <c r="M383" s="26" t="n"/>
      <c r="N383" s="26" t="inlineStr"/>
      <c r="O383" s="28">
        <f>IF(OR($J383="",$K383="",$M383=""),"",($J383+IF(AND($L383&gt;=2,$J383=5000),3000,0))*$K383*$M383)</f>
        <v/>
      </c>
      <c r="P383" s="26" t="inlineStr"/>
    </row>
    <row r="384">
      <c r="A384" s="25" t="n">
        <v>1</v>
      </c>
      <c r="B384" s="25" t="inlineStr">
        <is>
          <t>INSTITUT SUPÉRIEUR DE FORMATION DES OPTICIENS (ISFOP -OPTIQUE LOKO)</t>
        </is>
      </c>
      <c r="C384" s="25" t="inlineStr">
        <is>
          <t>Abidjan - Plateau</t>
        </is>
      </c>
      <c r="D384" s="25" t="inlineStr">
        <is>
          <t>+225 01 60 99 50 81</t>
        </is>
      </c>
      <c r="E384" s="25" t="inlineStr">
        <is>
          <t>+225 01 60 99 50 81</t>
        </is>
      </c>
      <c r="F384" s="25" t="inlineStr">
        <is>
          <t>infos@groupeloko.com</t>
        </is>
      </c>
      <c r="G384" s="26" t="inlineStr"/>
      <c r="H384" s="26" t="inlineStr"/>
      <c r="I384" s="26" t="inlineStr">
        <is>
          <t>A contacter</t>
        </is>
      </c>
      <c r="J384" s="27" t="n"/>
      <c r="K384" s="26" t="n"/>
      <c r="L384" s="26" t="n">
        <v>1</v>
      </c>
      <c r="M384" s="26" t="n"/>
      <c r="N384" s="26" t="inlineStr"/>
      <c r="O384" s="28">
        <f>IF(OR($J384="",$K384="",$M384=""),"",($J384+IF(AND($L384&gt;=2,$J384=5000),3000,0))*$K384*$M384)</f>
        <v/>
      </c>
      <c r="P384" s="26" t="inlineStr"/>
    </row>
    <row r="385">
      <c r="A385" s="25" t="n">
        <v>1</v>
      </c>
      <c r="B385" s="25" t="inlineStr">
        <is>
          <t>INSTITUT SUPÉRIEUR DE FORMATION PROFESSIONNELLE ZONE 4C (ISFOP Z4C) - GROUPE LOKO (ISFOPZ4 LOKO)</t>
        </is>
      </c>
      <c r="C385" s="25" t="inlineStr">
        <is>
          <t>Abidjan - Marcory</t>
        </is>
      </c>
      <c r="D385" s="25" t="inlineStr">
        <is>
          <t>+225 01 60 99 50 81</t>
        </is>
      </c>
      <c r="E385" s="25" t="inlineStr">
        <is>
          <t>+225 01 60 99 50 81</t>
        </is>
      </c>
      <c r="F385" s="25" t="inlineStr">
        <is>
          <t>infos@groupeloko5.com</t>
        </is>
      </c>
      <c r="G385" s="26" t="inlineStr"/>
      <c r="H385" s="26" t="inlineStr"/>
      <c r="I385" s="26" t="inlineStr">
        <is>
          <t>A contacter</t>
        </is>
      </c>
      <c r="J385" s="27" t="n"/>
      <c r="K385" s="26" t="n"/>
      <c r="L385" s="26" t="n">
        <v>1</v>
      </c>
      <c r="M385" s="26" t="n"/>
      <c r="N385" s="26" t="inlineStr"/>
      <c r="O385" s="28">
        <f>IF(OR($J385="",$K385="",$M385=""),"",($J385+IF(AND($L385&gt;=2,$J385=5000),3000,0))*$K385*$M385)</f>
        <v/>
      </c>
      <c r="P385" s="26" t="inlineStr"/>
    </row>
    <row r="386">
      <c r="A386" s="25" t="n">
        <v>1</v>
      </c>
      <c r="B386" s="25" t="inlineStr">
        <is>
          <t>INSTITUT SUPÉRIEUR DE GESTION YOH (ISG YOH)</t>
        </is>
      </c>
      <c r="C386" s="25" t="inlineStr">
        <is>
          <t>Abidjan - Cocody</t>
        </is>
      </c>
      <c r="D386" s="25" t="inlineStr">
        <is>
          <t>+225 27 22 52 61 79</t>
        </is>
      </c>
      <c r="E386" s="25" t="inlineStr"/>
      <c r="F386" s="25" t="inlineStr">
        <is>
          <t>isg_yoh@yahoo.fr</t>
        </is>
      </c>
      <c r="G386" s="26" t="inlineStr"/>
      <c r="H386" s="26" t="inlineStr"/>
      <c r="I386" s="26" t="inlineStr">
        <is>
          <t>A contacter</t>
        </is>
      </c>
      <c r="J386" s="27" t="n"/>
      <c r="K386" s="26" t="n"/>
      <c r="L386" s="26" t="n">
        <v>1</v>
      </c>
      <c r="M386" s="26" t="n"/>
      <c r="N386" s="26" t="inlineStr"/>
      <c r="O386" s="28">
        <f>IF(OR($J386="",$K386="",$M386=""),"",($J386+IF(AND($L386&gt;=2,$J386=5000),3000,0))*$K386*$M386)</f>
        <v/>
      </c>
      <c r="P386" s="26" t="inlineStr"/>
    </row>
    <row r="387">
      <c r="A387" s="25" t="n">
        <v>1</v>
      </c>
      <c r="B387" s="25" t="inlineStr">
        <is>
          <t>INSTITUT SUPÉRIEUR JEAN PAUL II (ISJP 2) - GROUPE LOKO</t>
        </is>
      </c>
      <c r="C387" s="25" t="inlineStr">
        <is>
          <t>Abidjan - Yopougon</t>
        </is>
      </c>
      <c r="D387" s="25" t="inlineStr">
        <is>
          <t>+225 01 60 99 50 81</t>
        </is>
      </c>
      <c r="E387" s="25" t="inlineStr">
        <is>
          <t>+225 01 60 99 50 81</t>
        </is>
      </c>
      <c r="F387" s="25" t="inlineStr">
        <is>
          <t>infos@groupeloko.com</t>
        </is>
      </c>
      <c r="G387" s="26" t="inlineStr"/>
      <c r="H387" s="26" t="inlineStr"/>
      <c r="I387" s="26" t="inlineStr">
        <is>
          <t>A contacter</t>
        </is>
      </c>
      <c r="J387" s="27" t="n"/>
      <c r="K387" s="26" t="n"/>
      <c r="L387" s="26" t="n">
        <v>1</v>
      </c>
      <c r="M387" s="26" t="n"/>
      <c r="N387" s="26" t="inlineStr"/>
      <c r="O387" s="28">
        <f>IF(OR($J387="",$K387="",$M387=""),"",($J387+IF(AND($L387&gt;=2,$J387=5000),3000,0))*$K387*$M387)</f>
        <v/>
      </c>
      <c r="P387" s="26" t="inlineStr"/>
    </row>
    <row r="388">
      <c r="A388" s="25" t="n">
        <v>1</v>
      </c>
      <c r="B388" s="25" t="inlineStr">
        <is>
          <t>INSTITUT SUPÉRIEUR LA FONTAINE (ISLF) - GROUPE LOKO</t>
        </is>
      </c>
      <c r="C388" s="25" t="inlineStr">
        <is>
          <t>Abidjan - Marcory</t>
        </is>
      </c>
      <c r="D388" s="25" t="inlineStr">
        <is>
          <t>+225 01 60 99 50 81</t>
        </is>
      </c>
      <c r="E388" s="25" t="inlineStr">
        <is>
          <t>+225 01 60 99 50 81</t>
        </is>
      </c>
      <c r="F388" s="25" t="inlineStr">
        <is>
          <t>infos@groupeloko.com</t>
        </is>
      </c>
      <c r="G388" s="26" t="inlineStr"/>
      <c r="H388" s="26" t="inlineStr"/>
      <c r="I388" s="26" t="inlineStr">
        <is>
          <t>A contacter</t>
        </is>
      </c>
      <c r="J388" s="27" t="n"/>
      <c r="K388" s="26" t="n"/>
      <c r="L388" s="26" t="n">
        <v>1</v>
      </c>
      <c r="M388" s="26" t="n"/>
      <c r="N388" s="26" t="inlineStr"/>
      <c r="O388" s="28">
        <f>IF(OR($J388="",$K388="",$M388=""),"",($J388+IF(AND($L388&gt;=2,$J388=5000),3000,0))*$K388*$M388)</f>
        <v/>
      </c>
      <c r="P388" s="26" t="inlineStr"/>
    </row>
    <row r="389">
      <c r="A389" s="25" t="n">
        <v>1</v>
      </c>
      <c r="B389" s="25" t="inlineStr">
        <is>
          <t>INSTITUT SUPÉRIEUR LE PROGRES (ISLP) - GROUPE LOKO</t>
        </is>
      </c>
      <c r="C389" s="25" t="inlineStr">
        <is>
          <t>Abidjan - Marcory</t>
        </is>
      </c>
      <c r="D389" s="25" t="inlineStr">
        <is>
          <t>+225 01 60 99 50 81</t>
        </is>
      </c>
      <c r="E389" s="25" t="inlineStr">
        <is>
          <t>+225 01 60 99 50 81</t>
        </is>
      </c>
      <c r="F389" s="25" t="inlineStr">
        <is>
          <t>infos@groupeloko.com</t>
        </is>
      </c>
      <c r="G389" s="26" t="inlineStr"/>
      <c r="H389" s="26" t="inlineStr"/>
      <c r="I389" s="26" t="inlineStr">
        <is>
          <t>A contacter</t>
        </is>
      </c>
      <c r="J389" s="27" t="n"/>
      <c r="K389" s="26" t="n"/>
      <c r="L389" s="26" t="n">
        <v>1</v>
      </c>
      <c r="M389" s="26" t="n"/>
      <c r="N389" s="26" t="inlineStr"/>
      <c r="O389" s="28">
        <f>IF(OR($J389="",$K389="",$M389=""),"",($J389+IF(AND($L389&gt;=2,$J389=5000),3000,0))*$K389*$M389)</f>
        <v/>
      </c>
      <c r="P389" s="26" t="inlineStr"/>
    </row>
    <row r="390">
      <c r="A390" s="25" t="n">
        <v>1</v>
      </c>
      <c r="B390" s="25" t="inlineStr">
        <is>
          <t>INSTITUT SUPÉRIEUR TERTIAIRE ET DE TECHNOLOGIE AVANCÉE (ISTTA) - GROUPE LOKO</t>
        </is>
      </c>
      <c r="C390" s="25" t="inlineStr">
        <is>
          <t>Abidjan - Marcory</t>
        </is>
      </c>
      <c r="D390" s="25" t="inlineStr">
        <is>
          <t>+225 01 60 99 50 81</t>
        </is>
      </c>
      <c r="E390" s="25" t="inlineStr">
        <is>
          <t>+225 01 60 99 50 81</t>
        </is>
      </c>
      <c r="F390" s="25" t="inlineStr">
        <is>
          <t>istta2@groupeloko.com</t>
        </is>
      </c>
      <c r="G390" s="26" t="inlineStr"/>
      <c r="H390" s="26" t="inlineStr"/>
      <c r="I390" s="26" t="inlineStr">
        <is>
          <t>A contacter</t>
        </is>
      </c>
      <c r="J390" s="27" t="n"/>
      <c r="K390" s="26" t="n"/>
      <c r="L390" s="26" t="n">
        <v>1</v>
      </c>
      <c r="M390" s="26" t="n"/>
      <c r="N390" s="26" t="inlineStr"/>
      <c r="O390" s="28">
        <f>IF(OR($J390="",$K390="",$M390=""),"",($J390+IF(AND($L390&gt;=2,$J390=5000),3000,0))*$K390*$M390)</f>
        <v/>
      </c>
      <c r="P390" s="26" t="inlineStr"/>
    </row>
    <row r="391">
      <c r="A391" s="25" t="n">
        <v>1</v>
      </c>
      <c r="B391" s="25" t="inlineStr">
        <is>
          <t>INSTITUT SUP√âRIEUR DE FORMATION TECHNIQUE ET TERTIAIRE YOPOUGON (ISFOTT)</t>
        </is>
      </c>
      <c r="C391" s="25" t="inlineStr">
        <is>
          <t>Abidjan - Yopougon</t>
        </is>
      </c>
      <c r="D391" s="25" t="inlineStr">
        <is>
          <t>+225 07 47 39 40 31</t>
        </is>
      </c>
      <c r="E391" s="25" t="inlineStr">
        <is>
          <t>+225 07 47 39 40 31</t>
        </is>
      </c>
      <c r="F391" s="25" t="inlineStr">
        <is>
          <t>isfott.yop@gmail.com</t>
        </is>
      </c>
      <c r="G391" s="26" t="inlineStr"/>
      <c r="H391" s="26" t="inlineStr"/>
      <c r="I391" s="26" t="inlineStr">
        <is>
          <t>A contacter</t>
        </is>
      </c>
      <c r="J391" s="27" t="n"/>
      <c r="K391" s="26" t="n"/>
      <c r="L391" s="26" t="n">
        <v>1</v>
      </c>
      <c r="M391" s="26" t="n"/>
      <c r="N391" s="26" t="inlineStr"/>
      <c r="O391" s="28">
        <f>IF(OR($J391="",$K391="",$M391=""),"",($J391+IF(AND($L391&gt;=2,$J391=5000),3000,0))*$K391*$M391)</f>
        <v/>
      </c>
      <c r="P391" s="26" t="inlineStr"/>
    </row>
    <row r="392">
      <c r="A392" s="25" t="n">
        <v>1</v>
      </c>
      <c r="B392" s="25" t="inlineStr">
        <is>
          <t>INSTITUT TECHNIQUE ET PROFESSIONNEL - CERIN (ITP - CERIN)</t>
        </is>
      </c>
      <c r="C392" s="25" t="inlineStr">
        <is>
          <t>Abidjan - Yopougon</t>
        </is>
      </c>
      <c r="D392" s="25" t="inlineStr">
        <is>
          <t>+225 01 02 55 55 50</t>
        </is>
      </c>
      <c r="E392" s="25" t="inlineStr">
        <is>
          <t>+225 01 02 55 55 50</t>
        </is>
      </c>
      <c r="F392" s="25" t="inlineStr">
        <is>
          <t>infos@ceringroup.com</t>
        </is>
      </c>
      <c r="G392" s="26" t="inlineStr"/>
      <c r="H392" s="26" t="inlineStr"/>
      <c r="I392" s="26" t="inlineStr">
        <is>
          <t>A contacter</t>
        </is>
      </c>
      <c r="J392" s="27" t="n"/>
      <c r="K392" s="26" t="n"/>
      <c r="L392" s="26" t="n">
        <v>1</v>
      </c>
      <c r="M392" s="26" t="n"/>
      <c r="N392" s="26" t="inlineStr"/>
      <c r="O392" s="28">
        <f>IF(OR($J392="",$K392="",$M392=""),"",($J392+IF(AND($L392&gt;=2,$J392=5000),3000,0))*$K392*$M392)</f>
        <v/>
      </c>
      <c r="P392" s="26" t="inlineStr"/>
    </row>
    <row r="393">
      <c r="A393" s="25" t="n">
        <v>1</v>
      </c>
      <c r="B393" s="25" t="inlineStr">
        <is>
          <t>Institut Universitaire d'Abidjan (IUA)</t>
        </is>
      </c>
      <c r="C393" s="25" t="inlineStr">
        <is>
          <t>Abidjan - Cocody II Plateaux 7e Tranche</t>
        </is>
      </c>
      <c r="D393" s="25" t="inlineStr">
        <is>
          <t>+225 27 22 42 22 65</t>
        </is>
      </c>
      <c r="E393" s="25" t="inlineStr">
        <is>
          <t>+225 07 07 23 18 62</t>
        </is>
      </c>
      <c r="F393" s="25" t="inlineStr">
        <is>
          <t>info@iua.org</t>
        </is>
      </c>
      <c r="G393" s="26" t="inlineStr"/>
      <c r="H393" s="26" t="inlineStr"/>
      <c r="I393" s="26" t="inlineStr">
        <is>
          <t>A contacter</t>
        </is>
      </c>
      <c r="J393" s="27" t="n"/>
      <c r="K393" s="26" t="n"/>
      <c r="L393" s="26" t="n">
        <v>1</v>
      </c>
      <c r="M393" s="26" t="n"/>
      <c r="N393" s="26" t="inlineStr"/>
      <c r="O393" s="28">
        <f>IF(OR($J393="",$K393="",$M393=""),"",($J393+IF(AND($L393&gt;=2,$J393=5000),3000,0))*$K393*$M393)</f>
        <v/>
      </c>
      <c r="P393" s="26" t="inlineStr"/>
    </row>
    <row r="394">
      <c r="A394" s="25" t="n">
        <v>1</v>
      </c>
      <c r="B394" s="25" t="inlineStr">
        <is>
          <t>INSTITUT UNIVERSITAIRE DE TECHNOLOGIE ACADEMIA (IUT-A)</t>
        </is>
      </c>
      <c r="C394" s="25" t="inlineStr">
        <is>
          <t>Abidjan - Cocody</t>
        </is>
      </c>
      <c r="D394" s="25" t="inlineStr">
        <is>
          <t>+225 27 22 42 34 14</t>
        </is>
      </c>
      <c r="E394" s="25" t="inlineStr"/>
      <c r="F394" s="25" t="inlineStr">
        <is>
          <t>iut.academia@yahoo.fr</t>
        </is>
      </c>
      <c r="G394" s="26" t="inlineStr"/>
      <c r="H394" s="26" t="inlineStr"/>
      <c r="I394" s="26" t="inlineStr">
        <is>
          <t>A contacter</t>
        </is>
      </c>
      <c r="J394" s="27" t="n"/>
      <c r="K394" s="26" t="n"/>
      <c r="L394" s="26" t="n">
        <v>1</v>
      </c>
      <c r="M394" s="26" t="n"/>
      <c r="N394" s="26" t="inlineStr"/>
      <c r="O394" s="28">
        <f>IF(OR($J394="",$K394="",$M394=""),"",($J394+IF(AND($L394&gt;=2,$J394=5000),3000,0))*$K394*$M394)</f>
        <v/>
      </c>
      <c r="P394" s="26" t="inlineStr"/>
    </row>
    <row r="395">
      <c r="A395" s="25" t="n">
        <v>1</v>
      </c>
      <c r="B395" s="25" t="inlineStr">
        <is>
          <t>INSTITUT UNIVERSITAIRE DE TECHNOLOGIE D'ABIDJAN COCODY (IUT ABIDJAN COCODY)</t>
        </is>
      </c>
      <c r="C395" s="25" t="inlineStr">
        <is>
          <t>Abidjan - Cocody</t>
        </is>
      </c>
      <c r="D395" s="25" t="inlineStr"/>
      <c r="E395" s="25" t="inlineStr"/>
      <c r="F395" s="25" t="inlineStr">
        <is>
          <t>rusta.iut@gmail.com</t>
        </is>
      </c>
      <c r="G395" s="26" t="inlineStr"/>
      <c r="H395" s="26" t="inlineStr"/>
      <c r="I395" s="26" t="inlineStr">
        <is>
          <t>A contacter</t>
        </is>
      </c>
      <c r="J395" s="27" t="n"/>
      <c r="K395" s="26" t="n"/>
      <c r="L395" s="26" t="n">
        <v>1</v>
      </c>
      <c r="M395" s="26" t="n"/>
      <c r="N395" s="26" t="inlineStr"/>
      <c r="O395" s="28">
        <f>IF(OR($J395="",$K395="",$M395=""),"",($J395+IF(AND($L395&gt;=2,$J395=5000),3000,0))*$K395*$M395)</f>
        <v/>
      </c>
      <c r="P395" s="26" t="inlineStr"/>
    </row>
    <row r="396">
      <c r="A396" s="25" t="n">
        <v>1</v>
      </c>
      <c r="B396" s="25" t="inlineStr">
        <is>
          <t>INSTITUT UNIVERSITAIRE DE TECHNOLOGIE D'ABIDJAN YOPOUGON (IUT ABIDJAN YOPOUGON)</t>
        </is>
      </c>
      <c r="C396" s="25" t="inlineStr">
        <is>
          <t>Abidjan - Yopougon</t>
        </is>
      </c>
      <c r="D396" s="25" t="inlineStr"/>
      <c r="E396" s="25" t="inlineStr"/>
      <c r="F396" s="25" t="inlineStr">
        <is>
          <t>rusta.iut@gmail.com</t>
        </is>
      </c>
      <c r="G396" s="26" t="inlineStr"/>
      <c r="H396" s="26" t="inlineStr"/>
      <c r="I396" s="26" t="inlineStr">
        <is>
          <t>A contacter</t>
        </is>
      </c>
      <c r="J396" s="27" t="n"/>
      <c r="K396" s="26" t="n"/>
      <c r="L396" s="26" t="n">
        <v>1</v>
      </c>
      <c r="M396" s="26" t="n"/>
      <c r="N396" s="26" t="inlineStr"/>
      <c r="O396" s="28">
        <f>IF(OR($J396="",$K396="",$M396=""),"",($J396+IF(AND($L396&gt;=2,$J396=5000),3000,0))*$K396*$M396)</f>
        <v/>
      </c>
      <c r="P396" s="26" t="inlineStr"/>
    </row>
    <row r="397">
      <c r="A397" s="25" t="n">
        <v>1</v>
      </c>
      <c r="B397" s="25" t="inlineStr">
        <is>
          <t>INSTITUT UNIVERSITAIRE DES HAUTES ETUDES PROFESSIONNELLES (IUHEP)</t>
        </is>
      </c>
      <c r="C397" s="25" t="inlineStr">
        <is>
          <t>Abidjan - Cocody</t>
        </is>
      </c>
      <c r="D397" s="25" t="inlineStr">
        <is>
          <t>+225 01 40 06 93 93</t>
        </is>
      </c>
      <c r="E397" s="25" t="inlineStr">
        <is>
          <t>+225 01 40 06 93 93</t>
        </is>
      </c>
      <c r="F397" s="25" t="inlineStr">
        <is>
          <t>infos@groupeatlantique.com</t>
        </is>
      </c>
      <c r="G397" s="26" t="inlineStr"/>
      <c r="H397" s="26" t="inlineStr"/>
      <c r="I397" s="26" t="inlineStr">
        <is>
          <t>A contacter</t>
        </is>
      </c>
      <c r="J397" s="27" t="n"/>
      <c r="K397" s="26" t="n"/>
      <c r="L397" s="26" t="n">
        <v>1</v>
      </c>
      <c r="M397" s="26" t="n"/>
      <c r="N397" s="26" t="inlineStr"/>
      <c r="O397" s="28">
        <f>IF(OR($J397="",$K397="",$M397=""),"",($J397+IF(AND($L397&gt;=2,$J397=5000),3000,0))*$K397*$M397)</f>
        <v/>
      </c>
      <c r="P397" s="26" t="inlineStr"/>
    </row>
    <row r="398">
      <c r="A398" s="25" t="n">
        <v>1</v>
      </c>
      <c r="B398" s="25" t="inlineStr">
        <is>
          <t>INSTITUT UNIVERSITAIRE DES SCIENCES DE LA SANTE ET DE L ENVIRONNEMENT (IUSSE ZONE 4)</t>
        </is>
      </c>
      <c r="C398" s="25" t="inlineStr">
        <is>
          <t>Abidjan - Marcory</t>
        </is>
      </c>
      <c r="D398" s="25" t="inlineStr">
        <is>
          <t>+225 07 07 19 85 28</t>
        </is>
      </c>
      <c r="E398" s="25" t="inlineStr">
        <is>
          <t>+225 07 07 19 85 28</t>
        </is>
      </c>
      <c r="F398" s="25" t="inlineStr">
        <is>
          <t>iusse.sanpedro@gmail.com</t>
        </is>
      </c>
      <c r="G398" s="26" t="inlineStr"/>
      <c r="H398" s="26" t="inlineStr"/>
      <c r="I398" s="26" t="inlineStr">
        <is>
          <t>A contacter</t>
        </is>
      </c>
      <c r="J398" s="27" t="n"/>
      <c r="K398" s="26" t="n"/>
      <c r="L398" s="26" t="n">
        <v>1</v>
      </c>
      <c r="M398" s="26" t="n"/>
      <c r="N398" s="26" t="inlineStr"/>
      <c r="O398" s="28">
        <f>IF(OR($J398="",$K398="",$M398=""),"",($J398+IF(AND($L398&gt;=2,$J398=5000),3000,0))*$K398*$M398)</f>
        <v/>
      </c>
      <c r="P398" s="26" t="inlineStr"/>
    </row>
    <row r="399">
      <c r="A399" s="25" t="n">
        <v>1</v>
      </c>
      <c r="B399" s="25" t="inlineStr">
        <is>
          <t>INSTITUT UNIVERSITAIRE DES SCIENCES DE LA SANTE ET DE L ENVIRONNEMENT (IUSSE-AT)</t>
        </is>
      </c>
      <c r="C399" s="25" t="inlineStr">
        <is>
          <t>Abidjan - Bingerville</t>
        </is>
      </c>
      <c r="D399" s="25" t="inlineStr">
        <is>
          <t>+225 07 57 83 30 83</t>
        </is>
      </c>
      <c r="E399" s="25" t="inlineStr">
        <is>
          <t>+225 07 57 83 30 83</t>
        </is>
      </c>
      <c r="F399" s="25" t="inlineStr">
        <is>
          <t>iusseat@gmail.com</t>
        </is>
      </c>
      <c r="G399" s="26" t="inlineStr"/>
      <c r="H399" s="26" t="inlineStr"/>
      <c r="I399" s="26" t="inlineStr">
        <is>
          <t>A contacter</t>
        </is>
      </c>
      <c r="J399" s="27" t="n"/>
      <c r="K399" s="26" t="n"/>
      <c r="L399" s="26" t="n">
        <v>1</v>
      </c>
      <c r="M399" s="26" t="n"/>
      <c r="N399" s="26" t="inlineStr"/>
      <c r="O399" s="28">
        <f>IF(OR($J399="",$K399="",$M399=""),"",($J399+IF(AND($L399&gt;=2,$J399=5000),3000,0))*$K399*$M399)</f>
        <v/>
      </c>
      <c r="P399" s="26" t="inlineStr"/>
    </row>
    <row r="400">
      <c r="A400" s="25" t="n">
        <v>1</v>
      </c>
      <c r="B400" s="25" t="inlineStr">
        <is>
          <t>INSTITUT UNIVERSITAIRE DU BATIMENT ET DES TRAVAUX PUBLICS (IUBTP) (ESBTP RIVIERA 2)</t>
        </is>
      </c>
      <c r="C400" s="25" t="inlineStr">
        <is>
          <t>Abidjan - Cocody</t>
        </is>
      </c>
      <c r="D400" s="25" t="inlineStr"/>
      <c r="E400" s="25" t="inlineStr"/>
      <c r="F400" s="25" t="inlineStr">
        <is>
          <t>dakoff007@yahoo.fr</t>
        </is>
      </c>
      <c r="G400" s="26" t="inlineStr"/>
      <c r="H400" s="26" t="inlineStr"/>
      <c r="I400" s="26" t="inlineStr">
        <is>
          <t>A contacter</t>
        </is>
      </c>
      <c r="J400" s="27" t="n"/>
      <c r="K400" s="26" t="n"/>
      <c r="L400" s="26" t="n">
        <v>1</v>
      </c>
      <c r="M400" s="26" t="n"/>
      <c r="N400" s="26" t="inlineStr"/>
      <c r="O400" s="28">
        <f>IF(OR($J400="",$K400="",$M400=""),"",($J400+IF(AND($L400&gt;=2,$J400=5000),3000,0))*$K400*$M400)</f>
        <v/>
      </c>
      <c r="P400" s="26" t="inlineStr"/>
    </row>
    <row r="401">
      <c r="A401" s="25" t="n">
        <v>1</v>
      </c>
      <c r="B401" s="25" t="inlineStr">
        <is>
          <t>INSTITUT UNIVERSITAIRE POLYTECHNIQUE D'ABIDJAN YOPOUGON (IUPA YOPOUGON)</t>
        </is>
      </c>
      <c r="C401" s="25" t="inlineStr">
        <is>
          <t>Abidjan - Yopougon</t>
        </is>
      </c>
      <c r="D401" s="25" t="inlineStr">
        <is>
          <t>+225 07 79 66 51 90</t>
        </is>
      </c>
      <c r="E401" s="25" t="inlineStr">
        <is>
          <t>+225 07 79 66 51 90</t>
        </is>
      </c>
      <c r="F401" s="25" t="inlineStr"/>
      <c r="G401" s="26" t="inlineStr"/>
      <c r="H401" s="26" t="inlineStr"/>
      <c r="I401" s="26" t="inlineStr">
        <is>
          <t>A contacter</t>
        </is>
      </c>
      <c r="J401" s="27" t="n"/>
      <c r="K401" s="26" t="n"/>
      <c r="L401" s="26" t="n">
        <v>1</v>
      </c>
      <c r="M401" s="26" t="n"/>
      <c r="N401" s="26" t="inlineStr"/>
      <c r="O401" s="28">
        <f>IF(OR($J401="",$K401="",$M401=""),"",($J401+IF(AND($L401&gt;=2,$J401=5000),3000,0))*$K401*$M401)</f>
        <v/>
      </c>
      <c r="P401" s="26" t="inlineStr"/>
    </row>
    <row r="402">
      <c r="A402" s="25" t="n">
        <v>1</v>
      </c>
      <c r="B402" s="25" t="inlineStr">
        <is>
          <t>INSTITUT VOLTAIRE D'ENSEIGNEMENT SUPERIEUR TECHNIQUE ET PROFESSIONNEL MARCORY (IVESTP MARCORY)</t>
        </is>
      </c>
      <c r="C402" s="25" t="inlineStr">
        <is>
          <t>Abidjan - Marcory</t>
        </is>
      </c>
      <c r="D402" s="25" t="inlineStr">
        <is>
          <t>+225 07 07 45 79 82</t>
        </is>
      </c>
      <c r="E402" s="25" t="inlineStr">
        <is>
          <t>+225 07 07 45 79 82</t>
        </is>
      </c>
      <c r="F402" s="25" t="inlineStr">
        <is>
          <t>ivestpmarcory@gmail.com</t>
        </is>
      </c>
      <c r="G402" s="26" t="inlineStr"/>
      <c r="H402" s="26" t="inlineStr"/>
      <c r="I402" s="26" t="inlineStr">
        <is>
          <t>A contacter</t>
        </is>
      </c>
      <c r="J402" s="27" t="n"/>
      <c r="K402" s="26" t="n"/>
      <c r="L402" s="26" t="n">
        <v>1</v>
      </c>
      <c r="M402" s="26" t="n"/>
      <c r="N402" s="26" t="inlineStr"/>
      <c r="O402" s="28">
        <f>IF(OR($J402="",$K402="",$M402=""),"",($J402+IF(AND($L402&gt;=2,$J402=5000),3000,0))*$K402*$M402)</f>
        <v/>
      </c>
      <c r="P402" s="26" t="inlineStr"/>
    </row>
    <row r="403">
      <c r="A403" s="25" t="n">
        <v>1</v>
      </c>
      <c r="B403" s="25" t="inlineStr">
        <is>
          <t>INSTITUT VOLTAIRE D'ENSEIGNEMENT SUPERIEUR TECHNIQUE ET PROFESSIONNEL TREICHVILLE (IVESTP TREICHVILLE)</t>
        </is>
      </c>
      <c r="C403" s="25" t="inlineStr">
        <is>
          <t>Abidjan - Treichville</t>
        </is>
      </c>
      <c r="D403" s="25" t="inlineStr">
        <is>
          <t>+225 07 07 45 79 82</t>
        </is>
      </c>
      <c r="E403" s="25" t="inlineStr">
        <is>
          <t>+225 07 07 45 79 82</t>
        </is>
      </c>
      <c r="F403" s="25" t="inlineStr">
        <is>
          <t>ivestptreichville@gmail.com</t>
        </is>
      </c>
      <c r="G403" s="26" t="inlineStr"/>
      <c r="H403" s="26" t="inlineStr"/>
      <c r="I403" s="26" t="inlineStr">
        <is>
          <t>A contacter</t>
        </is>
      </c>
      <c r="J403" s="27" t="n"/>
      <c r="K403" s="26" t="n"/>
      <c r="L403" s="26" t="n">
        <v>1</v>
      </c>
      <c r="M403" s="26" t="n"/>
      <c r="N403" s="26" t="inlineStr"/>
      <c r="O403" s="28">
        <f>IF(OR($J403="",$K403="",$M403=""),"",($J403+IF(AND($L403&gt;=2,$J403=5000),3000,0))*$K403*$M403)</f>
        <v/>
      </c>
      <c r="P403" s="26" t="inlineStr"/>
    </row>
    <row r="404">
      <c r="A404" s="25" t="n">
        <v>1</v>
      </c>
      <c r="B404" s="25" t="inlineStr">
        <is>
          <t>INSTITUT-CONSERVATOIRE DES SCIENCES DE GESTION DE COCODY (ICS COCODY)</t>
        </is>
      </c>
      <c r="C404" s="25" t="inlineStr">
        <is>
          <t>Abidjan - Cocody</t>
        </is>
      </c>
      <c r="D404" s="25" t="inlineStr">
        <is>
          <t>+225 27 22 44 00 59</t>
        </is>
      </c>
      <c r="E404" s="25" t="inlineStr"/>
      <c r="F404" s="25" t="inlineStr">
        <is>
          <t>infos@ics-cocody.com</t>
        </is>
      </c>
      <c r="G404" s="26" t="inlineStr"/>
      <c r="H404" s="26" t="inlineStr"/>
      <c r="I404" s="26" t="inlineStr">
        <is>
          <t>A contacter</t>
        </is>
      </c>
      <c r="J404" s="27" t="n"/>
      <c r="K404" s="26" t="n"/>
      <c r="L404" s="26" t="n">
        <v>1</v>
      </c>
      <c r="M404" s="26" t="n"/>
      <c r="N404" s="26" t="inlineStr"/>
      <c r="O404" s="28">
        <f>IF(OR($J404="",$K404="",$M404=""),"",($J404+IF(AND($L404&gt;=2,$J404=5000),3000,0))*$K404*$M404)</f>
        <v/>
      </c>
      <c r="P404" s="26" t="inlineStr"/>
    </row>
    <row r="405">
      <c r="A405" s="25" t="n">
        <v>1</v>
      </c>
      <c r="B405" s="25" t="inlineStr">
        <is>
          <t>INTELLECT AFRIQUE (IA)</t>
        </is>
      </c>
      <c r="C405" s="25" t="inlineStr">
        <is>
          <t>Abidjan - Marcory</t>
        </is>
      </c>
      <c r="D405" s="25" t="inlineStr">
        <is>
          <t>+225 01 51 11 01 71</t>
        </is>
      </c>
      <c r="E405" s="25" t="inlineStr">
        <is>
          <t>+225 01 51 11 01 71</t>
        </is>
      </c>
      <c r="F405" s="25" t="inlineStr">
        <is>
          <t>directionia@gmail.com</t>
        </is>
      </c>
      <c r="G405" s="26" t="inlineStr"/>
      <c r="H405" s="26" t="inlineStr"/>
      <c r="I405" s="26" t="inlineStr">
        <is>
          <t>A contacter</t>
        </is>
      </c>
      <c r="J405" s="27" t="n"/>
      <c r="K405" s="26" t="n"/>
      <c r="L405" s="26" t="n">
        <v>1</v>
      </c>
      <c r="M405" s="26" t="n"/>
      <c r="N405" s="26" t="inlineStr"/>
      <c r="O405" s="28">
        <f>IF(OR($J405="",$K405="",$M405=""),"",($J405+IF(AND($L405&gt;=2,$J405=5000),3000,0))*$K405*$M405)</f>
        <v/>
      </c>
      <c r="P405" s="26" t="inlineStr"/>
    </row>
    <row r="406">
      <c r="A406" s="25" t="n">
        <v>1</v>
      </c>
      <c r="B406" s="25" t="inlineStr">
        <is>
          <t>INTERNATIONAL BUSINESS SCHOOL AND TECHNOLOGY COCODY (IBST)</t>
        </is>
      </c>
      <c r="C406" s="25" t="inlineStr">
        <is>
          <t>Abidjan - Cocody</t>
        </is>
      </c>
      <c r="D406" s="25" t="inlineStr">
        <is>
          <t>+225 05 04 51 52 53</t>
        </is>
      </c>
      <c r="E406" s="25" t="inlineStr">
        <is>
          <t>+225 05 04 51 52 53</t>
        </is>
      </c>
      <c r="F406" s="25" t="inlineStr">
        <is>
          <t>hkoudou9@gmail.com</t>
        </is>
      </c>
      <c r="G406" s="26" t="inlineStr"/>
      <c r="H406" s="26" t="inlineStr"/>
      <c r="I406" s="26" t="inlineStr">
        <is>
          <t>A contacter</t>
        </is>
      </c>
      <c r="J406" s="27" t="n"/>
      <c r="K406" s="26" t="n"/>
      <c r="L406" s="26" t="n">
        <v>1</v>
      </c>
      <c r="M406" s="26" t="n"/>
      <c r="N406" s="26" t="inlineStr"/>
      <c r="O406" s="28">
        <f>IF(OR($J406="",$K406="",$M406=""),"",($J406+IF(AND($L406&gt;=2,$J406=5000),3000,0))*$K406*$M406)</f>
        <v/>
      </c>
      <c r="P406" s="26" t="inlineStr"/>
    </row>
    <row r="407">
      <c r="A407" s="25" t="n">
        <v>1</v>
      </c>
      <c r="B407" s="25" t="inlineStr">
        <is>
          <t>INTERNATIONAL BUSINESS SCHOOL COTE D'IVOIRE (IBS-CI)</t>
        </is>
      </c>
      <c r="C407" s="25" t="inlineStr">
        <is>
          <t>Abidjan - Treichville</t>
        </is>
      </c>
      <c r="D407" s="25" t="inlineStr">
        <is>
          <t>+225 07 08 41 64 71</t>
        </is>
      </c>
      <c r="E407" s="25" t="inlineStr">
        <is>
          <t>+225 07 08 41 64 71</t>
        </is>
      </c>
      <c r="F407" s="25" t="inlineStr">
        <is>
          <t>ibsformation@yahoo.com</t>
        </is>
      </c>
      <c r="G407" s="26" t="inlineStr"/>
      <c r="H407" s="26" t="inlineStr"/>
      <c r="I407" s="26" t="inlineStr">
        <is>
          <t>A contacter</t>
        </is>
      </c>
      <c r="J407" s="27" t="n"/>
      <c r="K407" s="26" t="n"/>
      <c r="L407" s="26" t="n">
        <v>1</v>
      </c>
      <c r="M407" s="26" t="n"/>
      <c r="N407" s="26" t="inlineStr"/>
      <c r="O407" s="28">
        <f>IF(OR($J407="",$K407="",$M407=""),"",($J407+IF(AND($L407&gt;=2,$J407=5000),3000,0))*$K407*$M407)</f>
        <v/>
      </c>
      <c r="P407" s="26" t="inlineStr"/>
    </row>
    <row r="408">
      <c r="A408" s="25" t="n">
        <v>1</v>
      </c>
      <c r="B408" s="25" t="inlineStr">
        <is>
          <t>International English and Business School (IEBS)</t>
        </is>
      </c>
      <c r="C408" s="25" t="inlineStr">
        <is>
          <t>Abidjan - Cocody</t>
        </is>
      </c>
      <c r="D408" s="25" t="inlineStr">
        <is>
          <t>+225 27 22 47 26 48</t>
        </is>
      </c>
      <c r="E408" s="25" t="inlineStr">
        <is>
          <t>+225 01 02 88 13 69</t>
        </is>
      </c>
      <c r="F408" s="25" t="inlineStr">
        <is>
          <t>iebs@groupeconnectiebs.com</t>
        </is>
      </c>
      <c r="G408" s="26" t="inlineStr"/>
      <c r="H408" s="26" t="inlineStr"/>
      <c r="I408" s="26" t="inlineStr">
        <is>
          <t>A contacter</t>
        </is>
      </c>
      <c r="J408" s="27" t="n"/>
      <c r="K408" s="26" t="n"/>
      <c r="L408" s="26" t="n">
        <v>1</v>
      </c>
      <c r="M408" s="26" t="n"/>
      <c r="N408" s="26" t="inlineStr"/>
      <c r="O408" s="28">
        <f>IF(OR($J408="",$K408="",$M408=""),"",($J408+IF(AND($L408&gt;=2,$J408=5000),3000,0))*$K408*$M408)</f>
        <v/>
      </c>
      <c r="P408" s="26" t="inlineStr"/>
    </row>
    <row r="409">
      <c r="A409" s="25" t="n">
        <v>1</v>
      </c>
      <c r="B409" s="25" t="inlineStr">
        <is>
          <t>INTERNATIONAL INSTITUTE OF MINES PETROLEUM AND ENERGY (2IMPE)</t>
        </is>
      </c>
      <c r="C409" s="25" t="inlineStr">
        <is>
          <t>Abidjan - Cocody</t>
        </is>
      </c>
      <c r="D409" s="25" t="inlineStr">
        <is>
          <t>+225 27 22 53 55 36</t>
        </is>
      </c>
      <c r="E409" s="25" t="inlineStr">
        <is>
          <t>+225 07 59 85 00 29</t>
        </is>
      </c>
      <c r="F409" s="25" t="inlineStr">
        <is>
          <t>info@2impe.com</t>
        </is>
      </c>
      <c r="G409" s="26" t="inlineStr"/>
      <c r="H409" s="26" t="inlineStr"/>
      <c r="I409" s="26" t="inlineStr">
        <is>
          <t>A contacter</t>
        </is>
      </c>
      <c r="J409" s="27" t="n"/>
      <c r="K409" s="26" t="n"/>
      <c r="L409" s="26" t="n">
        <v>1</v>
      </c>
      <c r="M409" s="26" t="n"/>
      <c r="N409" s="26" t="inlineStr"/>
      <c r="O409" s="28">
        <f>IF(OR($J409="",$K409="",$M409=""),"",($J409+IF(AND($L409&gt;=2,$J409=5000),3000,0))*$K409*$M409)</f>
        <v/>
      </c>
      <c r="P409" s="26" t="inlineStr"/>
    </row>
    <row r="410">
      <c r="A410" s="25" t="n">
        <v>1</v>
      </c>
      <c r="B410" s="25" t="inlineStr">
        <is>
          <t>INTERNATIONAL MANAGEMENT BUSINESS SCHOOL (IMBS)</t>
        </is>
      </c>
      <c r="C410" s="25" t="inlineStr">
        <is>
          <t>Abidjan - Yopougon</t>
        </is>
      </c>
      <c r="D410" s="25" t="inlineStr">
        <is>
          <t>+225 07 09 09 63 06</t>
        </is>
      </c>
      <c r="E410" s="25" t="inlineStr">
        <is>
          <t>+225 07 09 09 63 06</t>
        </is>
      </c>
      <c r="F410" s="25" t="inlineStr">
        <is>
          <t>be_msi@yahoo.fr</t>
        </is>
      </c>
      <c r="G410" s="26" t="inlineStr"/>
      <c r="H410" s="26" t="inlineStr"/>
      <c r="I410" s="26" t="inlineStr">
        <is>
          <t>A contacter</t>
        </is>
      </c>
      <c r="J410" s="27" t="n"/>
      <c r="K410" s="26" t="n"/>
      <c r="L410" s="26" t="n">
        <v>1</v>
      </c>
      <c r="M410" s="26" t="n"/>
      <c r="N410" s="26" t="inlineStr"/>
      <c r="O410" s="28">
        <f>IF(OR($J410="",$K410="",$M410=""),"",($J410+IF(AND($L410&gt;=2,$J410=5000),3000,0))*$K410*$M410)</f>
        <v/>
      </c>
      <c r="P410" s="26" t="inlineStr"/>
    </row>
    <row r="411">
      <c r="A411" s="25" t="n">
        <v>1</v>
      </c>
      <c r="B411" s="25" t="inlineStr">
        <is>
          <t>IPAC PLATEAU ABIDJAN</t>
        </is>
      </c>
      <c r="C411" s="25" t="inlineStr">
        <is>
          <t>Abidjan - Cocody</t>
        </is>
      </c>
      <c r="D411" s="25" t="inlineStr">
        <is>
          <t>+225 27 22 41 31 68</t>
        </is>
      </c>
      <c r="E411" s="25" t="inlineStr"/>
      <c r="F411" s="25" t="inlineStr">
        <is>
          <t>ipac_plateau@yahoo.fr</t>
        </is>
      </c>
      <c r="G411" s="26" t="inlineStr"/>
      <c r="H411" s="26" t="inlineStr"/>
      <c r="I411" s="26" t="inlineStr">
        <is>
          <t>A contacter</t>
        </is>
      </c>
      <c r="J411" s="27" t="n"/>
      <c r="K411" s="26" t="n"/>
      <c r="L411" s="26" t="n">
        <v>1</v>
      </c>
      <c r="M411" s="26" t="n"/>
      <c r="N411" s="26" t="inlineStr"/>
      <c r="O411" s="28">
        <f>IF(OR($J411="",$K411="",$M411=""),"",($J411+IF(AND($L411&gt;=2,$J411=5000),3000,0))*$K411*$M411)</f>
        <v/>
      </c>
      <c r="P411" s="26" t="inlineStr"/>
    </row>
    <row r="412">
      <c r="A412" s="25" t="n">
        <v>1</v>
      </c>
      <c r="B412" s="25" t="inlineStr">
        <is>
          <t>IPB 2 PLATEAUX ABIDJAN</t>
        </is>
      </c>
      <c r="C412" s="25" t="inlineStr">
        <is>
          <t>Abidjan - Cocody</t>
        </is>
      </c>
      <c r="D412" s="25" t="inlineStr">
        <is>
          <t>+225 27 22 41 36 61</t>
        </is>
      </c>
      <c r="E412" s="25" t="inlineStr"/>
      <c r="F412" s="25" t="inlineStr">
        <is>
          <t>albisept@yahoo.fr</t>
        </is>
      </c>
      <c r="G412" s="26" t="inlineStr"/>
      <c r="H412" s="26" t="inlineStr"/>
      <c r="I412" s="26" t="inlineStr">
        <is>
          <t>A contacter</t>
        </is>
      </c>
      <c r="J412" s="27" t="n"/>
      <c r="K412" s="26" t="n"/>
      <c r="L412" s="26" t="n">
        <v>1</v>
      </c>
      <c r="M412" s="26" t="n"/>
      <c r="N412" s="26" t="inlineStr"/>
      <c r="O412" s="28">
        <f>IF(OR($J412="",$K412="",$M412=""),"",($J412+IF(AND($L412&gt;=2,$J412=5000),3000,0))*$K412*$M412)</f>
        <v/>
      </c>
      <c r="P412" s="26" t="inlineStr"/>
    </row>
    <row r="413">
      <c r="A413" s="25" t="n">
        <v>1</v>
      </c>
      <c r="B413" s="25" t="inlineStr">
        <is>
          <t>ISAB (Institut Supérieur Africain d’Assurances Banque et Bourses)</t>
        </is>
      </c>
      <c r="C413" s="25" t="inlineStr">
        <is>
          <t>Abidjan - Cocody</t>
        </is>
      </c>
      <c r="D413" s="25" t="inlineStr">
        <is>
          <t>+225 27 22 49 91 42</t>
        </is>
      </c>
      <c r="E413" s="25" t="inlineStr">
        <is>
          <t>+225 05 65 40 02 46</t>
        </is>
      </c>
      <c r="F413" s="25" t="inlineStr">
        <is>
          <t>secretariat@isab-education.com</t>
        </is>
      </c>
      <c r="G413" s="26" t="inlineStr"/>
      <c r="H413" s="26" t="inlineStr"/>
      <c r="I413" s="26" t="inlineStr">
        <is>
          <t>A contacter</t>
        </is>
      </c>
      <c r="J413" s="27" t="n"/>
      <c r="K413" s="26" t="n"/>
      <c r="L413" s="26" t="n">
        <v>1</v>
      </c>
      <c r="M413" s="26" t="n"/>
      <c r="N413" s="26" t="inlineStr"/>
      <c r="O413" s="28">
        <f>IF(OR($J413="",$K413="",$M413=""),"",($J413+IF(AND($L413&gt;=2,$J413=5000),3000,0))*$K413*$M413)</f>
        <v/>
      </c>
      <c r="P413" s="26" t="inlineStr"/>
    </row>
    <row r="414">
      <c r="A414" s="25" t="n">
        <v>1</v>
      </c>
      <c r="B414" s="25" t="inlineStr">
        <is>
          <t>ISAECI</t>
        </is>
      </c>
      <c r="C414" s="25" t="inlineStr">
        <is>
          <t>Abidjan Cocody</t>
        </is>
      </c>
      <c r="D414" s="25" t="inlineStr">
        <is>
          <t>+225 27 22 43 54 05</t>
        </is>
      </c>
      <c r="E414" s="25" t="inlineStr">
        <is>
          <t>+225 07 09 74 28 16</t>
        </is>
      </c>
      <c r="F414" s="25" t="inlineStr">
        <is>
          <t>contact@isaeci.com</t>
        </is>
      </c>
      <c r="G414" s="26" t="inlineStr"/>
      <c r="H414" s="26" t="inlineStr"/>
      <c r="I414" s="26" t="inlineStr">
        <is>
          <t>A contacter</t>
        </is>
      </c>
      <c r="J414" s="27" t="n"/>
      <c r="K414" s="26" t="n"/>
      <c r="L414" s="26" t="n">
        <v>1</v>
      </c>
      <c r="M414" s="26" t="n"/>
      <c r="N414" s="26" t="inlineStr"/>
      <c r="O414" s="28">
        <f>IF(OR($J414="",$K414="",$M414=""),"",($J414+IF(AND($L414&gt;=2,$J414=5000),3000,0))*$K414*$M414)</f>
        <v/>
      </c>
      <c r="P414" s="26" t="inlineStr"/>
    </row>
    <row r="415">
      <c r="A415" s="25" t="n">
        <v>1</v>
      </c>
      <c r="B415" s="25" t="inlineStr">
        <is>
          <t>ISFMI - Institut Superieur de Formation aux Metiers de l'Informatique</t>
        </is>
      </c>
      <c r="C415" s="25" t="inlineStr">
        <is>
          <t>Abidjan - Adjame Roxy</t>
        </is>
      </c>
      <c r="D415" s="25" t="inlineStr">
        <is>
          <t>+225 27 20 32 83 39</t>
        </is>
      </c>
      <c r="E415" s="25" t="inlineStr">
        <is>
          <t>+225 07 58 01 69 01</t>
        </is>
      </c>
      <c r="F415" s="25" t="inlineStr">
        <is>
          <t>isfmiisfmi@yahoo.fr</t>
        </is>
      </c>
      <c r="G415" s="26" t="inlineStr"/>
      <c r="H415" s="26" t="inlineStr"/>
      <c r="I415" s="26" t="inlineStr">
        <is>
          <t>A contacter</t>
        </is>
      </c>
      <c r="J415" s="27" t="n"/>
      <c r="K415" s="26" t="n"/>
      <c r="L415" s="26" t="n">
        <v>1</v>
      </c>
      <c r="M415" s="26" t="n"/>
      <c r="N415" s="26" t="inlineStr"/>
      <c r="O415" s="28">
        <f>IF(OR($J415="",$K415="",$M415=""),"",($J415+IF(AND($L415&gt;=2,$J415=5000),3000,0))*$K415*$M415)</f>
        <v/>
      </c>
      <c r="P415" s="26" t="inlineStr"/>
    </row>
    <row r="416">
      <c r="A416" s="25" t="n">
        <v>1</v>
      </c>
      <c r="B416" s="25" t="inlineStr">
        <is>
          <t>ISFPT LE TRIOMPHE (Institut Supérieur de Formation Professionnelle et Technique)</t>
        </is>
      </c>
      <c r="C416" s="25" t="inlineStr">
        <is>
          <t>Abidjan - Yopougon</t>
        </is>
      </c>
      <c r="D416" s="25" t="inlineStr">
        <is>
          <t>+225 07 48 64 73 71</t>
        </is>
      </c>
      <c r="E416" s="25" t="inlineStr">
        <is>
          <t>+225 07 48 64 73 71</t>
        </is>
      </c>
      <c r="F416" s="25" t="inlineStr">
        <is>
          <t>dgismad22@gmail.com</t>
        </is>
      </c>
      <c r="G416" s="26" t="inlineStr"/>
      <c r="H416" s="26" t="inlineStr"/>
      <c r="I416" s="26" t="inlineStr">
        <is>
          <t>A contacter</t>
        </is>
      </c>
      <c r="J416" s="27" t="n"/>
      <c r="K416" s="26" t="n"/>
      <c r="L416" s="26" t="n">
        <v>1</v>
      </c>
      <c r="M416" s="26" t="n"/>
      <c r="N416" s="26" t="inlineStr"/>
      <c r="O416" s="28">
        <f>IF(OR($J416="",$K416="",$M416=""),"",($J416+IF(AND($L416&gt;=2,$J416=5000),3000,0))*$K416*$M416)</f>
        <v/>
      </c>
      <c r="P416" s="26" t="inlineStr"/>
    </row>
    <row r="417">
      <c r="A417" s="25" t="n">
        <v>1</v>
      </c>
      <c r="B417" s="25" t="inlineStr">
        <is>
          <t>ISP-HOREB ADJAME</t>
        </is>
      </c>
      <c r="C417" s="25" t="inlineStr">
        <is>
          <t>Abidjan - Adjame</t>
        </is>
      </c>
      <c r="D417" s="25" t="inlineStr">
        <is>
          <t>+225 27 20 00 03 02</t>
        </is>
      </c>
      <c r="E417" s="25" t="inlineStr"/>
      <c r="F417" s="25" t="inlineStr">
        <is>
          <t>asbamba78@yahoo.fr</t>
        </is>
      </c>
      <c r="G417" s="26" t="inlineStr"/>
      <c r="H417" s="26" t="inlineStr"/>
      <c r="I417" s="26" t="inlineStr">
        <is>
          <t>A contacter</t>
        </is>
      </c>
      <c r="J417" s="27" t="n"/>
      <c r="K417" s="26" t="n"/>
      <c r="L417" s="26" t="n">
        <v>1</v>
      </c>
      <c r="M417" s="26" t="n"/>
      <c r="N417" s="26" t="inlineStr"/>
      <c r="O417" s="28">
        <f>IF(OR($J417="",$K417="",$M417=""),"",($J417+IF(AND($L417&gt;=2,$J417=5000),3000,0))*$K417*$M417)</f>
        <v/>
      </c>
      <c r="P417" s="26" t="inlineStr"/>
    </row>
    <row r="418">
      <c r="A418" s="25" t="n">
        <v>1</v>
      </c>
      <c r="B418" s="25" t="inlineStr">
        <is>
          <t>IST RACINE</t>
        </is>
      </c>
      <c r="C418" s="25" t="inlineStr">
        <is>
          <t>Abidjan - Plateau</t>
        </is>
      </c>
      <c r="D418" s="25" t="inlineStr">
        <is>
          <t>+225 27 22 43 56 98</t>
        </is>
      </c>
      <c r="E418" s="25" t="inlineStr"/>
      <c r="F418" s="25" t="inlineStr"/>
      <c r="G418" s="26" t="inlineStr"/>
      <c r="H418" s="26" t="inlineStr"/>
      <c r="I418" s="26" t="inlineStr">
        <is>
          <t>A contacter</t>
        </is>
      </c>
      <c r="J418" s="27" t="n"/>
      <c r="K418" s="26" t="n"/>
      <c r="L418" s="26" t="n">
        <v>1</v>
      </c>
      <c r="M418" s="26" t="n"/>
      <c r="N418" s="26" t="inlineStr"/>
      <c r="O418" s="28">
        <f>IF(OR($J418="",$K418="",$M418=""),"",($J418+IF(AND($L418&gt;=2,$J418=5000),3000,0))*$K418*$M418)</f>
        <v/>
      </c>
      <c r="P418" s="26" t="inlineStr"/>
    </row>
    <row r="419">
      <c r="A419" s="25" t="n">
        <v>1</v>
      </c>
      <c r="B419" s="25" t="inlineStr">
        <is>
          <t>IST SAINTE THERESE KOUMASSI ABIDJAN</t>
        </is>
      </c>
      <c r="C419" s="25" t="inlineStr">
        <is>
          <t>Abidjan - Koumassi</t>
        </is>
      </c>
      <c r="D419" s="25" t="inlineStr">
        <is>
          <t>+225 27 21 36 08 19</t>
        </is>
      </c>
      <c r="E419" s="25" t="inlineStr"/>
      <c r="F419" s="25" t="inlineStr">
        <is>
          <t>istsaintetherese@gmail.com</t>
        </is>
      </c>
      <c r="G419" s="26" t="inlineStr"/>
      <c r="H419" s="26" t="inlineStr"/>
      <c r="I419" s="26" t="inlineStr">
        <is>
          <t>A contacter</t>
        </is>
      </c>
      <c r="J419" s="27" t="n"/>
      <c r="K419" s="26" t="n"/>
      <c r="L419" s="26" t="n">
        <v>1</v>
      </c>
      <c r="M419" s="26" t="n"/>
      <c r="N419" s="26" t="inlineStr"/>
      <c r="O419" s="28">
        <f>IF(OR($J419="",$K419="",$M419=""),"",($J419+IF(AND($L419&gt;=2,$J419=5000),3000,0))*$K419*$M419)</f>
        <v/>
      </c>
      <c r="P419" s="26" t="inlineStr"/>
    </row>
    <row r="420">
      <c r="A420" s="25" t="n">
        <v>1</v>
      </c>
      <c r="B420" s="25" t="inlineStr">
        <is>
          <t>ISTAM</t>
        </is>
      </c>
      <c r="C420" s="25" t="inlineStr">
        <is>
          <t>Abidjan - Cocody</t>
        </is>
      </c>
      <c r="D420" s="25" t="inlineStr"/>
      <c r="E420" s="25" t="inlineStr"/>
      <c r="F420" s="25" t="inlineStr"/>
      <c r="G420" s="26" t="inlineStr"/>
      <c r="H420" s="26" t="inlineStr"/>
      <c r="I420" s="26" t="inlineStr">
        <is>
          <t>A contacter</t>
        </is>
      </c>
      <c r="J420" s="27" t="n"/>
      <c r="K420" s="26" t="n"/>
      <c r="L420" s="26" t="n">
        <v>1</v>
      </c>
      <c r="M420" s="26" t="n"/>
      <c r="N420" s="26" t="inlineStr"/>
      <c r="O420" s="28">
        <f>IF(OR($J420="",$K420="",$M420=""),"",($J420+IF(AND($L420&gt;=2,$J420=5000),3000,0))*$K420*$M420)</f>
        <v/>
      </c>
      <c r="P420" s="26" t="inlineStr"/>
    </row>
    <row r="421">
      <c r="A421" s="25" t="n">
        <v>1</v>
      </c>
      <c r="B421" s="25" t="inlineStr">
        <is>
          <t>ISTG PIERRE MARIE YOPOUGON</t>
        </is>
      </c>
      <c r="C421" s="25" t="inlineStr">
        <is>
          <t>Abidjan - Yopougon</t>
        </is>
      </c>
      <c r="D421" s="25" t="inlineStr">
        <is>
          <t>+225 07 49 46 62 07</t>
        </is>
      </c>
      <c r="E421" s="25" t="inlineStr">
        <is>
          <t>+225 07 49 46 62 07</t>
        </is>
      </c>
      <c r="F421" s="25" t="inlineStr">
        <is>
          <t>istgpierremarie7@gmail.com</t>
        </is>
      </c>
      <c r="G421" s="26" t="inlineStr"/>
      <c r="H421" s="26" t="inlineStr"/>
      <c r="I421" s="26" t="inlineStr">
        <is>
          <t>A contacter</t>
        </is>
      </c>
      <c r="J421" s="27" t="n"/>
      <c r="K421" s="26" t="n"/>
      <c r="L421" s="26" t="n">
        <v>1</v>
      </c>
      <c r="M421" s="26" t="n"/>
      <c r="N421" s="26" t="inlineStr"/>
      <c r="O421" s="28">
        <f>IF(OR($J421="",$K421="",$M421=""),"",($J421+IF(AND($L421&gt;=2,$J421=5000),3000,0))*$K421*$M421)</f>
        <v/>
      </c>
      <c r="P421" s="26" t="inlineStr"/>
    </row>
    <row r="422">
      <c r="A422" s="25" t="n">
        <v>1</v>
      </c>
      <c r="B422" s="25" t="inlineStr">
        <is>
          <t>ISTT YOPOUGON</t>
        </is>
      </c>
      <c r="C422" s="25" t="inlineStr">
        <is>
          <t>Abidjan - Yopougon</t>
        </is>
      </c>
      <c r="D422" s="25" t="inlineStr">
        <is>
          <t>+225 27 23 00 13 86</t>
        </is>
      </c>
      <c r="E422" s="25" t="inlineStr"/>
      <c r="F422" s="25" t="inlineStr">
        <is>
          <t>etep01istt@gmail.com</t>
        </is>
      </c>
      <c r="G422" s="26" t="inlineStr"/>
      <c r="H422" s="26" t="inlineStr"/>
      <c r="I422" s="26" t="inlineStr">
        <is>
          <t>A contacter</t>
        </is>
      </c>
      <c r="J422" s="27" t="n"/>
      <c r="K422" s="26" t="n"/>
      <c r="L422" s="26" t="n">
        <v>1</v>
      </c>
      <c r="M422" s="26" t="n"/>
      <c r="N422" s="26" t="inlineStr"/>
      <c r="O422" s="28">
        <f>IF(OR($J422="",$K422="",$M422=""),"",($J422+IF(AND($L422&gt;=2,$J422=5000),3000,0))*$K422*$M422)</f>
        <v/>
      </c>
      <c r="P422" s="26" t="inlineStr"/>
    </row>
    <row r="423">
      <c r="A423" s="25" t="n">
        <v>1</v>
      </c>
      <c r="B423" s="25" t="inlineStr">
        <is>
          <t>IT ACADEMY ABIDJAN (INTERNATIONAL TECHNOLOGY ACADEMY)</t>
        </is>
      </c>
      <c r="C423" s="25" t="inlineStr">
        <is>
          <t>Abidjan - Cocody</t>
        </is>
      </c>
      <c r="D423" s="25" t="inlineStr">
        <is>
          <t>+225 07 59 77 66 79</t>
        </is>
      </c>
      <c r="E423" s="25" t="inlineStr">
        <is>
          <t>+225 07 59 77 66 79</t>
        </is>
      </c>
      <c r="F423" s="25" t="inlineStr">
        <is>
          <t>itacademyci@gmail.com</t>
        </is>
      </c>
      <c r="G423" s="26" t="inlineStr"/>
      <c r="H423" s="26" t="inlineStr"/>
      <c r="I423" s="26" t="inlineStr">
        <is>
          <t>A contacter</t>
        </is>
      </c>
      <c r="J423" s="27" t="n"/>
      <c r="K423" s="26" t="n"/>
      <c r="L423" s="26" t="n">
        <v>1</v>
      </c>
      <c r="M423" s="26" t="n"/>
      <c r="N423" s="26" t="inlineStr"/>
      <c r="O423" s="28">
        <f>IF(OR($J423="",$K423="",$M423=""),"",($J423+IF(AND($L423&gt;=2,$J423=5000),3000,0))*$K423*$M423)</f>
        <v/>
      </c>
      <c r="P423" s="26" t="inlineStr"/>
    </row>
    <row r="424">
      <c r="A424" s="25" t="n">
        <v>1</v>
      </c>
      <c r="B424" s="25" t="inlineStr">
        <is>
          <t>ITP CERIN DOKUI</t>
        </is>
      </c>
      <c r="C424" s="25" t="inlineStr">
        <is>
          <t>Abidjan - Abobo</t>
        </is>
      </c>
      <c r="D424" s="25" t="inlineStr">
        <is>
          <t>+225 01 02 55 55 50</t>
        </is>
      </c>
      <c r="E424" s="25" t="inlineStr">
        <is>
          <t>+225 01 02 55 55 50</t>
        </is>
      </c>
      <c r="F424" s="25" t="inlineStr"/>
      <c r="G424" s="26" t="inlineStr"/>
      <c r="H424" s="26" t="inlineStr"/>
      <c r="I424" s="26" t="inlineStr">
        <is>
          <t>A contacter</t>
        </is>
      </c>
      <c r="J424" s="27" t="n"/>
      <c r="K424" s="26" t="n"/>
      <c r="L424" s="26" t="n">
        <v>1</v>
      </c>
      <c r="M424" s="26" t="n"/>
      <c r="N424" s="26" t="inlineStr"/>
      <c r="O424" s="28">
        <f>IF(OR($J424="",$K424="",$M424=""),"",($J424+IF(AND($L424&gt;=2,$J424=5000),3000,0))*$K424*$M424)</f>
        <v/>
      </c>
      <c r="P424" s="26" t="inlineStr"/>
    </row>
    <row r="425">
      <c r="A425" s="25" t="n">
        <v>1</v>
      </c>
      <c r="B425" s="25" t="inlineStr">
        <is>
          <t>IUPA Cocody - Institut Universitaire Polytechnique d'Abidjan</t>
        </is>
      </c>
      <c r="C425" s="25" t="inlineStr">
        <is>
          <t>Abidjan - Cocody Riviera Bonoumin</t>
        </is>
      </c>
      <c r="D425" s="25" t="inlineStr">
        <is>
          <t>+225 27 22 59 12 84</t>
        </is>
      </c>
      <c r="E425" s="25" t="inlineStr">
        <is>
          <t>+225 05 55 43 22 69</t>
        </is>
      </c>
      <c r="F425" s="25" t="inlineStr">
        <is>
          <t>groupeiupaismt@gmail.com</t>
        </is>
      </c>
      <c r="G425" s="26" t="inlineStr"/>
      <c r="H425" s="26" t="inlineStr"/>
      <c r="I425" s="26" t="inlineStr">
        <is>
          <t>A contacter</t>
        </is>
      </c>
      <c r="J425" s="27" t="n"/>
      <c r="K425" s="26" t="n"/>
      <c r="L425" s="26" t="n">
        <v>1</v>
      </c>
      <c r="M425" s="26" t="n"/>
      <c r="N425" s="26" t="inlineStr"/>
      <c r="O425" s="28">
        <f>IF(OR($J425="",$K425="",$M425=""),"",($J425+IF(AND($L425&gt;=2,$J425=5000),3000,0))*$K425*$M425)</f>
        <v/>
      </c>
      <c r="P425" s="26" t="inlineStr"/>
    </row>
    <row r="426">
      <c r="A426" s="25" t="n">
        <v>1</v>
      </c>
      <c r="B426" s="25" t="inlineStr">
        <is>
          <t>IUPA Yopougon - Institut Universitaire Polytechnique d'Abidjan</t>
        </is>
      </c>
      <c r="C426" s="25" t="inlineStr">
        <is>
          <t>Abidjan - Yopougon</t>
        </is>
      </c>
      <c r="D426" s="25" t="inlineStr">
        <is>
          <t>+225 07 79 63 51 90</t>
        </is>
      </c>
      <c r="E426" s="25" t="inlineStr">
        <is>
          <t>+225 07 79 63 51 90</t>
        </is>
      </c>
      <c r="F426" s="25" t="inlineStr">
        <is>
          <t>groupeiupaismt@gmail.com</t>
        </is>
      </c>
      <c r="G426" s="26" t="inlineStr"/>
      <c r="H426" s="26" t="inlineStr"/>
      <c r="I426" s="26" t="inlineStr">
        <is>
          <t>A contacter</t>
        </is>
      </c>
      <c r="J426" s="27" t="n"/>
      <c r="K426" s="26" t="n"/>
      <c r="L426" s="26" t="n">
        <v>1</v>
      </c>
      <c r="M426" s="26" t="n"/>
      <c r="N426" s="26" t="inlineStr"/>
      <c r="O426" s="28">
        <f>IF(OR($J426="",$K426="",$M426=""),"",($J426+IF(AND($L426&gt;=2,$J426=5000),3000,0))*$K426*$M426)</f>
        <v/>
      </c>
      <c r="P426" s="26" t="inlineStr"/>
    </row>
    <row r="427">
      <c r="A427" s="25" t="n">
        <v>1</v>
      </c>
      <c r="B427" s="25" t="inlineStr">
        <is>
          <t>LEADERS' ACADEMY</t>
        </is>
      </c>
      <c r="C427" s="25" t="inlineStr">
        <is>
          <t>Abidjan - Cocody</t>
        </is>
      </c>
      <c r="D427" s="25" t="inlineStr">
        <is>
          <t>+225 05 76 73 46 34</t>
        </is>
      </c>
      <c r="E427" s="25" t="inlineStr">
        <is>
          <t>+225 05 76 73 46 34</t>
        </is>
      </c>
      <c r="F427" s="25" t="inlineStr">
        <is>
          <t>leaderacademyci@gmail.com</t>
        </is>
      </c>
      <c r="G427" s="26" t="inlineStr"/>
      <c r="H427" s="26" t="inlineStr"/>
      <c r="I427" s="26" t="inlineStr">
        <is>
          <t>A contacter</t>
        </is>
      </c>
      <c r="J427" s="27" t="n"/>
      <c r="K427" s="26" t="n"/>
      <c r="L427" s="26" t="n">
        <v>1</v>
      </c>
      <c r="M427" s="26" t="n"/>
      <c r="N427" s="26" t="inlineStr"/>
      <c r="O427" s="28">
        <f>IF(OR($J427="",$K427="",$M427=""),"",($J427+IF(AND($L427&gt;=2,$J427=5000),3000,0))*$K427*$M427)</f>
        <v/>
      </c>
      <c r="P427" s="26" t="inlineStr"/>
    </row>
    <row r="428">
      <c r="A428" s="25" t="n">
        <v>1</v>
      </c>
      <c r="B428" s="25" t="inlineStr">
        <is>
          <t>LEGACY INSTITUTE</t>
        </is>
      </c>
      <c r="C428" s="25" t="inlineStr">
        <is>
          <t>Abidjan - Abobo</t>
        </is>
      </c>
      <c r="D428" s="25" t="inlineStr">
        <is>
          <t>+225 27 20 21 54 13</t>
        </is>
      </c>
      <c r="E428" s="25" t="inlineStr">
        <is>
          <t>+225 07 07 52 27 43</t>
        </is>
      </c>
      <c r="F428" s="25" t="inlineStr"/>
      <c r="G428" s="26" t="inlineStr"/>
      <c r="H428" s="26" t="inlineStr"/>
      <c r="I428" s="26" t="inlineStr">
        <is>
          <t>A contacter</t>
        </is>
      </c>
      <c r="J428" s="27" t="n"/>
      <c r="K428" s="26" t="n"/>
      <c r="L428" s="26" t="n">
        <v>1</v>
      </c>
      <c r="M428" s="26" t="n"/>
      <c r="N428" s="26" t="inlineStr"/>
      <c r="O428" s="28">
        <f>IF(OR($J428="",$K428="",$M428=""),"",($J428+IF(AND($L428&gt;=2,$J428=5000),3000,0))*$K428*$M428)</f>
        <v/>
      </c>
      <c r="P428" s="26" t="inlineStr"/>
    </row>
    <row r="429">
      <c r="A429" s="25" t="n">
        <v>1</v>
      </c>
      <c r="B429" s="25" t="inlineStr">
        <is>
          <t>MANAGEMENT INFORMATIQUE SPORT ET ART</t>
        </is>
      </c>
      <c r="C429" s="25" t="inlineStr">
        <is>
          <t>Abidjan - Cocody</t>
        </is>
      </c>
      <c r="D429" s="25" t="inlineStr">
        <is>
          <t>+225 27 22 41 42 95</t>
        </is>
      </c>
      <c r="E429" s="25" t="inlineStr"/>
      <c r="F429" s="25" t="inlineStr"/>
      <c r="G429" s="26" t="inlineStr"/>
      <c r="H429" s="26" t="inlineStr"/>
      <c r="I429" s="26" t="inlineStr">
        <is>
          <t>A contacter</t>
        </is>
      </c>
      <c r="J429" s="27" t="n"/>
      <c r="K429" s="26" t="n"/>
      <c r="L429" s="26" t="n">
        <v>1</v>
      </c>
      <c r="M429" s="26" t="n"/>
      <c r="N429" s="26" t="inlineStr"/>
      <c r="O429" s="28">
        <f>IF(OR($J429="",$K429="",$M429=""),"",($J429+IF(AND($L429&gt;=2,$J429=5000),3000,0))*$K429*$M429)</f>
        <v/>
      </c>
      <c r="P429" s="26" t="inlineStr"/>
    </row>
    <row r="430">
      <c r="A430" s="25" t="n">
        <v>1</v>
      </c>
      <c r="B430" s="25" t="inlineStr">
        <is>
          <t>MERITT BUSINESS SCHOOL (MBS)</t>
        </is>
      </c>
      <c r="C430" s="25" t="inlineStr">
        <is>
          <t>Abidjan - Yopougon</t>
        </is>
      </c>
      <c r="D430" s="25" t="inlineStr">
        <is>
          <t>+225 07 77 77 45 43</t>
        </is>
      </c>
      <c r="E430" s="25" t="inlineStr">
        <is>
          <t>+225 07 77 77 45 43</t>
        </is>
      </c>
      <c r="F430" s="25" t="inlineStr">
        <is>
          <t>merittci2@gmail.com</t>
        </is>
      </c>
      <c r="G430" s="26" t="inlineStr"/>
      <c r="H430" s="26" t="inlineStr"/>
      <c r="I430" s="26" t="inlineStr">
        <is>
          <t>A contacter</t>
        </is>
      </c>
      <c r="J430" s="27" t="n"/>
      <c r="K430" s="26" t="n"/>
      <c r="L430" s="26" t="n">
        <v>1</v>
      </c>
      <c r="M430" s="26" t="n"/>
      <c r="N430" s="26" t="inlineStr"/>
      <c r="O430" s="28">
        <f>IF(OR($J430="",$K430="",$M430=""),"",($J430+IF(AND($L430&gt;=2,$J430=5000),3000,0))*$K430*$M430)</f>
        <v/>
      </c>
      <c r="P430" s="26" t="inlineStr"/>
    </row>
    <row r="431">
      <c r="A431" s="25" t="n">
        <v>1</v>
      </c>
      <c r="B431" s="25" t="inlineStr">
        <is>
          <t>NBA BUSINESS SCHOOL (NBS SARL)</t>
        </is>
      </c>
      <c r="C431" s="25" t="inlineStr">
        <is>
          <t>Abidjan - Cocody</t>
        </is>
      </c>
      <c r="D431" s="25" t="inlineStr">
        <is>
          <t>+225 07 07 61 03 29</t>
        </is>
      </c>
      <c r="E431" s="25" t="inlineStr">
        <is>
          <t>+225 07 07 61 03 29</t>
        </is>
      </c>
      <c r="F431" s="25" t="inlineStr">
        <is>
          <t>contact@nbabusinesschool.com</t>
        </is>
      </c>
      <c r="G431" s="26" t="inlineStr"/>
      <c r="H431" s="26" t="inlineStr"/>
      <c r="I431" s="26" t="inlineStr">
        <is>
          <t>A contacter</t>
        </is>
      </c>
      <c r="J431" s="27" t="n"/>
      <c r="K431" s="26" t="n"/>
      <c r="L431" s="26" t="n">
        <v>1</v>
      </c>
      <c r="M431" s="26" t="n"/>
      <c r="N431" s="26" t="inlineStr"/>
      <c r="O431" s="28">
        <f>IF(OR($J431="",$K431="",$M431=""),"",($J431+IF(AND($L431&gt;=2,$J431=5000),3000,0))*$K431*$M431)</f>
        <v/>
      </c>
      <c r="P431" s="26" t="inlineStr"/>
    </row>
    <row r="432">
      <c r="A432" s="25" t="n">
        <v>1</v>
      </c>
      <c r="B432" s="25" t="inlineStr">
        <is>
          <t>Neurones Academy</t>
        </is>
      </c>
      <c r="C432" s="25" t="inlineStr">
        <is>
          <t>Abidjan - Cocody Angre 8eme Tranche</t>
        </is>
      </c>
      <c r="D432" s="25" t="inlineStr">
        <is>
          <t>+225 27 22 42 90 90</t>
        </is>
      </c>
      <c r="E432" s="25" t="inlineStr">
        <is>
          <t>+225 07 88 88 61 61</t>
        </is>
      </c>
      <c r="F432" s="25" t="inlineStr">
        <is>
          <t>contact@neurones-academy.com</t>
        </is>
      </c>
      <c r="G432" s="26" t="inlineStr"/>
      <c r="H432" s="26" t="inlineStr"/>
      <c r="I432" s="26" t="inlineStr">
        <is>
          <t>A contacter</t>
        </is>
      </c>
      <c r="J432" s="27" t="n"/>
      <c r="K432" s="26" t="n"/>
      <c r="L432" s="26" t="n">
        <v>1</v>
      </c>
      <c r="M432" s="26" t="n"/>
      <c r="N432" s="26" t="inlineStr"/>
      <c r="O432" s="28">
        <f>IF(OR($J432="",$K432="",$M432=""),"",($J432+IF(AND($L432&gt;=2,$J432=5000),3000,0))*$K432*$M432)</f>
        <v/>
      </c>
      <c r="P432" s="26" t="inlineStr"/>
    </row>
    <row r="433">
      <c r="A433" s="25" t="n">
        <v>1</v>
      </c>
      <c r="B433" s="25" t="inlineStr">
        <is>
          <t>OLIGONE BUSINESS SCHOOL (OBS)</t>
        </is>
      </c>
      <c r="C433" s="25" t="inlineStr">
        <is>
          <t>Abidjan - Cocody</t>
        </is>
      </c>
      <c r="D433" s="25" t="inlineStr"/>
      <c r="E433" s="25" t="inlineStr"/>
      <c r="F433" s="25" t="inlineStr"/>
      <c r="G433" s="26" t="inlineStr"/>
      <c r="H433" s="26" t="inlineStr"/>
      <c r="I433" s="26" t="inlineStr">
        <is>
          <t>A contacter</t>
        </is>
      </c>
      <c r="J433" s="27" t="n"/>
      <c r="K433" s="26" t="n"/>
      <c r="L433" s="26" t="n">
        <v>1</v>
      </c>
      <c r="M433" s="26" t="n"/>
      <c r="N433" s="26" t="inlineStr"/>
      <c r="O433" s="28">
        <f>IF(OR($J433="",$K433="",$M433=""),"",($J433+IF(AND($L433&gt;=2,$J433=5000),3000,0))*$K433*$M433)</f>
        <v/>
      </c>
      <c r="P433" s="26" t="inlineStr"/>
    </row>
    <row r="434">
      <c r="A434" s="25" t="n">
        <v>1</v>
      </c>
      <c r="B434" s="25" t="inlineStr">
        <is>
          <t>PIGIER Cote d'Ivoire</t>
        </is>
      </c>
      <c r="C434" s="25" t="inlineStr">
        <is>
          <t>Abidjan - Plateau (+ Yopougon, Yamoussoukro)</t>
        </is>
      </c>
      <c r="D434" s="25" t="inlineStr">
        <is>
          <t>+225 27 20 30 35 00</t>
        </is>
      </c>
      <c r="E434" s="25" t="inlineStr">
        <is>
          <t>+225 07 08 33 45 39</t>
        </is>
      </c>
      <c r="F434" s="25" t="inlineStr">
        <is>
          <t>pigierci@pigierci.com</t>
        </is>
      </c>
      <c r="G434" s="26" t="inlineStr"/>
      <c r="H434" s="26" t="inlineStr"/>
      <c r="I434" s="26" t="inlineStr">
        <is>
          <t>A contacter</t>
        </is>
      </c>
      <c r="J434" s="27" t="n"/>
      <c r="K434" s="26" t="n"/>
      <c r="L434" s="26" t="n">
        <v>1</v>
      </c>
      <c r="M434" s="26" t="n"/>
      <c r="N434" s="26" t="inlineStr"/>
      <c r="O434" s="28">
        <f>IF(OR($J434="",$K434="",$M434=""),"",($J434+IF(AND($L434&gt;=2,$J434=5000),3000,0))*$K434*$M434)</f>
        <v/>
      </c>
      <c r="P434" s="26" t="inlineStr"/>
    </row>
    <row r="435">
      <c r="A435" s="25" t="n">
        <v>1</v>
      </c>
      <c r="B435" s="25" t="inlineStr">
        <is>
          <t>PROMOTRAN ISF (PISF)</t>
        </is>
      </c>
      <c r="C435" s="25" t="inlineStr">
        <is>
          <t>Abidjan - Cocody</t>
        </is>
      </c>
      <c r="D435" s="25" t="inlineStr">
        <is>
          <t>+225 27 22 42 52 00</t>
        </is>
      </c>
      <c r="E435" s="25" t="inlineStr">
        <is>
          <t>+225 01 71 08 33 35</t>
        </is>
      </c>
      <c r="F435" s="25" t="inlineStr">
        <is>
          <t>promotranisf@gmail.com</t>
        </is>
      </c>
      <c r="G435" s="26" t="inlineStr"/>
      <c r="H435" s="26" t="inlineStr"/>
      <c r="I435" s="26" t="inlineStr">
        <is>
          <t>A contacter</t>
        </is>
      </c>
      <c r="J435" s="27" t="n"/>
      <c r="K435" s="26" t="n"/>
      <c r="L435" s="26" t="n">
        <v>1</v>
      </c>
      <c r="M435" s="26" t="n"/>
      <c r="N435" s="26" t="inlineStr"/>
      <c r="O435" s="28">
        <f>IF(OR($J435="",$K435="",$M435=""),"",($J435+IF(AND($L435&gt;=2,$J435=5000),3000,0))*$K435*$M435)</f>
        <v/>
      </c>
      <c r="P435" s="26" t="inlineStr"/>
    </row>
    <row r="436">
      <c r="A436" s="25" t="n">
        <v>1</v>
      </c>
      <c r="B436" s="25" t="inlineStr">
        <is>
          <t>STRATEGIC MANAGEMENT AND INNOVATION TECHNOLOGIES INSTITUTE (SITIM)</t>
        </is>
      </c>
      <c r="C436" s="25" t="inlineStr">
        <is>
          <t>Abidjan - Cocody</t>
        </is>
      </c>
      <c r="D436" s="25" t="inlineStr">
        <is>
          <t>+225 01 51 81 21 94</t>
        </is>
      </c>
      <c r="E436" s="25" t="inlineStr">
        <is>
          <t>+225 01 51 81 21 94</t>
        </is>
      </c>
      <c r="F436" s="25" t="inlineStr">
        <is>
          <t>winexag@gmail.com</t>
        </is>
      </c>
      <c r="G436" s="26" t="inlineStr"/>
      <c r="H436" s="26" t="inlineStr"/>
      <c r="I436" s="26" t="inlineStr">
        <is>
          <t>A contacter</t>
        </is>
      </c>
      <c r="J436" s="27" t="n"/>
      <c r="K436" s="26" t="n"/>
      <c r="L436" s="26" t="n">
        <v>1</v>
      </c>
      <c r="M436" s="26" t="n"/>
      <c r="N436" s="26" t="inlineStr"/>
      <c r="O436" s="28">
        <f>IF(OR($J436="",$K436="",$M436=""),"",($J436+IF(AND($L436&gt;=2,$J436=5000),3000,0))*$K436*$M436)</f>
        <v/>
      </c>
      <c r="P436" s="26" t="inlineStr"/>
    </row>
    <row r="437">
      <c r="A437" s="25" t="n">
        <v>1</v>
      </c>
      <c r="B437" s="25" t="inlineStr">
        <is>
          <t>SUP'BARAKAT</t>
        </is>
      </c>
      <c r="C437" s="25" t="inlineStr">
        <is>
          <t>Abidjan - Yopougon</t>
        </is>
      </c>
      <c r="D437" s="25" t="inlineStr">
        <is>
          <t>+225 07 67 40 40 67</t>
        </is>
      </c>
      <c r="E437" s="25" t="inlineStr">
        <is>
          <t>+225 07 67 40 40 67</t>
        </is>
      </c>
      <c r="F437" s="25" t="inlineStr">
        <is>
          <t>esupbarakat@gmail.com</t>
        </is>
      </c>
      <c r="G437" s="26" t="inlineStr"/>
      <c r="H437" s="26" t="inlineStr"/>
      <c r="I437" s="26" t="inlineStr">
        <is>
          <t>A contacter</t>
        </is>
      </c>
      <c r="J437" s="27" t="n"/>
      <c r="K437" s="26" t="n"/>
      <c r="L437" s="26" t="n">
        <v>1</v>
      </c>
      <c r="M437" s="26" t="n"/>
      <c r="N437" s="26" t="inlineStr"/>
      <c r="O437" s="28">
        <f>IF(OR($J437="",$K437="",$M437=""),"",($J437+IF(AND($L437&gt;=2,$J437=5000),3000,0))*$K437*$M437)</f>
        <v/>
      </c>
      <c r="P437" s="26" t="inlineStr"/>
    </row>
    <row r="438">
      <c r="A438" s="25" t="n">
        <v>1</v>
      </c>
      <c r="B438" s="25" t="inlineStr">
        <is>
          <t>SUP'ELITE BUSINESS SCHOOL</t>
        </is>
      </c>
      <c r="C438" s="25" t="inlineStr">
        <is>
          <t>Abidjan - Cocody</t>
        </is>
      </c>
      <c r="D438" s="25" t="inlineStr">
        <is>
          <t>+225 27 22 44 57 38</t>
        </is>
      </c>
      <c r="E438" s="25" t="inlineStr"/>
      <c r="F438" s="25" t="inlineStr">
        <is>
          <t>info@supelite-ci.com</t>
        </is>
      </c>
      <c r="G438" s="26" t="inlineStr"/>
      <c r="H438" s="26" t="inlineStr"/>
      <c r="I438" s="26" t="inlineStr">
        <is>
          <t>A contacter</t>
        </is>
      </c>
      <c r="J438" s="27" t="n"/>
      <c r="K438" s="26" t="n"/>
      <c r="L438" s="26" t="n">
        <v>1</v>
      </c>
      <c r="M438" s="26" t="n"/>
      <c r="N438" s="26" t="inlineStr"/>
      <c r="O438" s="28">
        <f>IF(OR($J438="",$K438="",$M438=""),"",($J438+IF(AND($L438&gt;=2,$J438=5000),3000,0))*$K438*$M438)</f>
        <v/>
      </c>
      <c r="P438" s="26" t="inlineStr"/>
    </row>
    <row r="439">
      <c r="A439" s="25" t="n">
        <v>1</v>
      </c>
      <c r="B439" s="25" t="inlineStr">
        <is>
          <t>SUP'INTER YOPOUGON</t>
        </is>
      </c>
      <c r="C439" s="25" t="inlineStr">
        <is>
          <t>Abidjan - Yopougon</t>
        </is>
      </c>
      <c r="D439" s="25" t="inlineStr">
        <is>
          <t>+225 07 08 92 35 99</t>
        </is>
      </c>
      <c r="E439" s="25" t="inlineStr">
        <is>
          <t>+225 07 08 92 35 99</t>
        </is>
      </c>
      <c r="F439" s="25" t="inlineStr">
        <is>
          <t>sup.inter18@gmail.com</t>
        </is>
      </c>
      <c r="G439" s="26" t="inlineStr"/>
      <c r="H439" s="26" t="inlineStr"/>
      <c r="I439" s="26" t="inlineStr">
        <is>
          <t>A contacter</t>
        </is>
      </c>
      <c r="J439" s="27" t="n"/>
      <c r="K439" s="26" t="n"/>
      <c r="L439" s="26" t="n">
        <v>1</v>
      </c>
      <c r="M439" s="26" t="n"/>
      <c r="N439" s="26" t="inlineStr"/>
      <c r="O439" s="28">
        <f>IF(OR($J439="",$K439="",$M439=""),"",($J439+IF(AND($L439&gt;=2,$J439=5000),3000,0))*$K439*$M439)</f>
        <v/>
      </c>
      <c r="P439" s="26" t="inlineStr"/>
    </row>
    <row r="440">
      <c r="A440" s="25" t="n">
        <v>1</v>
      </c>
      <c r="B440" s="25" t="inlineStr">
        <is>
          <t>TLM BUSINESS SCHOOL</t>
        </is>
      </c>
      <c r="C440" s="25" t="inlineStr">
        <is>
          <t>Abidjan - Plateau</t>
        </is>
      </c>
      <c r="D440" s="25" t="inlineStr">
        <is>
          <t>+225 27 20 22 42 98</t>
        </is>
      </c>
      <c r="E440" s="25" t="inlineStr">
        <is>
          <t>+225 07 09 51 48 48</t>
        </is>
      </c>
      <c r="F440" s="25" t="inlineStr">
        <is>
          <t>mingath@yahoo.fr</t>
        </is>
      </c>
      <c r="G440" s="26" t="inlineStr"/>
      <c r="H440" s="26" t="inlineStr"/>
      <c r="I440" s="26" t="inlineStr">
        <is>
          <t>A contacter</t>
        </is>
      </c>
      <c r="J440" s="27" t="n"/>
      <c r="K440" s="26" t="n"/>
      <c r="L440" s="26" t="n">
        <v>1</v>
      </c>
      <c r="M440" s="26" t="n"/>
      <c r="N440" s="26" t="inlineStr"/>
      <c r="O440" s="28">
        <f>IF(OR($J440="",$K440="",$M440=""),"",($J440+IF(AND($L440&gt;=2,$J440=5000),3000,0))*$K440*$M440)</f>
        <v/>
      </c>
      <c r="P440" s="26" t="inlineStr"/>
    </row>
    <row r="441">
      <c r="A441" s="25" t="n">
        <v>1</v>
      </c>
      <c r="B441" s="25" t="inlineStr">
        <is>
          <t>UCAO-UUA - Universite Catholique de l'Afrique de l'Ouest</t>
        </is>
      </c>
      <c r="C441" s="25" t="inlineStr">
        <is>
          <t>Abidjan - Cocody</t>
        </is>
      </c>
      <c r="D441" s="25" t="inlineStr">
        <is>
          <t>+225 27 22 40 06 50</t>
        </is>
      </c>
      <c r="E441" s="25" t="inlineStr">
        <is>
          <t>+225 05 46 01 92 70</t>
        </is>
      </c>
      <c r="F441" s="25" t="inlineStr">
        <is>
          <t>info@ucaouua.com</t>
        </is>
      </c>
      <c r="G441" s="26" t="inlineStr"/>
      <c r="H441" s="26" t="inlineStr"/>
      <c r="I441" s="26" t="inlineStr">
        <is>
          <t>A contacter</t>
        </is>
      </c>
      <c r="J441" s="27" t="n"/>
      <c r="K441" s="26" t="n"/>
      <c r="L441" s="26" t="n">
        <v>1</v>
      </c>
      <c r="M441" s="26" t="n"/>
      <c r="N441" s="26" t="inlineStr"/>
      <c r="O441" s="28">
        <f>IF(OR($J441="",$K441="",$M441=""),"",($J441+IF(AND($L441&gt;=2,$J441=5000),3000,0))*$K441*$M441)</f>
        <v/>
      </c>
      <c r="P441" s="26" t="inlineStr"/>
    </row>
    <row r="442">
      <c r="A442" s="25" t="n">
        <v>1</v>
      </c>
      <c r="B442" s="25" t="inlineStr">
        <is>
          <t>UIST - Universite Internationale des Sciences et Technologie</t>
        </is>
      </c>
      <c r="C442" s="25" t="inlineStr">
        <is>
          <t>Abidjan - Cocody Riviera Bonoumin</t>
        </is>
      </c>
      <c r="D442" s="25" t="inlineStr">
        <is>
          <t>+225 07 09 47 87 16</t>
        </is>
      </c>
      <c r="E442" s="25" t="inlineStr">
        <is>
          <t>+225 07 78 46 60 78</t>
        </is>
      </c>
      <c r="F442" s="25" t="inlineStr"/>
      <c r="G442" s="26" t="inlineStr"/>
      <c r="H442" s="26" t="inlineStr"/>
      <c r="I442" s="26" t="inlineStr">
        <is>
          <t>A contacter</t>
        </is>
      </c>
      <c r="J442" s="27" t="n"/>
      <c r="K442" s="26" t="n"/>
      <c r="L442" s="26" t="n">
        <v>1</v>
      </c>
      <c r="M442" s="26" t="n"/>
      <c r="N442" s="26" t="inlineStr"/>
      <c r="O442" s="28">
        <f>IF(OR($J442="",$K442="",$M442=""),"",($J442+IF(AND($L442&gt;=2,$J442=5000),3000,0))*$K442*$M442)</f>
        <v/>
      </c>
      <c r="P442" s="26" t="inlineStr"/>
    </row>
    <row r="443">
      <c r="A443" s="25" t="n">
        <v>1</v>
      </c>
      <c r="B443" s="25" t="inlineStr">
        <is>
          <t>UNIVERSITE CHARLES-LOUIS DE MONTESQUIEU COCODY_GRANDE ECOLE (UCLM COCODY_GRANDE ECOLE)</t>
        </is>
      </c>
      <c r="C443" s="25" t="inlineStr">
        <is>
          <t>Abidjan - Cocody</t>
        </is>
      </c>
      <c r="D443" s="25" t="inlineStr">
        <is>
          <t>+225 07 07 87 25 41</t>
        </is>
      </c>
      <c r="E443" s="25" t="inlineStr">
        <is>
          <t>+225 07 07 87 25 41</t>
        </is>
      </c>
      <c r="F443" s="25" t="inlineStr">
        <is>
          <t>amoa_lifep@yahoo.fr</t>
        </is>
      </c>
      <c r="G443" s="26" t="inlineStr"/>
      <c r="H443" s="26" t="inlineStr"/>
      <c r="I443" s="26" t="inlineStr">
        <is>
          <t>A contacter</t>
        </is>
      </c>
      <c r="J443" s="27" t="n"/>
      <c r="K443" s="26" t="n"/>
      <c r="L443" s="26" t="n">
        <v>1</v>
      </c>
      <c r="M443" s="26" t="n"/>
      <c r="N443" s="26" t="inlineStr"/>
      <c r="O443" s="28">
        <f>IF(OR($J443="",$K443="",$M443=""),"",($J443+IF(AND($L443&gt;=2,$J443=5000),3000,0))*$K443*$M443)</f>
        <v/>
      </c>
      <c r="P443" s="26" t="inlineStr"/>
    </row>
    <row r="444">
      <c r="A444" s="25" t="n">
        <v>1</v>
      </c>
      <c r="B444" s="25" t="inlineStr">
        <is>
          <t>UNIVERSITE INTERNATIONALE AL-MOUSTAPHA DE COTE D'IVOIRE (UIAMCI) (UIM-CI)</t>
        </is>
      </c>
      <c r="C444" s="25" t="inlineStr">
        <is>
          <t>Abidjan - Cocody</t>
        </is>
      </c>
      <c r="D444" s="25" t="inlineStr">
        <is>
          <t>+225 27 22 47 05 89</t>
        </is>
      </c>
      <c r="E444" s="25" t="inlineStr">
        <is>
          <t>+225 07 07 07 60 65</t>
        </is>
      </c>
      <c r="F444" s="25" t="inlineStr">
        <is>
          <t>universitealmustafa@gmail.com</t>
        </is>
      </c>
      <c r="G444" s="26" t="inlineStr"/>
      <c r="H444" s="26" t="inlineStr"/>
      <c r="I444" s="26" t="inlineStr">
        <is>
          <t>A contacter</t>
        </is>
      </c>
      <c r="J444" s="27" t="n"/>
      <c r="K444" s="26" t="n"/>
      <c r="L444" s="26" t="n">
        <v>1</v>
      </c>
      <c r="M444" s="26" t="n"/>
      <c r="N444" s="26" t="inlineStr"/>
      <c r="O444" s="28">
        <f>IF(OR($J444="",$K444="",$M444=""),"",($J444+IF(AND($L444&gt;=2,$J444=5000),3000,0))*$K444*$M444)</f>
        <v/>
      </c>
      <c r="P444" s="26" t="inlineStr"/>
    </row>
    <row r="445">
      <c r="A445" s="25" t="n">
        <v>1</v>
      </c>
      <c r="B445" s="25" t="inlineStr">
        <is>
          <t>UNIVERSITE INTERNATIONALE DE COCODY_GRANDE ECOLE (UIC_GRANDE ECOLE)</t>
        </is>
      </c>
      <c r="C445" s="25" t="inlineStr">
        <is>
          <t>Abidjan - Cocody</t>
        </is>
      </c>
      <c r="D445" s="25" t="inlineStr">
        <is>
          <t>+225 07 09 88 54 31</t>
        </is>
      </c>
      <c r="E445" s="25" t="inlineStr">
        <is>
          <t>+225 07 09 88 54 31</t>
        </is>
      </c>
      <c r="F445" s="25" t="inlineStr">
        <is>
          <t>infos.uic@laposte.net</t>
        </is>
      </c>
      <c r="G445" s="26" t="inlineStr"/>
      <c r="H445" s="26" t="inlineStr"/>
      <c r="I445" s="26" t="inlineStr">
        <is>
          <t>A contacter</t>
        </is>
      </c>
      <c r="J445" s="27" t="n"/>
      <c r="K445" s="26" t="n"/>
      <c r="L445" s="26" t="n">
        <v>1</v>
      </c>
      <c r="M445" s="26" t="n"/>
      <c r="N445" s="26" t="inlineStr"/>
      <c r="O445" s="28">
        <f>IF(OR($J445="",$K445="",$M445=""),"",($J445+IF(AND($L445&gt;=2,$J445=5000),3000,0))*$K445*$M445)</f>
        <v/>
      </c>
      <c r="P445" s="26" t="inlineStr"/>
    </row>
    <row r="446">
      <c r="A446" s="25" t="n">
        <v>1</v>
      </c>
      <c r="B446" s="25" t="inlineStr">
        <is>
          <t>Universite Methodiste de Cote d'Ivoire (UMECI)</t>
        </is>
      </c>
      <c r="C446" s="25" t="inlineStr">
        <is>
          <t>Abidjan Cocody</t>
        </is>
      </c>
      <c r="D446" s="25" t="inlineStr">
        <is>
          <t>+225 27 22 44 66 68</t>
        </is>
      </c>
      <c r="E446" s="25" t="inlineStr">
        <is>
          <t>+225 27 22 44 90 77</t>
        </is>
      </c>
      <c r="F446" s="25" t="inlineStr"/>
      <c r="G446" s="26" t="inlineStr"/>
      <c r="H446" s="26" t="inlineStr"/>
      <c r="I446" s="26" t="inlineStr">
        <is>
          <t>A contacter</t>
        </is>
      </c>
      <c r="J446" s="27" t="n"/>
      <c r="K446" s="26" t="n"/>
      <c r="L446" s="26" t="n">
        <v>1</v>
      </c>
      <c r="M446" s="26" t="n"/>
      <c r="N446" s="26" t="inlineStr"/>
      <c r="O446" s="28">
        <f>IF(OR($J446="",$K446="",$M446=""),"",($J446+IF(AND($L446&gt;=2,$J446=5000),3000,0))*$K446*$M446)</f>
        <v/>
      </c>
      <c r="P446" s="26" t="inlineStr"/>
    </row>
    <row r="447">
      <c r="A447" s="25" t="n">
        <v>1</v>
      </c>
      <c r="B447" s="25" t="inlineStr">
        <is>
          <t>UNIVERSITE POLYTECHNIQUE MODERNE MONA (UPM MONA)</t>
        </is>
      </c>
      <c r="C447" s="25" t="inlineStr">
        <is>
          <t>Abidjan - Cocody</t>
        </is>
      </c>
      <c r="D447" s="25" t="inlineStr">
        <is>
          <t>+225 27 22 41 58 28</t>
        </is>
      </c>
      <c r="E447" s="25" t="inlineStr">
        <is>
          <t>+225 07 07 87 01 30</t>
        </is>
      </c>
      <c r="F447" s="25" t="inlineStr">
        <is>
          <t>universitepolytechmona@gmail.com</t>
        </is>
      </c>
      <c r="G447" s="26" t="inlineStr"/>
      <c r="H447" s="26" t="inlineStr"/>
      <c r="I447" s="26" t="inlineStr">
        <is>
          <t>A contacter</t>
        </is>
      </c>
      <c r="J447" s="27" t="n"/>
      <c r="K447" s="26" t="n"/>
      <c r="L447" s="26" t="n">
        <v>1</v>
      </c>
      <c r="M447" s="26" t="n"/>
      <c r="N447" s="26" t="inlineStr"/>
      <c r="O447" s="28">
        <f>IF(OR($J447="",$K447="",$M447=""),"",($J447+IF(AND($L447&gt;=2,$J447=5000),3000,0))*$K447*$M447)</f>
        <v/>
      </c>
      <c r="P447" s="26" t="inlineStr"/>
    </row>
    <row r="448">
      <c r="A448" s="25" t="n">
        <v>1</v>
      </c>
      <c r="B448" s="25" t="inlineStr">
        <is>
          <t>Université Internationale des Sciences Appliquées et de Technologies - UNISAT (BTS)</t>
        </is>
      </c>
      <c r="C448" s="25" t="inlineStr">
        <is>
          <t>Abidjan - Cocody</t>
        </is>
      </c>
      <c r="D448" s="25" t="inlineStr"/>
      <c r="E448" s="25" t="inlineStr"/>
      <c r="F448" s="25" t="inlineStr">
        <is>
          <t>unisat.scitech@yahoo.fr</t>
        </is>
      </c>
      <c r="G448" s="26" t="inlineStr"/>
      <c r="H448" s="26" t="inlineStr"/>
      <c r="I448" s="26" t="inlineStr">
        <is>
          <t>A contacter</t>
        </is>
      </c>
      <c r="J448" s="27" t="n"/>
      <c r="K448" s="26" t="n"/>
      <c r="L448" s="26" t="n">
        <v>1</v>
      </c>
      <c r="M448" s="26" t="n"/>
      <c r="N448" s="26" t="inlineStr"/>
      <c r="O448" s="28">
        <f>IF(OR($J448="",$K448="",$M448=""),"",($J448+IF(AND($L448&gt;=2,$J448=5000),3000,0))*$K448*$M448)</f>
        <v/>
      </c>
      <c r="P448" s="26" t="inlineStr"/>
    </row>
    <row r="449">
      <c r="A449" s="25" t="n">
        <v>1</v>
      </c>
      <c r="B449" s="25" t="inlineStr">
        <is>
          <t>VERACES RICHTER COLLEGE (VRC)</t>
        </is>
      </c>
      <c r="C449" s="25" t="inlineStr">
        <is>
          <t>Abidjan - Cocody</t>
        </is>
      </c>
      <c r="D449" s="25" t="inlineStr">
        <is>
          <t>+225 27 21 76 59 18</t>
        </is>
      </c>
      <c r="E449" s="25" t="inlineStr">
        <is>
          <t>+225 07 57 84 59 16</t>
        </is>
      </c>
      <c r="F449" s="25" t="inlineStr"/>
      <c r="G449" s="26" t="inlineStr"/>
      <c r="H449" s="26" t="inlineStr"/>
      <c r="I449" s="26" t="inlineStr">
        <is>
          <t>A contacter</t>
        </is>
      </c>
      <c r="J449" s="27" t="n"/>
      <c r="K449" s="26" t="n"/>
      <c r="L449" s="26" t="n">
        <v>1</v>
      </c>
      <c r="M449" s="26" t="n"/>
      <c r="N449" s="26" t="inlineStr"/>
      <c r="O449" s="28">
        <f>IF(OR($J449="",$K449="",$M449=""),"",($J449+IF(AND($L449&gt;=2,$J449=5000),3000,0))*$K449*$M449)</f>
        <v/>
      </c>
      <c r="P449" s="26" t="inlineStr"/>
    </row>
    <row r="450">
      <c r="A450" s="25" t="n">
        <v>2</v>
      </c>
      <c r="B450" s="25" t="inlineStr">
        <is>
          <t>ACADEMIE INTERNATIONALE DES SCIENCES ET TECHNIQUES (AIST BOUAKE)</t>
        </is>
      </c>
      <c r="C450" s="25" t="inlineStr">
        <is>
          <t>Bouake</t>
        </is>
      </c>
      <c r="D450" s="25" t="inlineStr">
        <is>
          <t>+225 05 64 93 07 78</t>
        </is>
      </c>
      <c r="E450" s="25" t="inlineStr">
        <is>
          <t>+225 05 64 93 07 78</t>
        </is>
      </c>
      <c r="F450" s="25" t="inlineStr">
        <is>
          <t>aistbouake@yahoo.fr</t>
        </is>
      </c>
      <c r="G450" s="26" t="inlineStr"/>
      <c r="H450" s="26" t="inlineStr"/>
      <c r="I450" s="26" t="inlineStr">
        <is>
          <t>A contacter</t>
        </is>
      </c>
      <c r="J450" s="27" t="n"/>
      <c r="K450" s="26" t="n"/>
      <c r="L450" s="26" t="n">
        <v>1</v>
      </c>
      <c r="M450" s="26" t="n"/>
      <c r="N450" s="26" t="inlineStr"/>
      <c r="O450" s="28">
        <f>IF(OR($J450="",$K450="",$M450=""),"",($J450+IF(AND($L450&gt;=2,$J450=5000),3000,0))*$K450*$M450)</f>
        <v/>
      </c>
      <c r="P450" s="26" t="inlineStr"/>
    </row>
    <row r="451">
      <c r="A451" s="25" t="n">
        <v>2</v>
      </c>
      <c r="B451" s="25" t="inlineStr">
        <is>
          <t>ACADEMIE INTERNATIONALE DES SCIENCES ET TECHNIQUES TOUMODI (AIST TOUMODI)</t>
        </is>
      </c>
      <c r="C451" s="25" t="inlineStr">
        <is>
          <t>Toumodi</t>
        </is>
      </c>
      <c r="D451" s="25" t="inlineStr"/>
      <c r="E451" s="25" t="inlineStr"/>
      <c r="F451" s="25" t="inlineStr">
        <is>
          <t>aistacademie@yahoo.fr</t>
        </is>
      </c>
      <c r="G451" s="26" t="inlineStr"/>
      <c r="H451" s="26" t="inlineStr"/>
      <c r="I451" s="26" t="inlineStr">
        <is>
          <t>A contacter</t>
        </is>
      </c>
      <c r="J451" s="27" t="n"/>
      <c r="K451" s="26" t="n"/>
      <c r="L451" s="26" t="n">
        <v>1</v>
      </c>
      <c r="M451" s="26" t="n"/>
      <c r="N451" s="26" t="inlineStr"/>
      <c r="O451" s="28">
        <f>IF(OR($J451="",$K451="",$M451=""),"",($J451+IF(AND($L451&gt;=2,$J451=5000),3000,0))*$K451*$M451)</f>
        <v/>
      </c>
      <c r="P451" s="26" t="inlineStr"/>
    </row>
    <row r="452">
      <c r="A452" s="25" t="n">
        <v>2</v>
      </c>
      <c r="B452" s="25" t="inlineStr">
        <is>
          <t>Africa Digital Academy</t>
        </is>
      </c>
      <c r="C452" s="25" t="inlineStr">
        <is>
          <t>Abidjan - Cocody Danga</t>
        </is>
      </c>
      <c r="D452" s="25" t="inlineStr">
        <is>
          <t>+225 07 49 57 41 91</t>
        </is>
      </c>
      <c r="E452" s="25" t="inlineStr"/>
      <c r="F452" s="25" t="inlineStr">
        <is>
          <t>contact@africadigital.academy</t>
        </is>
      </c>
      <c r="G452" s="26" t="inlineStr"/>
      <c r="H452" s="26" t="inlineStr"/>
      <c r="I452" s="26" t="inlineStr">
        <is>
          <t>A contacter</t>
        </is>
      </c>
      <c r="J452" s="27" t="n"/>
      <c r="K452" s="26" t="n"/>
      <c r="L452" s="26" t="n">
        <v>1</v>
      </c>
      <c r="M452" s="26" t="n"/>
      <c r="N452" s="26" t="inlineStr"/>
      <c r="O452" s="28">
        <f>IF(OR($J452="",$K452="",$M452=""),"",($J452+IF(AND($L452&gt;=2,$J452=5000),3000,0))*$K452*$M452)</f>
        <v/>
      </c>
      <c r="P452" s="26" t="inlineStr"/>
    </row>
    <row r="453">
      <c r="A453" s="25" t="n">
        <v>2</v>
      </c>
      <c r="B453" s="25" t="inlineStr">
        <is>
          <t>AIB SARL - Afrique Informatique Bureautique</t>
        </is>
      </c>
      <c r="C453" s="25" t="inlineStr">
        <is>
          <t>Abidjan - Plateau</t>
        </is>
      </c>
      <c r="D453" s="25" t="inlineStr">
        <is>
          <t>+225 27 20 32 40 78</t>
        </is>
      </c>
      <c r="E453" s="25" t="inlineStr">
        <is>
          <t>+225 27 20 33 13 53</t>
        </is>
      </c>
      <c r="F453" s="25" t="inlineStr"/>
      <c r="G453" s="26" t="inlineStr"/>
      <c r="H453" s="26" t="inlineStr"/>
      <c r="I453" s="26" t="inlineStr">
        <is>
          <t>A contacter</t>
        </is>
      </c>
      <c r="J453" s="27" t="n"/>
      <c r="K453" s="26" t="n"/>
      <c r="L453" s="26" t="n">
        <v>1</v>
      </c>
      <c r="M453" s="26" t="n"/>
      <c r="N453" s="26" t="inlineStr"/>
      <c r="O453" s="28">
        <f>IF(OR($J453="",$K453="",$M453=""),"",($J453+IF(AND($L453&gt;=2,$J453=5000),3000,0))*$K453*$M453)</f>
        <v/>
      </c>
      <c r="P453" s="26" t="inlineStr"/>
    </row>
    <row r="454">
      <c r="A454" s="25" t="n">
        <v>2</v>
      </c>
      <c r="B454" s="25" t="inlineStr">
        <is>
          <t>AIST Treichville - Academie Internationale des Sciences et Techniques</t>
        </is>
      </c>
      <c r="C454" s="25" t="inlineStr">
        <is>
          <t>Abidjan - Treichville</t>
        </is>
      </c>
      <c r="D454" s="25" t="inlineStr">
        <is>
          <t>+225 01 02 10 68 29</t>
        </is>
      </c>
      <c r="E454" s="25" t="inlineStr">
        <is>
          <t>+225 27 21 24 12 18</t>
        </is>
      </c>
      <c r="F454" s="25" t="inlineStr"/>
      <c r="G454" s="26" t="inlineStr"/>
      <c r="H454" s="26" t="inlineStr"/>
      <c r="I454" s="26" t="inlineStr">
        <is>
          <t>A contacter</t>
        </is>
      </c>
      <c r="J454" s="27" t="n"/>
      <c r="K454" s="26" t="n"/>
      <c r="L454" s="26" t="n">
        <v>1</v>
      </c>
      <c r="M454" s="26" t="n"/>
      <c r="N454" s="26" t="inlineStr"/>
      <c r="O454" s="28">
        <f>IF(OR($J454="",$K454="",$M454=""),"",($J454+IF(AND($L454&gt;=2,$J454=5000),3000,0))*$K454*$M454)</f>
        <v/>
      </c>
      <c r="P454" s="26" t="inlineStr"/>
    </row>
    <row r="455">
      <c r="A455" s="25" t="n">
        <v>2</v>
      </c>
      <c r="B455" s="25" t="inlineStr">
        <is>
          <t>CENTRE DE FORMATION DES CADRES (CFC)</t>
        </is>
      </c>
      <c r="C455" s="25" t="inlineStr">
        <is>
          <t>Daloa</t>
        </is>
      </c>
      <c r="D455" s="25" t="inlineStr">
        <is>
          <t>+225 27 32 76 71 77</t>
        </is>
      </c>
      <c r="E455" s="25" t="inlineStr"/>
      <c r="F455" s="25" t="inlineStr">
        <is>
          <t>collegepierremendesdaloa@gmail.c</t>
        </is>
      </c>
      <c r="G455" s="26" t="inlineStr"/>
      <c r="H455" s="26" t="inlineStr"/>
      <c r="I455" s="26" t="inlineStr">
        <is>
          <t>A contacter</t>
        </is>
      </c>
      <c r="J455" s="27" t="n"/>
      <c r="K455" s="26" t="n"/>
      <c r="L455" s="26" t="n">
        <v>1</v>
      </c>
      <c r="M455" s="26" t="n"/>
      <c r="N455" s="26" t="inlineStr"/>
      <c r="O455" s="28">
        <f>IF(OR($J455="",$K455="",$M455=""),"",($J455+IF(AND($L455&gt;=2,$J455=5000),3000,0))*$K455*$M455)</f>
        <v/>
      </c>
      <c r="P455" s="26" t="inlineStr"/>
    </row>
    <row r="456">
      <c r="A456" s="25" t="n">
        <v>2</v>
      </c>
      <c r="B456" s="25" t="inlineStr">
        <is>
          <t>CENTRE POLYTECHNIQUE DU CENTRE YAMOUSSOUKRO (CPC)</t>
        </is>
      </c>
      <c r="C456" s="25" t="inlineStr">
        <is>
          <t>Yamoussoukro</t>
        </is>
      </c>
      <c r="D456" s="25" t="inlineStr">
        <is>
          <t>+225 27 30 64 22 62</t>
        </is>
      </c>
      <c r="E456" s="25" t="inlineStr"/>
      <c r="F456" s="25" t="inlineStr">
        <is>
          <t>cpcyamoussoukro@yahoo.fr</t>
        </is>
      </c>
      <c r="G456" s="26" t="inlineStr"/>
      <c r="H456" s="26" t="inlineStr"/>
      <c r="I456" s="26" t="inlineStr">
        <is>
          <t>A contacter</t>
        </is>
      </c>
      <c r="J456" s="27" t="n"/>
      <c r="K456" s="26" t="n"/>
      <c r="L456" s="26" t="n">
        <v>1</v>
      </c>
      <c r="M456" s="26" t="n"/>
      <c r="N456" s="26" t="inlineStr"/>
      <c r="O456" s="28">
        <f>IF(OR($J456="",$K456="",$M456=""),"",($J456+IF(AND($L456&gt;=2,$J456=5000),3000,0))*$K456*$M456)</f>
        <v/>
      </c>
      <c r="P456" s="26" t="inlineStr"/>
    </row>
    <row r="457">
      <c r="A457" s="25" t="n">
        <v>2</v>
      </c>
      <c r="B457" s="25" t="inlineStr">
        <is>
          <t>CESA Koumassi - Centre d Etudes Superieures des Affaires d Abidjan</t>
        </is>
      </c>
      <c r="C457" s="25" t="inlineStr">
        <is>
          <t>Abidjan - Koumassi</t>
        </is>
      </c>
      <c r="D457" s="25" t="inlineStr">
        <is>
          <t>+225 27 21 56 31 74</t>
        </is>
      </c>
      <c r="E457" s="25" t="inlineStr">
        <is>
          <t>+225 07 57 82 11 81</t>
        </is>
      </c>
      <c r="F457" s="25" t="inlineStr"/>
      <c r="G457" s="26" t="inlineStr"/>
      <c r="H457" s="26" t="inlineStr"/>
      <c r="I457" s="26" t="inlineStr">
        <is>
          <t>A contacter</t>
        </is>
      </c>
      <c r="J457" s="27" t="n"/>
      <c r="K457" s="26" t="n"/>
      <c r="L457" s="26" t="n">
        <v>1</v>
      </c>
      <c r="M457" s="26" t="n"/>
      <c r="N457" s="26" t="inlineStr"/>
      <c r="O457" s="28">
        <f>IF(OR($J457="",$K457="",$M457=""),"",($J457+IF(AND($L457&gt;=2,$J457=5000),3000,0))*$K457*$M457)</f>
        <v/>
      </c>
      <c r="P457" s="26" t="inlineStr"/>
    </row>
    <row r="458">
      <c r="A458" s="25" t="n">
        <v>2</v>
      </c>
      <c r="B458" s="25" t="inlineStr">
        <is>
          <t>CESA Plateau - Centre d Etudes Superieures des Affaires d Abidjan</t>
        </is>
      </c>
      <c r="C458" s="25" t="inlineStr">
        <is>
          <t>Abidjan - Plateau</t>
        </is>
      </c>
      <c r="D458" s="25" t="inlineStr">
        <is>
          <t>+225 27 20 21 97 56</t>
        </is>
      </c>
      <c r="E458" s="25" t="inlineStr">
        <is>
          <t>+225 27 21 56 31 74</t>
        </is>
      </c>
      <c r="F458" s="25" t="inlineStr">
        <is>
          <t>cofecesa@cofecesa.net</t>
        </is>
      </c>
      <c r="G458" s="26" t="inlineStr"/>
      <c r="H458" s="26" t="inlineStr"/>
      <c r="I458" s="26" t="inlineStr">
        <is>
          <t>A contacter</t>
        </is>
      </c>
      <c r="J458" s="27" t="n"/>
      <c r="K458" s="26" t="n"/>
      <c r="L458" s="26" t="n">
        <v>1</v>
      </c>
      <c r="M458" s="26" t="n"/>
      <c r="N458" s="26" t="inlineStr"/>
      <c r="O458" s="28">
        <f>IF(OR($J458="",$K458="",$M458=""),"",($J458+IF(AND($L458&gt;=2,$J458=5000),3000,0))*$K458*$M458)</f>
        <v/>
      </c>
      <c r="P458" s="26" t="inlineStr"/>
    </row>
    <row r="459">
      <c r="A459" s="25" t="n">
        <v>2</v>
      </c>
      <c r="B459" s="25" t="inlineStr">
        <is>
          <t>CHANTIERS ECOLE DES METIERS DU BATIMENT ET DES TRAVAUX PUBLICS (CEM-BTP)</t>
        </is>
      </c>
      <c r="C459" s="25" t="inlineStr">
        <is>
          <t>Bonoua</t>
        </is>
      </c>
      <c r="D459" s="25" t="inlineStr">
        <is>
          <t>+225 07 07 54 77 48</t>
        </is>
      </c>
      <c r="E459" s="25" t="inlineStr">
        <is>
          <t>+225 07 07 54 77 48</t>
        </is>
      </c>
      <c r="F459" s="25" t="inlineStr">
        <is>
          <t>cembtpbonoua@gmail.com</t>
        </is>
      </c>
      <c r="G459" s="26" t="inlineStr"/>
      <c r="H459" s="26" t="inlineStr"/>
      <c r="I459" s="26" t="inlineStr">
        <is>
          <t>A contacter</t>
        </is>
      </c>
      <c r="J459" s="27" t="n"/>
      <c r="K459" s="26" t="n"/>
      <c r="L459" s="26" t="n">
        <v>1</v>
      </c>
      <c r="M459" s="26" t="n"/>
      <c r="N459" s="26" t="inlineStr"/>
      <c r="O459" s="28">
        <f>IF(OR($J459="",$K459="",$M459=""),"",($J459+IF(AND($L459&gt;=2,$J459=5000),3000,0))*$K459*$M459)</f>
        <v/>
      </c>
      <c r="P459" s="26" t="inlineStr"/>
    </row>
    <row r="460">
      <c r="A460" s="25" t="n">
        <v>2</v>
      </c>
      <c r="B460" s="25" t="inlineStr">
        <is>
          <t>College Heleis Yamoussoukro</t>
        </is>
      </c>
      <c r="C460" s="25" t="inlineStr">
        <is>
          <t>Yamoussoukro</t>
        </is>
      </c>
      <c r="D460" s="25" t="inlineStr">
        <is>
          <t>+225 27 30 64 77 33</t>
        </is>
      </c>
      <c r="E460" s="25" t="inlineStr"/>
      <c r="F460" s="25" t="inlineStr">
        <is>
          <t>collegeheleis@hotmail.fr</t>
        </is>
      </c>
      <c r="G460" s="26" t="inlineStr"/>
      <c r="H460" s="26" t="inlineStr"/>
      <c r="I460" s="26" t="inlineStr">
        <is>
          <t>A contacter</t>
        </is>
      </c>
      <c r="J460" s="27" t="n"/>
      <c r="K460" s="26" t="n"/>
      <c r="L460" s="26" t="n">
        <v>1</v>
      </c>
      <c r="M460" s="26" t="n"/>
      <c r="N460" s="26" t="inlineStr"/>
      <c r="O460" s="28">
        <f>IF(OR($J460="",$K460="",$M460=""),"",($J460+IF(AND($L460&gt;=2,$J460=5000),3000,0))*$K460*$M460)</f>
        <v/>
      </c>
      <c r="P460" s="26" t="inlineStr"/>
    </row>
    <row r="461">
      <c r="A461" s="25" t="n">
        <v>2</v>
      </c>
      <c r="B461" s="25" t="inlineStr">
        <is>
          <t>ECOFORP-A INTERNATIONALE</t>
        </is>
      </c>
      <c r="C461" s="25" t="inlineStr">
        <is>
          <t>Abengourou</t>
        </is>
      </c>
      <c r="D461" s="25" t="inlineStr">
        <is>
          <t>+225 07 09 22 47 24</t>
        </is>
      </c>
      <c r="E461" s="25" t="inlineStr">
        <is>
          <t>+225 07 09 22 47 24</t>
        </is>
      </c>
      <c r="F461" s="25" t="inlineStr">
        <is>
          <t>ecoforp@gmail.com</t>
        </is>
      </c>
      <c r="G461" s="26" t="inlineStr"/>
      <c r="H461" s="26" t="inlineStr"/>
      <c r="I461" s="26" t="inlineStr">
        <is>
          <t>A contacter</t>
        </is>
      </c>
      <c r="J461" s="27" t="n"/>
      <c r="K461" s="26" t="n"/>
      <c r="L461" s="26" t="n">
        <v>1</v>
      </c>
      <c r="M461" s="26" t="n"/>
      <c r="N461" s="26" t="inlineStr"/>
      <c r="O461" s="28">
        <f>IF(OR($J461="",$K461="",$M461=""),"",($J461+IF(AND($L461&gt;=2,$J461=5000),3000,0))*$K461*$M461)</f>
        <v/>
      </c>
      <c r="P461" s="26" t="inlineStr"/>
    </row>
    <row r="462">
      <c r="A462" s="25" t="n">
        <v>2</v>
      </c>
      <c r="B462" s="25" t="inlineStr">
        <is>
          <t>ECOLE D'ENSEIGNEMENT SUPERIEUR SAINT JEAN MAMEN (ESP-SJM)</t>
        </is>
      </c>
      <c r="C462" s="25" t="inlineStr">
        <is>
          <t>Dabou</t>
        </is>
      </c>
      <c r="D462" s="25" t="inlineStr">
        <is>
          <t>+225 27 24 38 33 01</t>
        </is>
      </c>
      <c r="E462" s="25" t="inlineStr">
        <is>
          <t>+225 07 09 75 05 11</t>
        </is>
      </c>
      <c r="F462" s="25" t="inlineStr">
        <is>
          <t>ees_stjeanmamen@yahoo.com</t>
        </is>
      </c>
      <c r="G462" s="26" t="inlineStr"/>
      <c r="H462" s="26" t="inlineStr"/>
      <c r="I462" s="26" t="inlineStr">
        <is>
          <t>A contacter</t>
        </is>
      </c>
      <c r="J462" s="27" t="n"/>
      <c r="K462" s="26" t="n"/>
      <c r="L462" s="26" t="n">
        <v>1</v>
      </c>
      <c r="M462" s="26" t="n"/>
      <c r="N462" s="26" t="inlineStr"/>
      <c r="O462" s="28">
        <f>IF(OR($J462="",$K462="",$M462=""),"",($J462+IF(AND($L462&gt;=2,$J462=5000),3000,0))*$K462*$M462)</f>
        <v/>
      </c>
      <c r="P462" s="26" t="inlineStr"/>
    </row>
    <row r="463">
      <c r="A463" s="25" t="n">
        <v>2</v>
      </c>
      <c r="B463" s="25" t="inlineStr">
        <is>
          <t>ECOLE DE L'ENTREPRENEURIAT ET DE TECHNOLOGIES (2ET)</t>
        </is>
      </c>
      <c r="C463" s="25" t="inlineStr">
        <is>
          <t>Seguela</t>
        </is>
      </c>
      <c r="D463" s="25" t="inlineStr">
        <is>
          <t>+225 07 08 89 24 11</t>
        </is>
      </c>
      <c r="E463" s="25" t="inlineStr">
        <is>
          <t>+225 07 08 89 24 11</t>
        </is>
      </c>
      <c r="F463" s="25" t="inlineStr">
        <is>
          <t>info@2et.edu.ci</t>
        </is>
      </c>
      <c r="G463" s="26" t="inlineStr"/>
      <c r="H463" s="26" t="inlineStr"/>
      <c r="I463" s="26" t="inlineStr">
        <is>
          <t>A contacter</t>
        </is>
      </c>
      <c r="J463" s="27" t="n"/>
      <c r="K463" s="26" t="n"/>
      <c r="L463" s="26" t="n">
        <v>1</v>
      </c>
      <c r="M463" s="26" t="n"/>
      <c r="N463" s="26" t="inlineStr"/>
      <c r="O463" s="28">
        <f>IF(OR($J463="",$K463="",$M463=""),"",($J463+IF(AND($L463&gt;=2,$J463=5000),3000,0))*$K463*$M463)</f>
        <v/>
      </c>
      <c r="P463" s="26" t="inlineStr"/>
    </row>
    <row r="464">
      <c r="A464" s="25" t="n">
        <v>2</v>
      </c>
      <c r="B464" s="25" t="inlineStr">
        <is>
          <t>ECOLE DES SPÉCIALITÉS MULTIMÉDIA D'ABIDJAN ODIENNE (ESMA ODIENNÉ)</t>
        </is>
      </c>
      <c r="C464" s="25" t="inlineStr">
        <is>
          <t>Odienne</t>
        </is>
      </c>
      <c r="D464" s="25" t="inlineStr">
        <is>
          <t>+225 07 08 59 61 47</t>
        </is>
      </c>
      <c r="E464" s="25" t="inlineStr">
        <is>
          <t>+225 07 08 59 61 47</t>
        </is>
      </c>
      <c r="F464" s="25" t="inlineStr">
        <is>
          <t>ousmane.coulibaly@esma-edu.com</t>
        </is>
      </c>
      <c r="G464" s="26" t="inlineStr"/>
      <c r="H464" s="26" t="inlineStr"/>
      <c r="I464" s="26" t="inlineStr">
        <is>
          <t>A contacter</t>
        </is>
      </c>
      <c r="J464" s="27" t="n"/>
      <c r="K464" s="26" t="n"/>
      <c r="L464" s="26" t="n">
        <v>1</v>
      </c>
      <c r="M464" s="26" t="n"/>
      <c r="N464" s="26" t="inlineStr"/>
      <c r="O464" s="28">
        <f>IF(OR($J464="",$K464="",$M464=""),"",($J464+IF(AND($L464&gt;=2,$J464=5000),3000,0))*$K464*$M464)</f>
        <v/>
      </c>
      <c r="P464" s="26" t="inlineStr"/>
    </row>
    <row r="465">
      <c r="A465" s="25" t="n">
        <v>2</v>
      </c>
      <c r="B465" s="25" t="inlineStr">
        <is>
          <t>ECOLE HOTELIERE DE GRAND-BASSAM (EHB)</t>
        </is>
      </c>
      <c r="C465" s="25" t="inlineStr">
        <is>
          <t>Bassam</t>
        </is>
      </c>
      <c r="D465" s="25" t="inlineStr">
        <is>
          <t>+225 27 21 30 33 10</t>
        </is>
      </c>
      <c r="E465" s="25" t="inlineStr"/>
      <c r="F465" s="25" t="inlineStr">
        <is>
          <t>infos@ehb.ci</t>
        </is>
      </c>
      <c r="G465" s="26" t="inlineStr"/>
      <c r="H465" s="26" t="inlineStr"/>
      <c r="I465" s="26" t="inlineStr">
        <is>
          <t>A contacter</t>
        </is>
      </c>
      <c r="J465" s="27" t="n"/>
      <c r="K465" s="26" t="n"/>
      <c r="L465" s="26" t="n">
        <v>1</v>
      </c>
      <c r="M465" s="26" t="n"/>
      <c r="N465" s="26" t="inlineStr"/>
      <c r="O465" s="28">
        <f>IF(OR($J465="",$K465="",$M465=""),"",($J465+IF(AND($L465&gt;=2,$J465=5000),3000,0))*$K465*$M465)</f>
        <v/>
      </c>
      <c r="P465" s="26" t="inlineStr"/>
    </row>
    <row r="466">
      <c r="A466" s="25" t="n">
        <v>2</v>
      </c>
      <c r="B466" s="25" t="inlineStr">
        <is>
          <t>Ecole Hoteliere de Grand-Bassam EHB</t>
        </is>
      </c>
      <c r="C466" s="25" t="inlineStr">
        <is>
          <t>Grand-Bassam</t>
        </is>
      </c>
      <c r="D466" s="25" t="inlineStr">
        <is>
          <t>+225 07 77 24 39 70</t>
        </is>
      </c>
      <c r="E466" s="25" t="inlineStr">
        <is>
          <t>+225 27 21 00 09 69</t>
        </is>
      </c>
      <c r="F466" s="25" t="inlineStr"/>
      <c r="G466" s="26" t="inlineStr"/>
      <c r="H466" s="26" t="inlineStr"/>
      <c r="I466" s="26" t="inlineStr">
        <is>
          <t>A contacter</t>
        </is>
      </c>
      <c r="J466" s="27" t="n"/>
      <c r="K466" s="26" t="n"/>
      <c r="L466" s="26" t="n">
        <v>1</v>
      </c>
      <c r="M466" s="26" t="n"/>
      <c r="N466" s="26" t="inlineStr"/>
      <c r="O466" s="28">
        <f>IF(OR($J466="",$K466="",$M466=""),"",($J466+IF(AND($L466&gt;=2,$J466=5000),3000,0))*$K466*$M466)</f>
        <v/>
      </c>
      <c r="P466" s="26" t="inlineStr"/>
    </row>
    <row r="467">
      <c r="A467" s="25" t="n">
        <v>2</v>
      </c>
      <c r="B467" s="25" t="inlineStr">
        <is>
          <t>ECOLE INTERNATIONALE DES AFFAIRES DES FINANCES ET DE LA COMPTABILITE (EIAFC)</t>
        </is>
      </c>
      <c r="C467" s="25" t="inlineStr">
        <is>
          <t>Daloa</t>
        </is>
      </c>
      <c r="D467" s="25" t="inlineStr">
        <is>
          <t>+225 07 48 01 70 01</t>
        </is>
      </c>
      <c r="E467" s="25" t="inlineStr">
        <is>
          <t>+225 07 48 01 70 01</t>
        </is>
      </c>
      <c r="F467" s="25" t="inlineStr">
        <is>
          <t>eifac.ecoleinternationale@gmail.com</t>
        </is>
      </c>
      <c r="G467" s="26" t="inlineStr"/>
      <c r="H467" s="26" t="inlineStr"/>
      <c r="I467" s="26" t="inlineStr">
        <is>
          <t>A contacter</t>
        </is>
      </c>
      <c r="J467" s="27" t="n"/>
      <c r="K467" s="26" t="n"/>
      <c r="L467" s="26" t="n">
        <v>1</v>
      </c>
      <c r="M467" s="26" t="n"/>
      <c r="N467" s="26" t="inlineStr"/>
      <c r="O467" s="28">
        <f>IF(OR($J467="",$K467="",$M467=""),"",($J467+IF(AND($L467&gt;=2,$J467=5000),3000,0))*$K467*$M467)</f>
        <v/>
      </c>
      <c r="P467" s="26" t="inlineStr"/>
    </row>
    <row r="468">
      <c r="A468" s="25" t="n">
        <v>2</v>
      </c>
      <c r="B468" s="25" t="inlineStr">
        <is>
          <t>ECOLE INTERNATIONALE TERTIAIRE DES NOUVELLES TECHNOLOGIES DE L'INFORMATION ET DE LA COMMUNICATION BOUAKE (EIT-NTIC BOUAKE)</t>
        </is>
      </c>
      <c r="C468" s="25" t="inlineStr">
        <is>
          <t>Bouake</t>
        </is>
      </c>
      <c r="D468" s="25" t="inlineStr">
        <is>
          <t>+225 27 31 63 03 36</t>
        </is>
      </c>
      <c r="E468" s="25" t="inlineStr"/>
      <c r="F468" s="25" t="inlineStr">
        <is>
          <t>eitnticbouake@gmail.com</t>
        </is>
      </c>
      <c r="G468" s="26" t="inlineStr"/>
      <c r="H468" s="26" t="inlineStr"/>
      <c r="I468" s="26" t="inlineStr">
        <is>
          <t>A contacter</t>
        </is>
      </c>
      <c r="J468" s="27" t="n"/>
      <c r="K468" s="26" t="n"/>
      <c r="L468" s="26" t="n">
        <v>1</v>
      </c>
      <c r="M468" s="26" t="n"/>
      <c r="N468" s="26" t="inlineStr"/>
      <c r="O468" s="28">
        <f>IF(OR($J468="",$K468="",$M468=""),"",($J468+IF(AND($L468&gt;=2,$J468=5000),3000,0))*$K468*$M468)</f>
        <v/>
      </c>
      <c r="P468" s="26" t="inlineStr"/>
    </row>
    <row r="469">
      <c r="A469" s="25" t="n">
        <v>2</v>
      </c>
      <c r="B469" s="25" t="inlineStr">
        <is>
          <t>ECOLE POLYTECHNIQUE BOUAFLE (EPA)</t>
        </is>
      </c>
      <c r="C469" s="25" t="inlineStr">
        <is>
          <t>Bouafle</t>
        </is>
      </c>
      <c r="D469" s="25" t="inlineStr"/>
      <c r="E469" s="25" t="inlineStr"/>
      <c r="F469" s="25" t="inlineStr"/>
      <c r="G469" s="26" t="inlineStr"/>
      <c r="H469" s="26" t="inlineStr"/>
      <c r="I469" s="26" t="inlineStr">
        <is>
          <t>A contacter</t>
        </is>
      </c>
      <c r="J469" s="27" t="n"/>
      <c r="K469" s="26" t="n"/>
      <c r="L469" s="26" t="n">
        <v>1</v>
      </c>
      <c r="M469" s="26" t="n"/>
      <c r="N469" s="26" t="inlineStr"/>
      <c r="O469" s="28">
        <f>IF(OR($J469="",$K469="",$M469=""),"",($J469+IF(AND($L469&gt;=2,$J469=5000),3000,0))*$K469*$M469)</f>
        <v/>
      </c>
      <c r="P469" s="26" t="inlineStr"/>
    </row>
    <row r="470">
      <c r="A470" s="25" t="n">
        <v>2</v>
      </c>
      <c r="B470" s="25" t="inlineStr">
        <is>
          <t>ECOLE POLYTECHNIQUE INTERNATIONALE DE YAMOUSSOUKRO (EPI-YAKRO)</t>
        </is>
      </c>
      <c r="C470" s="25" t="inlineStr">
        <is>
          <t>Yamoussoukro</t>
        </is>
      </c>
      <c r="D470" s="25" t="inlineStr">
        <is>
          <t>+225 07 07 10 07 81</t>
        </is>
      </c>
      <c r="E470" s="25" t="inlineStr">
        <is>
          <t>+225 07 07 10 07 81</t>
        </is>
      </c>
      <c r="F470" s="25" t="inlineStr"/>
      <c r="G470" s="26" t="inlineStr"/>
      <c r="H470" s="26" t="inlineStr"/>
      <c r="I470" s="26" t="inlineStr">
        <is>
          <t>A contacter</t>
        </is>
      </c>
      <c r="J470" s="27" t="n"/>
      <c r="K470" s="26" t="n"/>
      <c r="L470" s="26" t="n">
        <v>1</v>
      </c>
      <c r="M470" s="26" t="n"/>
      <c r="N470" s="26" t="inlineStr"/>
      <c r="O470" s="28">
        <f>IF(OR($J470="",$K470="",$M470=""),"",($J470+IF(AND($L470&gt;=2,$J470=5000),3000,0))*$K470*$M470)</f>
        <v/>
      </c>
      <c r="P470" s="26" t="inlineStr"/>
    </row>
    <row r="471">
      <c r="A471" s="25" t="n">
        <v>2</v>
      </c>
      <c r="B471" s="25" t="inlineStr">
        <is>
          <t>ECOLE POLYTECHNIQUE LEONARD DE VINCI (EPLDV)</t>
        </is>
      </c>
      <c r="C471" s="25" t="inlineStr">
        <is>
          <t>Daloa</t>
        </is>
      </c>
      <c r="D471" s="25" t="inlineStr">
        <is>
          <t>+225 07 49 81 89 07</t>
        </is>
      </c>
      <c r="E471" s="25" t="inlineStr">
        <is>
          <t>+225 07 49 81 89 07</t>
        </is>
      </c>
      <c r="F471" s="25" t="inlineStr">
        <is>
          <t>epldvd.ci@gmail.com</t>
        </is>
      </c>
      <c r="G471" s="26" t="inlineStr"/>
      <c r="H471" s="26" t="inlineStr"/>
      <c r="I471" s="26" t="inlineStr">
        <is>
          <t>A contacter</t>
        </is>
      </c>
      <c r="J471" s="27" t="n"/>
      <c r="K471" s="26" t="n"/>
      <c r="L471" s="26" t="n">
        <v>1</v>
      </c>
      <c r="M471" s="26" t="n"/>
      <c r="N471" s="26" t="inlineStr"/>
      <c r="O471" s="28">
        <f>IF(OR($J471="",$K471="",$M471=""),"",($J471+IF(AND($L471&gt;=2,$J471=5000),3000,0))*$K471*$M471)</f>
        <v/>
      </c>
      <c r="P471" s="26" t="inlineStr"/>
    </row>
    <row r="472">
      <c r="A472" s="25" t="n">
        <v>2</v>
      </c>
      <c r="B472" s="25" t="inlineStr">
        <is>
          <t>ECOLE POLYTECHNIQUE LES OSCARS</t>
        </is>
      </c>
      <c r="C472" s="25" t="inlineStr">
        <is>
          <t>Bouake</t>
        </is>
      </c>
      <c r="D472" s="25" t="inlineStr">
        <is>
          <t>+225 07 07 93 95 81</t>
        </is>
      </c>
      <c r="E472" s="25" t="inlineStr">
        <is>
          <t>+225 07 07 93 95 81</t>
        </is>
      </c>
      <c r="F472" s="25" t="inlineStr">
        <is>
          <t>ecolepolytechniqueoscars85@gmail.com</t>
        </is>
      </c>
      <c r="G472" s="26" t="inlineStr"/>
      <c r="H472" s="26" t="inlineStr"/>
      <c r="I472" s="26" t="inlineStr">
        <is>
          <t>A contacter</t>
        </is>
      </c>
      <c r="J472" s="27" t="n"/>
      <c r="K472" s="26" t="n"/>
      <c r="L472" s="26" t="n">
        <v>1</v>
      </c>
      <c r="M472" s="26" t="n"/>
      <c r="N472" s="26" t="inlineStr"/>
      <c r="O472" s="28">
        <f>IF(OR($J472="",$K472="",$M472=""),"",($J472+IF(AND($L472&gt;=2,$J472=5000),3000,0))*$K472*$M472)</f>
        <v/>
      </c>
      <c r="P472" s="26" t="inlineStr"/>
    </row>
    <row r="473">
      <c r="A473" s="25" t="n">
        <v>2</v>
      </c>
      <c r="B473" s="25" t="inlineStr">
        <is>
          <t>ECOLE REGIONALE DE L'ECONOMIE, DU COMMERCE ET DE L'AGRICULTURE (ERECA)</t>
        </is>
      </c>
      <c r="C473" s="25" t="inlineStr">
        <is>
          <t>Toumodi</t>
        </is>
      </c>
      <c r="D473" s="25" t="inlineStr">
        <is>
          <t>+225 07 07 07 59 59</t>
        </is>
      </c>
      <c r="E473" s="25" t="inlineStr">
        <is>
          <t>+225 07 07 07 59 59</t>
        </is>
      </c>
      <c r="F473" s="25" t="inlineStr"/>
      <c r="G473" s="26" t="inlineStr"/>
      <c r="H473" s="26" t="inlineStr"/>
      <c r="I473" s="26" t="inlineStr">
        <is>
          <t>A contacter</t>
        </is>
      </c>
      <c r="J473" s="27" t="n"/>
      <c r="K473" s="26" t="n"/>
      <c r="L473" s="26" t="n">
        <v>1</v>
      </c>
      <c r="M473" s="26" t="n"/>
      <c r="N473" s="26" t="inlineStr"/>
      <c r="O473" s="28">
        <f>IF(OR($J473="",$K473="",$M473=""),"",($J473+IF(AND($L473&gt;=2,$J473=5000),3000,0))*$K473*$M473)</f>
        <v/>
      </c>
      <c r="P473" s="26" t="inlineStr"/>
    </row>
    <row r="474">
      <c r="A474" s="25" t="n">
        <v>2</v>
      </c>
      <c r="B474" s="25" t="inlineStr">
        <is>
          <t>ECOLE SPECIALE DU BATIMENT ET DES TRAVAUX PUBLICS YAMOUSSOUKRO (ESBTP YAMOUSSOUKRO)</t>
        </is>
      </c>
      <c r="C474" s="25" t="inlineStr">
        <is>
          <t>Yamoussoukro</t>
        </is>
      </c>
      <c r="D474" s="25" t="inlineStr">
        <is>
          <t>+225 27 30 64 39 93</t>
        </is>
      </c>
      <c r="E474" s="25" t="inlineStr"/>
      <c r="F474" s="25" t="inlineStr">
        <is>
          <t>esbtpre@gmail.com</t>
        </is>
      </c>
      <c r="G474" s="26" t="inlineStr"/>
      <c r="H474" s="26" t="inlineStr"/>
      <c r="I474" s="26" t="inlineStr">
        <is>
          <t>A contacter</t>
        </is>
      </c>
      <c r="J474" s="27" t="n"/>
      <c r="K474" s="26" t="n"/>
      <c r="L474" s="26" t="n">
        <v>1</v>
      </c>
      <c r="M474" s="26" t="n"/>
      <c r="N474" s="26" t="inlineStr"/>
      <c r="O474" s="28">
        <f>IF(OR($J474="",$K474="",$M474=""),"",($J474+IF(AND($L474&gt;=2,$J474=5000),3000,0))*$K474*$M474)</f>
        <v/>
      </c>
      <c r="P474" s="26" t="inlineStr"/>
    </row>
    <row r="475">
      <c r="A475" s="25" t="n">
        <v>2</v>
      </c>
      <c r="B475" s="25" t="inlineStr">
        <is>
          <t>ECOLE SPECIALE DU BÂTIMENT ET DES TRAVAUX PUBLICS BOUAKE (ESBTP BOUAKE)</t>
        </is>
      </c>
      <c r="C475" s="25" t="inlineStr">
        <is>
          <t>Bouake</t>
        </is>
      </c>
      <c r="D475" s="25" t="inlineStr">
        <is>
          <t>+225 07 58 29 07 62</t>
        </is>
      </c>
      <c r="E475" s="25" t="inlineStr">
        <is>
          <t>+225 07 58 29 07 62</t>
        </is>
      </c>
      <c r="F475" s="25" t="inlineStr">
        <is>
          <t>esbtpbouake@esbtp-ci.net</t>
        </is>
      </c>
      <c r="G475" s="26" t="inlineStr"/>
      <c r="H475" s="26" t="inlineStr"/>
      <c r="I475" s="26" t="inlineStr">
        <is>
          <t>A contacter</t>
        </is>
      </c>
      <c r="J475" s="27" t="n"/>
      <c r="K475" s="26" t="n"/>
      <c r="L475" s="26" t="n">
        <v>1</v>
      </c>
      <c r="M475" s="26" t="n"/>
      <c r="N475" s="26" t="inlineStr"/>
      <c r="O475" s="28">
        <f>IF(OR($J475="",$K475="",$M475=""),"",($J475+IF(AND($L475&gt;=2,$J475=5000),3000,0))*$K475*$M475)</f>
        <v/>
      </c>
      <c r="P475" s="26" t="inlineStr"/>
    </row>
    <row r="476">
      <c r="A476" s="25" t="n">
        <v>2</v>
      </c>
      <c r="B476" s="25" t="inlineStr">
        <is>
          <t>ECOLE SUPERIEURE CENTRALE D'EBURNIE DALOA (ESCE DALOA)</t>
        </is>
      </c>
      <c r="C476" s="25" t="inlineStr">
        <is>
          <t>Daloa</t>
        </is>
      </c>
      <c r="D476" s="25" t="inlineStr">
        <is>
          <t>+225 05 86 40 90 90</t>
        </is>
      </c>
      <c r="E476" s="25" t="inlineStr">
        <is>
          <t>+225 05 86 40 90 90</t>
        </is>
      </c>
      <c r="F476" s="25" t="inlineStr">
        <is>
          <t>ecolesuperieurecentraleeburnie@gmail.com</t>
        </is>
      </c>
      <c r="G476" s="26" t="inlineStr"/>
      <c r="H476" s="26" t="inlineStr"/>
      <c r="I476" s="26" t="inlineStr">
        <is>
          <t>A contacter</t>
        </is>
      </c>
      <c r="J476" s="27" t="n"/>
      <c r="K476" s="26" t="n"/>
      <c r="L476" s="26" t="n">
        <v>1</v>
      </c>
      <c r="M476" s="26" t="n"/>
      <c r="N476" s="26" t="inlineStr"/>
      <c r="O476" s="28">
        <f>IF(OR($J476="",$K476="",$M476=""),"",($J476+IF(AND($L476&gt;=2,$J476=5000),3000,0))*$K476*$M476)</f>
        <v/>
      </c>
      <c r="P476" s="26" t="inlineStr"/>
    </row>
    <row r="477">
      <c r="A477" s="25" t="n">
        <v>2</v>
      </c>
      <c r="B477" s="25" t="inlineStr">
        <is>
          <t>ECOLE SUPERIEURE D'INFORMATIQUE ET DE COMMERCE KORHOGO (ESICOM KORHOGO)</t>
        </is>
      </c>
      <c r="C477" s="25" t="inlineStr">
        <is>
          <t>Korhogo</t>
        </is>
      </c>
      <c r="D477" s="25" t="inlineStr">
        <is>
          <t>+225 27 36 85 04 54</t>
        </is>
      </c>
      <c r="E477" s="25" t="inlineStr"/>
      <c r="F477" s="25" t="inlineStr">
        <is>
          <t>esicomkorhogo@gmail.com</t>
        </is>
      </c>
      <c r="G477" s="26" t="inlineStr"/>
      <c r="H477" s="26" t="inlineStr"/>
      <c r="I477" s="26" t="inlineStr">
        <is>
          <t>A contacter</t>
        </is>
      </c>
      <c r="J477" s="27" t="n"/>
      <c r="K477" s="26" t="n"/>
      <c r="L477" s="26" t="n">
        <v>1</v>
      </c>
      <c r="M477" s="26" t="n"/>
      <c r="N477" s="26" t="inlineStr"/>
      <c r="O477" s="28">
        <f>IF(OR($J477="",$K477="",$M477=""),"",($J477+IF(AND($L477&gt;=2,$J477=5000),3000,0))*$K477*$M477)</f>
        <v/>
      </c>
      <c r="P477" s="26" t="inlineStr"/>
    </row>
    <row r="478">
      <c r="A478" s="25" t="n">
        <v>2</v>
      </c>
      <c r="B478" s="25" t="inlineStr">
        <is>
          <t>ECOLE SUPERIEURE DE COMMERCE D'ABENGOUROU (ESC ABENGOUROU)</t>
        </is>
      </c>
      <c r="C478" s="25" t="inlineStr">
        <is>
          <t>Abengourou</t>
        </is>
      </c>
      <c r="D478" s="25" t="inlineStr">
        <is>
          <t>+225 27 35 91 43 82</t>
        </is>
      </c>
      <c r="E478" s="25" t="inlineStr"/>
      <c r="F478" s="25" t="inlineStr">
        <is>
          <t>malkom01@yahoo.fr</t>
        </is>
      </c>
      <c r="G478" s="26" t="inlineStr"/>
      <c r="H478" s="26" t="inlineStr"/>
      <c r="I478" s="26" t="inlineStr">
        <is>
          <t>A contacter</t>
        </is>
      </c>
      <c r="J478" s="27" t="n"/>
      <c r="K478" s="26" t="n"/>
      <c r="L478" s="26" t="n">
        <v>1</v>
      </c>
      <c r="M478" s="26" t="n"/>
      <c r="N478" s="26" t="inlineStr"/>
      <c r="O478" s="28">
        <f>IF(OR($J478="",$K478="",$M478=""),"",($J478+IF(AND($L478&gt;=2,$J478=5000),3000,0))*$K478*$M478)</f>
        <v/>
      </c>
      <c r="P478" s="26" t="inlineStr"/>
    </row>
    <row r="479">
      <c r="A479" s="25" t="n">
        <v>2</v>
      </c>
      <c r="B479" s="25" t="inlineStr">
        <is>
          <t>ECOLE SUPERIEURE DE COMMERCE D'ADMINISTRATION ET DE MANAGEMENT BOUAKE (ESCAM BOUAKE)</t>
        </is>
      </c>
      <c r="C479" s="25" t="inlineStr">
        <is>
          <t>Bouake</t>
        </is>
      </c>
      <c r="D479" s="25" t="inlineStr">
        <is>
          <t>+225 07 07 21 86 32</t>
        </is>
      </c>
      <c r="E479" s="25" t="inlineStr">
        <is>
          <t>+225 07 07 21 86 32</t>
        </is>
      </c>
      <c r="F479" s="25" t="inlineStr"/>
      <c r="G479" s="26" t="inlineStr"/>
      <c r="H479" s="26" t="inlineStr"/>
      <c r="I479" s="26" t="inlineStr">
        <is>
          <t>A contacter</t>
        </is>
      </c>
      <c r="J479" s="27" t="n"/>
      <c r="K479" s="26" t="n"/>
      <c r="L479" s="26" t="n">
        <v>1</v>
      </c>
      <c r="M479" s="26" t="n"/>
      <c r="N479" s="26" t="inlineStr"/>
      <c r="O479" s="28">
        <f>IF(OR($J479="",$K479="",$M479=""),"",($J479+IF(AND($L479&gt;=2,$J479=5000),3000,0))*$K479*$M479)</f>
        <v/>
      </c>
      <c r="P479" s="26" t="inlineStr"/>
    </row>
    <row r="480">
      <c r="A480" s="25" t="n">
        <v>2</v>
      </c>
      <c r="B480" s="25" t="inlineStr">
        <is>
          <t>ECOLE SUPERIEURE DE COMMERCE ET D'ADMINISTRATION D'AFRIQUE DE L'OUEST (ESCAO)</t>
        </is>
      </c>
      <c r="C480" s="25" t="inlineStr">
        <is>
          <t>San Pedro</t>
        </is>
      </c>
      <c r="D480" s="25" t="inlineStr">
        <is>
          <t>+225 27 21 74 90 08</t>
        </is>
      </c>
      <c r="E480" s="25" t="inlineStr">
        <is>
          <t>+225 07 08 48 89 02</t>
        </is>
      </c>
      <c r="F480" s="25" t="inlineStr"/>
      <c r="G480" s="26" t="inlineStr"/>
      <c r="H480" s="26" t="inlineStr"/>
      <c r="I480" s="26" t="inlineStr">
        <is>
          <t>A contacter</t>
        </is>
      </c>
      <c r="J480" s="27" t="n"/>
      <c r="K480" s="26" t="n"/>
      <c r="L480" s="26" t="n">
        <v>1</v>
      </c>
      <c r="M480" s="26" t="n"/>
      <c r="N480" s="26" t="inlineStr"/>
      <c r="O480" s="28">
        <f>IF(OR($J480="",$K480="",$M480=""),"",($J480+IF(AND($L480&gt;=2,$J480=5000),3000,0))*$K480*$M480)</f>
        <v/>
      </c>
      <c r="P480" s="26" t="inlineStr"/>
    </row>
    <row r="481">
      <c r="A481" s="25" t="n">
        <v>2</v>
      </c>
      <c r="B481" s="25" t="inlineStr">
        <is>
          <t>ECOLE SUPERIEURE DE GENIE CIVIL DE SAN-PEDRO (ESGC-SP)</t>
        </is>
      </c>
      <c r="C481" s="25" t="inlineStr">
        <is>
          <t>San Pedro</t>
        </is>
      </c>
      <c r="D481" s="25" t="inlineStr"/>
      <c r="E481" s="25" t="inlineStr"/>
      <c r="F481" s="25" t="inlineStr">
        <is>
          <t>esgcsanpedro@gmail.com</t>
        </is>
      </c>
      <c r="G481" s="26" t="inlineStr"/>
      <c r="H481" s="26" t="inlineStr"/>
      <c r="I481" s="26" t="inlineStr">
        <is>
          <t>A contacter</t>
        </is>
      </c>
      <c r="J481" s="27" t="n"/>
      <c r="K481" s="26" t="n"/>
      <c r="L481" s="26" t="n">
        <v>1</v>
      </c>
      <c r="M481" s="26" t="n"/>
      <c r="N481" s="26" t="inlineStr"/>
      <c r="O481" s="28">
        <f>IF(OR($J481="",$K481="",$M481=""),"",($J481+IF(AND($L481&gt;=2,$J481=5000),3000,0))*$K481*$M481)</f>
        <v/>
      </c>
      <c r="P481" s="26" t="inlineStr"/>
    </row>
    <row r="482">
      <c r="A482" s="25" t="n">
        <v>2</v>
      </c>
      <c r="B482" s="25" t="inlineStr">
        <is>
          <t>ECOLE SUPERIEURE DE GESTION ET ENTREPRENEURIAT DE BOUAKE (ESGEB)</t>
        </is>
      </c>
      <c r="C482" s="25" t="inlineStr">
        <is>
          <t>Bouake</t>
        </is>
      </c>
      <c r="D482" s="25" t="inlineStr">
        <is>
          <t>+225 07 67 59 96 88</t>
        </is>
      </c>
      <c r="E482" s="25" t="inlineStr">
        <is>
          <t>+225 07 67 59 96 88</t>
        </is>
      </c>
      <c r="F482" s="25" t="inlineStr">
        <is>
          <t>esgeb.bouake@gmail.com</t>
        </is>
      </c>
      <c r="G482" s="26" t="inlineStr"/>
      <c r="H482" s="26" t="inlineStr"/>
      <c r="I482" s="26" t="inlineStr">
        <is>
          <t>A contacter</t>
        </is>
      </c>
      <c r="J482" s="27" t="n"/>
      <c r="K482" s="26" t="n"/>
      <c r="L482" s="26" t="n">
        <v>1</v>
      </c>
      <c r="M482" s="26" t="n"/>
      <c r="N482" s="26" t="inlineStr"/>
      <c r="O482" s="28">
        <f>IF(OR($J482="",$K482="",$M482=""),"",($J482+IF(AND($L482&gt;=2,$J482=5000),3000,0))*$K482*$M482)</f>
        <v/>
      </c>
      <c r="P482" s="26" t="inlineStr"/>
    </row>
    <row r="483">
      <c r="A483" s="25" t="n">
        <v>2</v>
      </c>
      <c r="B483" s="25" t="inlineStr">
        <is>
          <t>ECOLE SUPERIEURE DE L'ENSEIGNEMENT TECHNIQUE ET COMMERCIAL YAMOUSSOUKRO (ESETEC YAMOUSSOUKRO)</t>
        </is>
      </c>
      <c r="C483" s="25" t="inlineStr">
        <is>
          <t>Yamoussoukro</t>
        </is>
      </c>
      <c r="D483" s="25" t="inlineStr">
        <is>
          <t>+225 07 07 86 73 38</t>
        </is>
      </c>
      <c r="E483" s="25" t="inlineStr">
        <is>
          <t>+225 07 07 86 73 38</t>
        </is>
      </c>
      <c r="F483" s="25" t="inlineStr">
        <is>
          <t>alla.ahui@gmail.com</t>
        </is>
      </c>
      <c r="G483" s="26" t="inlineStr"/>
      <c r="H483" s="26" t="inlineStr"/>
      <c r="I483" s="26" t="inlineStr">
        <is>
          <t>A contacter</t>
        </is>
      </c>
      <c r="J483" s="27" t="n"/>
      <c r="K483" s="26" t="n"/>
      <c r="L483" s="26" t="n">
        <v>1</v>
      </c>
      <c r="M483" s="26" t="n"/>
      <c r="N483" s="26" t="inlineStr"/>
      <c r="O483" s="28">
        <f>IF(OR($J483="",$K483="",$M483=""),"",($J483+IF(AND($L483&gt;=2,$J483=5000),3000,0))*$K483*$M483)</f>
        <v/>
      </c>
      <c r="P483" s="26" t="inlineStr"/>
    </row>
    <row r="484">
      <c r="A484" s="25" t="n">
        <v>2</v>
      </c>
      <c r="B484" s="25" t="inlineStr">
        <is>
          <t>ECOLE SUPERIEURE DE MANAGEMENT ET DES TECHNOLOGIES (ESUMAT DIVO)</t>
        </is>
      </c>
      <c r="C484" s="25" t="inlineStr">
        <is>
          <t>Divo</t>
        </is>
      </c>
      <c r="D484" s="25" t="inlineStr">
        <is>
          <t>+225 07 79 21 46 36</t>
        </is>
      </c>
      <c r="E484" s="25" t="inlineStr">
        <is>
          <t>+225 07 79 21 46 36</t>
        </is>
      </c>
      <c r="F484" s="25" t="inlineStr">
        <is>
          <t>esumatdivo@gmail.com</t>
        </is>
      </c>
      <c r="G484" s="26" t="inlineStr"/>
      <c r="H484" s="26" t="inlineStr"/>
      <c r="I484" s="26" t="inlineStr">
        <is>
          <t>A contacter</t>
        </is>
      </c>
      <c r="J484" s="27" t="n"/>
      <c r="K484" s="26" t="n"/>
      <c r="L484" s="26" t="n">
        <v>1</v>
      </c>
      <c r="M484" s="26" t="n"/>
      <c r="N484" s="26" t="inlineStr"/>
      <c r="O484" s="28">
        <f>IF(OR($J484="",$K484="",$M484=""),"",($J484+IF(AND($L484&gt;=2,$J484=5000),3000,0))*$K484*$M484)</f>
        <v/>
      </c>
      <c r="P484" s="26" t="inlineStr"/>
    </row>
    <row r="485">
      <c r="A485" s="25" t="n">
        <v>2</v>
      </c>
      <c r="B485" s="25" t="inlineStr">
        <is>
          <t>ECOLE SUPERIEURE DE TECHNOLOGIES ET DE MANAGEMENT MARCEL HUSSER (ESTM MARCEL HUSSER)</t>
        </is>
      </c>
      <c r="C485" s="25" t="inlineStr">
        <is>
          <t>Daloa</t>
        </is>
      </c>
      <c r="D485" s="25" t="inlineStr"/>
      <c r="E485" s="25" t="inlineStr"/>
      <c r="F485" s="25" t="inlineStr">
        <is>
          <t>estmmarcelhusser@gmail.com</t>
        </is>
      </c>
      <c r="G485" s="26" t="inlineStr"/>
      <c r="H485" s="26" t="inlineStr"/>
      <c r="I485" s="26" t="inlineStr">
        <is>
          <t>A contacter</t>
        </is>
      </c>
      <c r="J485" s="27" t="n"/>
      <c r="K485" s="26" t="n"/>
      <c r="L485" s="26" t="n">
        <v>1</v>
      </c>
      <c r="M485" s="26" t="n"/>
      <c r="N485" s="26" t="inlineStr"/>
      <c r="O485" s="28">
        <f>IF(OR($J485="",$K485="",$M485=""),"",($J485+IF(AND($L485&gt;=2,$J485=5000),3000,0))*$K485*$M485)</f>
        <v/>
      </c>
      <c r="P485" s="26" t="inlineStr"/>
    </row>
    <row r="486">
      <c r="A486" s="25" t="n">
        <v>2</v>
      </c>
      <c r="B486" s="25" t="inlineStr">
        <is>
          <t>ECOLE SUPERIEURE DES AFFAIRES COMMERCIALES ET DE COMPTABILITE (ESACC VAVOUA)</t>
        </is>
      </c>
      <c r="C486" s="25" t="inlineStr">
        <is>
          <t>Vavoua</t>
        </is>
      </c>
      <c r="D486" s="25" t="inlineStr">
        <is>
          <t>+225 07 07 86 14 92</t>
        </is>
      </c>
      <c r="E486" s="25" t="inlineStr">
        <is>
          <t>+225 07 07 86 14 92</t>
        </is>
      </c>
      <c r="F486" s="25" t="inlineStr">
        <is>
          <t>esaccvavoua2020@gmail.com</t>
        </is>
      </c>
      <c r="G486" s="26" t="inlineStr"/>
      <c r="H486" s="26" t="inlineStr"/>
      <c r="I486" s="26" t="inlineStr">
        <is>
          <t>A contacter</t>
        </is>
      </c>
      <c r="J486" s="27" t="n"/>
      <c r="K486" s="26" t="n"/>
      <c r="L486" s="26" t="n">
        <v>1</v>
      </c>
      <c r="M486" s="26" t="n"/>
      <c r="N486" s="26" t="inlineStr"/>
      <c r="O486" s="28">
        <f>IF(OR($J486="",$K486="",$M486=""),"",($J486+IF(AND($L486&gt;=2,$J486=5000),3000,0))*$K486*$M486)</f>
        <v/>
      </c>
      <c r="P486" s="26" t="inlineStr"/>
    </row>
    <row r="487">
      <c r="A487" s="25" t="n">
        <v>2</v>
      </c>
      <c r="B487" s="25" t="inlineStr">
        <is>
          <t>Ecole Superieure des Affaires et de Management (ESAM)</t>
        </is>
      </c>
      <c r="C487" s="25" t="inlineStr">
        <is>
          <t>Abidjan Treichville Zone 2</t>
        </is>
      </c>
      <c r="D487" s="25" t="inlineStr">
        <is>
          <t>+225 27 21 25 46 00</t>
        </is>
      </c>
      <c r="E487" s="25" t="inlineStr">
        <is>
          <t>+225 27 21 25 64 00</t>
        </is>
      </c>
      <c r="F487" s="25" t="inlineStr"/>
      <c r="G487" s="26" t="inlineStr"/>
      <c r="H487" s="26" t="inlineStr"/>
      <c r="I487" s="26" t="inlineStr">
        <is>
          <t>A contacter</t>
        </is>
      </c>
      <c r="J487" s="27" t="n"/>
      <c r="K487" s="26" t="n"/>
      <c r="L487" s="26" t="n">
        <v>1</v>
      </c>
      <c r="M487" s="26" t="n"/>
      <c r="N487" s="26" t="inlineStr"/>
      <c r="O487" s="28">
        <f>IF(OR($J487="",$K487="",$M487=""),"",($J487+IF(AND($L487&gt;=2,$J487=5000),3000,0))*$K487*$M487)</f>
        <v/>
      </c>
      <c r="P487" s="26" t="inlineStr"/>
    </row>
    <row r="488">
      <c r="A488" s="25" t="n">
        <v>2</v>
      </c>
      <c r="B488" s="25" t="inlineStr">
        <is>
          <t>ECOLE SUPERIEURE DES SCIENCES ECONOMIQUES COMMERCIALES ET DE TECHNOLOGIES POINCARE BOUAKE (ESSECT POINCARE BOUAKE)</t>
        </is>
      </c>
      <c r="C488" s="25" t="inlineStr">
        <is>
          <t>Bouake</t>
        </is>
      </c>
      <c r="D488" s="25" t="inlineStr">
        <is>
          <t>+225 07 57 79 31 22</t>
        </is>
      </c>
      <c r="E488" s="25" t="inlineStr">
        <is>
          <t>+225 07 57 79 31 22</t>
        </is>
      </c>
      <c r="F488" s="25" t="inlineStr">
        <is>
          <t>poincarebouake@yahoo.fr</t>
        </is>
      </c>
      <c r="G488" s="26" t="inlineStr"/>
      <c r="H488" s="26" t="inlineStr"/>
      <c r="I488" s="26" t="inlineStr">
        <is>
          <t>A contacter</t>
        </is>
      </c>
      <c r="J488" s="27" t="n"/>
      <c r="K488" s="26" t="n"/>
      <c r="L488" s="26" t="n">
        <v>1</v>
      </c>
      <c r="M488" s="26" t="n"/>
      <c r="N488" s="26" t="inlineStr"/>
      <c r="O488" s="28">
        <f>IF(OR($J488="",$K488="",$M488=""),"",($J488+IF(AND($L488&gt;=2,$J488=5000),3000,0))*$K488*$M488)</f>
        <v/>
      </c>
      <c r="P488" s="26" t="inlineStr"/>
    </row>
    <row r="489">
      <c r="A489" s="25" t="n">
        <v>2</v>
      </c>
      <c r="B489" s="25" t="inlineStr">
        <is>
          <t>ECOLE SUPERIEURE DES TECHNOLOGIES AVANCEES ET DE MANAGEMENT AGBOVILLE (ESTAM AGBOVILLE)</t>
        </is>
      </c>
      <c r="C489" s="25" t="inlineStr">
        <is>
          <t>Agboville</t>
        </is>
      </c>
      <c r="D489" s="25" t="inlineStr">
        <is>
          <t>+225 27 22 42 93 69</t>
        </is>
      </c>
      <c r="E489" s="25" t="inlineStr">
        <is>
          <t>+225 27 22 42 48 70</t>
        </is>
      </c>
      <c r="F489" s="25" t="inlineStr">
        <is>
          <t>estamtechnologie@aviso.ci</t>
        </is>
      </c>
      <c r="G489" s="26" t="inlineStr"/>
      <c r="H489" s="26" t="inlineStr"/>
      <c r="I489" s="26" t="inlineStr">
        <is>
          <t>A contacter</t>
        </is>
      </c>
      <c r="J489" s="27" t="n"/>
      <c r="K489" s="26" t="n"/>
      <c r="L489" s="26" t="n">
        <v>1</v>
      </c>
      <c r="M489" s="26" t="n"/>
      <c r="N489" s="26" t="inlineStr"/>
      <c r="O489" s="28">
        <f>IF(OR($J489="",$K489="",$M489=""),"",($J489+IF(AND($L489&gt;=2,$J489=5000),3000,0))*$K489*$M489)</f>
        <v/>
      </c>
      <c r="P489" s="26" t="inlineStr"/>
    </row>
    <row r="490">
      <c r="A490" s="25" t="n">
        <v>2</v>
      </c>
      <c r="B490" s="25" t="inlineStr">
        <is>
          <t>ECOLE SUPERIEURE DES TECHNOLOGIES AVANCEES ET DE MANAGEMENT BOUAKE (ESTAM BOUAKE)</t>
        </is>
      </c>
      <c r="C490" s="25" t="inlineStr">
        <is>
          <t>Bouake</t>
        </is>
      </c>
      <c r="D490" s="25" t="inlineStr"/>
      <c r="E490" s="25" t="inlineStr"/>
      <c r="F490" s="25" t="inlineStr"/>
      <c r="G490" s="26" t="inlineStr"/>
      <c r="H490" s="26" t="inlineStr"/>
      <c r="I490" s="26" t="inlineStr">
        <is>
          <t>A contacter</t>
        </is>
      </c>
      <c r="J490" s="27" t="n"/>
      <c r="K490" s="26" t="n"/>
      <c r="L490" s="26" t="n">
        <v>1</v>
      </c>
      <c r="M490" s="26" t="n"/>
      <c r="N490" s="26" t="inlineStr"/>
      <c r="O490" s="28">
        <f>IF(OR($J490="",$K490="",$M490=""),"",($J490+IF(AND($L490&gt;=2,$J490=5000),3000,0))*$K490*$M490)</f>
        <v/>
      </c>
      <c r="P490" s="26" t="inlineStr"/>
    </row>
    <row r="491">
      <c r="A491" s="25" t="n">
        <v>2</v>
      </c>
      <c r="B491" s="25" t="inlineStr">
        <is>
          <t>ECOLE SUPERIEURE ESDRAS (ES-ESDRAS)</t>
        </is>
      </c>
      <c r="C491" s="25" t="inlineStr">
        <is>
          <t>Daoukro</t>
        </is>
      </c>
      <c r="D491" s="25" t="inlineStr">
        <is>
          <t>+225 05 44 50 50 72</t>
        </is>
      </c>
      <c r="E491" s="25" t="inlineStr">
        <is>
          <t>+225 05 44 50 50 72</t>
        </is>
      </c>
      <c r="F491" s="25" t="inlineStr"/>
      <c r="G491" s="26" t="inlineStr"/>
      <c r="H491" s="26" t="inlineStr"/>
      <c r="I491" s="26" t="inlineStr">
        <is>
          <t>A contacter</t>
        </is>
      </c>
      <c r="J491" s="27" t="n"/>
      <c r="K491" s="26" t="n"/>
      <c r="L491" s="26" t="n">
        <v>1</v>
      </c>
      <c r="M491" s="26" t="n"/>
      <c r="N491" s="26" t="inlineStr"/>
      <c r="O491" s="28">
        <f>IF(OR($J491="",$K491="",$M491=""),"",($J491+IF(AND($L491&gt;=2,$J491=5000),3000,0))*$K491*$M491)</f>
        <v/>
      </c>
      <c r="P491" s="26" t="inlineStr"/>
    </row>
    <row r="492">
      <c r="A492" s="25" t="n">
        <v>2</v>
      </c>
      <c r="B492" s="25" t="inlineStr">
        <is>
          <t>ECOLE SUPERIEURE GUE PASCAL (ESGP)</t>
        </is>
      </c>
      <c r="C492" s="25" t="inlineStr">
        <is>
          <t>Man</t>
        </is>
      </c>
      <c r="D492" s="25" t="inlineStr"/>
      <c r="E492" s="25" t="inlineStr"/>
      <c r="F492" s="25" t="inlineStr"/>
      <c r="G492" s="26" t="inlineStr"/>
      <c r="H492" s="26" t="inlineStr"/>
      <c r="I492" s="26" t="inlineStr">
        <is>
          <t>A contacter</t>
        </is>
      </c>
      <c r="J492" s="27" t="n"/>
      <c r="K492" s="26" t="n"/>
      <c r="L492" s="26" t="n">
        <v>1</v>
      </c>
      <c r="M492" s="26" t="n"/>
      <c r="N492" s="26" t="inlineStr"/>
      <c r="O492" s="28">
        <f>IF(OR($J492="",$K492="",$M492=""),"",($J492+IF(AND($L492&gt;=2,$J492=5000),3000,0))*$K492*$M492)</f>
        <v/>
      </c>
      <c r="P492" s="26" t="inlineStr"/>
    </row>
    <row r="493">
      <c r="A493" s="25" t="n">
        <v>2</v>
      </c>
      <c r="B493" s="25" t="inlineStr">
        <is>
          <t>ECOLE SUPERIEURE INZA FANNY (ESIF)</t>
        </is>
      </c>
      <c r="C493" s="25" t="inlineStr">
        <is>
          <t>Kaniasso</t>
        </is>
      </c>
      <c r="D493" s="25" t="inlineStr"/>
      <c r="E493" s="25" t="inlineStr"/>
      <c r="F493" s="25" t="inlineStr"/>
      <c r="G493" s="26" t="inlineStr"/>
      <c r="H493" s="26" t="inlineStr"/>
      <c r="I493" s="26" t="inlineStr">
        <is>
          <t>A contacter</t>
        </is>
      </c>
      <c r="J493" s="27" t="n"/>
      <c r="K493" s="26" t="n"/>
      <c r="L493" s="26" t="n">
        <v>1</v>
      </c>
      <c r="M493" s="26" t="n"/>
      <c r="N493" s="26" t="inlineStr"/>
      <c r="O493" s="28">
        <f>IF(OR($J493="",$K493="",$M493=""),"",($J493+IF(AND($L493&gt;=2,$J493=5000),3000,0))*$K493*$M493)</f>
        <v/>
      </c>
      <c r="P493" s="26" t="inlineStr"/>
    </row>
    <row r="494">
      <c r="A494" s="25" t="n">
        <v>2</v>
      </c>
      <c r="B494" s="25" t="inlineStr">
        <is>
          <t>ECOLE SUPERIEURE NAYEBA DE DABOU (ESN)</t>
        </is>
      </c>
      <c r="C494" s="25" t="inlineStr">
        <is>
          <t>Dabou</t>
        </is>
      </c>
      <c r="D494" s="25" t="inlineStr">
        <is>
          <t>+225 27 20 24 52 38</t>
        </is>
      </c>
      <c r="E494" s="25" t="inlineStr">
        <is>
          <t>+225 01 03 12 35 35</t>
        </is>
      </c>
      <c r="F494" s="25" t="inlineStr">
        <is>
          <t>ecolesuperieurenayeba@gmail.com</t>
        </is>
      </c>
      <c r="G494" s="26" t="inlineStr"/>
      <c r="H494" s="26" t="inlineStr"/>
      <c r="I494" s="26" t="inlineStr">
        <is>
          <t>A contacter</t>
        </is>
      </c>
      <c r="J494" s="27" t="n"/>
      <c r="K494" s="26" t="n"/>
      <c r="L494" s="26" t="n">
        <v>1</v>
      </c>
      <c r="M494" s="26" t="n"/>
      <c r="N494" s="26" t="inlineStr"/>
      <c r="O494" s="28">
        <f>IF(OR($J494="",$K494="",$M494=""),"",($J494+IF(AND($L494&gt;=2,$J494=5000),3000,0))*$K494*$M494)</f>
        <v/>
      </c>
      <c r="P494" s="26" t="inlineStr"/>
    </row>
    <row r="495">
      <c r="A495" s="25" t="n">
        <v>2</v>
      </c>
      <c r="B495" s="25" t="inlineStr">
        <is>
          <t>ECOLE SUPERIEURE TECHNIQUE ET DE MANAGEMENT KORHOGO (ESTM-KORHOGO)</t>
        </is>
      </c>
      <c r="C495" s="25" t="inlineStr">
        <is>
          <t>Korhogo</t>
        </is>
      </c>
      <c r="D495" s="25" t="inlineStr">
        <is>
          <t>+225 07 59 11 91 98</t>
        </is>
      </c>
      <c r="E495" s="25" t="inlineStr">
        <is>
          <t>+225 07 59 11 91 98</t>
        </is>
      </c>
      <c r="F495" s="25" t="inlineStr">
        <is>
          <t>estmkgo9@gmail.com</t>
        </is>
      </c>
      <c r="G495" s="26" t="inlineStr"/>
      <c r="H495" s="26" t="inlineStr"/>
      <c r="I495" s="26" t="inlineStr">
        <is>
          <t>A contacter</t>
        </is>
      </c>
      <c r="J495" s="27" t="n"/>
      <c r="K495" s="26" t="n"/>
      <c r="L495" s="26" t="n">
        <v>1</v>
      </c>
      <c r="M495" s="26" t="n"/>
      <c r="N495" s="26" t="inlineStr"/>
      <c r="O495" s="28">
        <f>IF(OR($J495="",$K495="",$M495=""),"",($J495+IF(AND($L495&gt;=2,$J495=5000),3000,0))*$K495*$M495)</f>
        <v/>
      </c>
      <c r="P495" s="26" t="inlineStr"/>
    </row>
    <row r="496">
      <c r="A496" s="25" t="n">
        <v>2</v>
      </c>
      <c r="B496" s="25" t="inlineStr">
        <is>
          <t>ECOLE SUPERIEURE TECHNIQUE ET PROFESSIONNELLE (ESETP)</t>
        </is>
      </c>
      <c r="C496" s="25" t="inlineStr">
        <is>
          <t>Korhogo</t>
        </is>
      </c>
      <c r="D496" s="25" t="inlineStr">
        <is>
          <t>+225 27 36 86 05 75</t>
        </is>
      </c>
      <c r="E496" s="25" t="inlineStr">
        <is>
          <t>+225 07 48 77 54 58</t>
        </is>
      </c>
      <c r="F496" s="25" t="inlineStr">
        <is>
          <t>sonahabibkgo@gmail.com</t>
        </is>
      </c>
      <c r="G496" s="26" t="inlineStr"/>
      <c r="H496" s="26" t="inlineStr"/>
      <c r="I496" s="26" t="inlineStr">
        <is>
          <t>A contacter</t>
        </is>
      </c>
      <c r="J496" s="27" t="n"/>
      <c r="K496" s="26" t="n"/>
      <c r="L496" s="26" t="n">
        <v>1</v>
      </c>
      <c r="M496" s="26" t="n"/>
      <c r="N496" s="26" t="inlineStr"/>
      <c r="O496" s="28">
        <f>IF(OR($J496="",$K496="",$M496=""),"",($J496+IF(AND($L496&gt;=2,$J496=5000),3000,0))*$K496*$M496)</f>
        <v/>
      </c>
      <c r="P496" s="26" t="inlineStr"/>
    </row>
    <row r="497">
      <c r="A497" s="25" t="n">
        <v>2</v>
      </c>
      <c r="B497" s="25" t="inlineStr">
        <is>
          <t>ECOLE SUPERIEURE TENIN KARNA (ESTK BOUNDIALI)</t>
        </is>
      </c>
      <c r="C497" s="25" t="inlineStr">
        <is>
          <t>Boundiali</t>
        </is>
      </c>
      <c r="D497" s="25" t="inlineStr">
        <is>
          <t>+225 01 72 72 07 07</t>
        </is>
      </c>
      <c r="E497" s="25" t="inlineStr">
        <is>
          <t>+225 01 72 72 07 07</t>
        </is>
      </c>
      <c r="F497" s="25" t="inlineStr">
        <is>
          <t>ecolesuperieureteninkarna@gmail.com</t>
        </is>
      </c>
      <c r="G497" s="26" t="inlineStr"/>
      <c r="H497" s="26" t="inlineStr"/>
      <c r="I497" s="26" t="inlineStr">
        <is>
          <t>A contacter</t>
        </is>
      </c>
      <c r="J497" s="27" t="n"/>
      <c r="K497" s="26" t="n"/>
      <c r="L497" s="26" t="n">
        <v>1</v>
      </c>
      <c r="M497" s="26" t="n"/>
      <c r="N497" s="26" t="inlineStr"/>
      <c r="O497" s="28">
        <f>IF(OR($J497="",$K497="",$M497=""),"",($J497+IF(AND($L497&gt;=2,$J497=5000),3000,0))*$K497*$M497)</f>
        <v/>
      </c>
      <c r="P497" s="26" t="inlineStr"/>
    </row>
    <row r="498">
      <c r="A498" s="25" t="n">
        <v>2</v>
      </c>
      <c r="B498" s="25" t="inlineStr">
        <is>
          <t>ECOLE SUPERIEURE TENIN KARNA (ESTK)</t>
        </is>
      </c>
      <c r="C498" s="25" t="inlineStr">
        <is>
          <t>Korhogo</t>
        </is>
      </c>
      <c r="D498" s="25" t="inlineStr">
        <is>
          <t>+225 01 72 72 07 07</t>
        </is>
      </c>
      <c r="E498" s="25" t="inlineStr">
        <is>
          <t>+225 01 72 72 07 07</t>
        </is>
      </c>
      <c r="F498" s="25" t="inlineStr">
        <is>
          <t>ecolesuperieureteninkarna@gmail.com</t>
        </is>
      </c>
      <c r="G498" s="26" t="inlineStr"/>
      <c r="H498" s="26" t="inlineStr"/>
      <c r="I498" s="26" t="inlineStr">
        <is>
          <t>A contacter</t>
        </is>
      </c>
      <c r="J498" s="27" t="n"/>
      <c r="K498" s="26" t="n"/>
      <c r="L498" s="26" t="n">
        <v>1</v>
      </c>
      <c r="M498" s="26" t="n"/>
      <c r="N498" s="26" t="inlineStr"/>
      <c r="O498" s="28">
        <f>IF(OR($J498="",$K498="",$M498=""),"",($J498+IF(AND($L498&gt;=2,$J498=5000),3000,0))*$K498*$M498)</f>
        <v/>
      </c>
      <c r="P498" s="26" t="inlineStr"/>
    </row>
    <row r="499">
      <c r="A499" s="25" t="n">
        <v>2</v>
      </c>
      <c r="B499" s="25" t="inlineStr">
        <is>
          <t>ECOLE SUPÉRIEURE DE PRATIQUES DES AFFAIRES COMMERCIALES ET COMPTABLES (ESPACC BOUAFLE)</t>
        </is>
      </c>
      <c r="C499" s="25" t="inlineStr">
        <is>
          <t>Bouafle</t>
        </is>
      </c>
      <c r="D499" s="25" t="inlineStr">
        <is>
          <t>+225 07 07 86 14 92</t>
        </is>
      </c>
      <c r="E499" s="25" t="inlineStr">
        <is>
          <t>+225 07 07 86 14 92</t>
        </is>
      </c>
      <c r="F499" s="25" t="inlineStr">
        <is>
          <t>espaccbouafle@gmail.com</t>
        </is>
      </c>
      <c r="G499" s="26" t="inlineStr"/>
      <c r="H499" s="26" t="inlineStr"/>
      <c r="I499" s="26" t="inlineStr">
        <is>
          <t>A contacter</t>
        </is>
      </c>
      <c r="J499" s="27" t="n"/>
      <c r="K499" s="26" t="n"/>
      <c r="L499" s="26" t="n">
        <v>1</v>
      </c>
      <c r="M499" s="26" t="n"/>
      <c r="N499" s="26" t="inlineStr"/>
      <c r="O499" s="28">
        <f>IF(OR($J499="",$K499="",$M499=""),"",($J499+IF(AND($L499&gt;=2,$J499=5000),3000,0))*$K499*$M499)</f>
        <v/>
      </c>
      <c r="P499" s="26" t="inlineStr"/>
    </row>
    <row r="500">
      <c r="A500" s="25" t="n">
        <v>2</v>
      </c>
      <c r="B500" s="25" t="inlineStr">
        <is>
          <t>ECOLE TECHNIQUE INFORMATIQUE ET COMMERCIALE BONDOUKOU (ETIC BONDOUKOU)</t>
        </is>
      </c>
      <c r="C500" s="25" t="inlineStr">
        <is>
          <t>Bondoukou</t>
        </is>
      </c>
      <c r="D500" s="25" t="inlineStr">
        <is>
          <t>+225 27 35 90 56 06</t>
        </is>
      </c>
      <c r="E500" s="25" t="inlineStr"/>
      <c r="F500" s="25" t="inlineStr"/>
      <c r="G500" s="26" t="inlineStr"/>
      <c r="H500" s="26" t="inlineStr"/>
      <c r="I500" s="26" t="inlineStr">
        <is>
          <t>A contacter</t>
        </is>
      </c>
      <c r="J500" s="27" t="n"/>
      <c r="K500" s="26" t="n"/>
      <c r="L500" s="26" t="n">
        <v>1</v>
      </c>
      <c r="M500" s="26" t="n"/>
      <c r="N500" s="26" t="inlineStr"/>
      <c r="O500" s="28">
        <f>IF(OR($J500="",$K500="",$M500=""),"",($J500+IF(AND($L500&gt;=2,$J500=5000),3000,0))*$K500*$M500)</f>
        <v/>
      </c>
      <c r="P500" s="26" t="inlineStr"/>
    </row>
    <row r="501">
      <c r="A501" s="25" t="n">
        <v>2</v>
      </c>
      <c r="B501" s="25" t="inlineStr">
        <is>
          <t>ECOLE TECHNIQUE INFORMATIQUE ET COMMERCIALE KORHOGO (ETIC KORHOGO)</t>
        </is>
      </c>
      <c r="C501" s="25" t="inlineStr">
        <is>
          <t>Korhogo</t>
        </is>
      </c>
      <c r="D501" s="25" t="inlineStr"/>
      <c r="E501" s="25" t="inlineStr"/>
      <c r="F501" s="25" t="inlineStr">
        <is>
          <t>doffouappolos@gmail.com</t>
        </is>
      </c>
      <c r="G501" s="26" t="inlineStr"/>
      <c r="H501" s="26" t="inlineStr"/>
      <c r="I501" s="26" t="inlineStr">
        <is>
          <t>A contacter</t>
        </is>
      </c>
      <c r="J501" s="27" t="n"/>
      <c r="K501" s="26" t="n"/>
      <c r="L501" s="26" t="n">
        <v>1</v>
      </c>
      <c r="M501" s="26" t="n"/>
      <c r="N501" s="26" t="inlineStr"/>
      <c r="O501" s="28">
        <f>IF(OR($J501="",$K501="",$M501=""),"",($J501+IF(AND($L501&gt;=2,$J501=5000),3000,0))*$K501*$M501)</f>
        <v/>
      </c>
      <c r="P501" s="26" t="inlineStr"/>
    </row>
    <row r="502">
      <c r="A502" s="25" t="n">
        <v>2</v>
      </c>
      <c r="B502" s="25" t="inlineStr">
        <is>
          <t>ECOLE TECHNIQUE INFORMATIQUE ET COMMERCIALE ODIENNE (ETIC ODIENNE)</t>
        </is>
      </c>
      <c r="C502" s="25" t="inlineStr">
        <is>
          <t>Odienne</t>
        </is>
      </c>
      <c r="D502" s="25" t="inlineStr">
        <is>
          <t>+225 27 35 90 56 06</t>
        </is>
      </c>
      <c r="E502" s="25" t="inlineStr">
        <is>
          <t>+225 07 87 76 72 68</t>
        </is>
      </c>
      <c r="F502" s="25" t="inlineStr"/>
      <c r="G502" s="26" t="inlineStr"/>
      <c r="H502" s="26" t="inlineStr"/>
      <c r="I502" s="26" t="inlineStr">
        <is>
          <t>A contacter</t>
        </is>
      </c>
      <c r="J502" s="27" t="n"/>
      <c r="K502" s="26" t="n"/>
      <c r="L502" s="26" t="n">
        <v>1</v>
      </c>
      <c r="M502" s="26" t="n"/>
      <c r="N502" s="26" t="inlineStr"/>
      <c r="O502" s="28">
        <f>IF(OR($J502="",$K502="",$M502=""),"",($J502+IF(AND($L502&gt;=2,$J502=5000),3000,0))*$K502*$M502)</f>
        <v/>
      </c>
      <c r="P502" s="26" t="inlineStr"/>
    </row>
    <row r="503">
      <c r="A503" s="25" t="n">
        <v>2</v>
      </c>
      <c r="B503" s="25" t="inlineStr">
        <is>
          <t>EDUCATECH BOUAKE</t>
        </is>
      </c>
      <c r="C503" s="25" t="inlineStr">
        <is>
          <t>Bouake</t>
        </is>
      </c>
      <c r="D503" s="25" t="inlineStr">
        <is>
          <t>+225 07 57 88 92 55</t>
        </is>
      </c>
      <c r="E503" s="25" t="inlineStr">
        <is>
          <t>+225 07 57 88 92 55</t>
        </is>
      </c>
      <c r="F503" s="25" t="inlineStr"/>
      <c r="G503" s="26" t="inlineStr"/>
      <c r="H503" s="26" t="inlineStr"/>
      <c r="I503" s="26" t="inlineStr">
        <is>
          <t>A contacter</t>
        </is>
      </c>
      <c r="J503" s="27" t="n"/>
      <c r="K503" s="26" t="n"/>
      <c r="L503" s="26" t="n">
        <v>1</v>
      </c>
      <c r="M503" s="26" t="n"/>
      <c r="N503" s="26" t="inlineStr"/>
      <c r="O503" s="28">
        <f>IF(OR($J503="",$K503="",$M503=""),"",($J503+IF(AND($L503&gt;=2,$J503=5000),3000,0))*$K503*$M503)</f>
        <v/>
      </c>
      <c r="P503" s="26" t="inlineStr"/>
    </row>
    <row r="504">
      <c r="A504" s="25" t="n">
        <v>2</v>
      </c>
      <c r="B504" s="25" t="inlineStr">
        <is>
          <t>EIT-NTIC Abidjan - Ecole Internationale Tertiaire et de Nouvelles Technologies</t>
        </is>
      </c>
      <c r="C504" s="25" t="inlineStr">
        <is>
          <t>Abidjan - Cocody Angre</t>
        </is>
      </c>
      <c r="D504" s="25" t="inlineStr">
        <is>
          <t>+225 27 22 45 06 19</t>
        </is>
      </c>
      <c r="E504" s="25" t="inlineStr">
        <is>
          <t>+225 05 05 45 71 21</t>
        </is>
      </c>
      <c r="F504" s="25" t="inlineStr"/>
      <c r="G504" s="26" t="inlineStr"/>
      <c r="H504" s="26" t="inlineStr"/>
      <c r="I504" s="26" t="inlineStr">
        <is>
          <t>A contacter</t>
        </is>
      </c>
      <c r="J504" s="27" t="n"/>
      <c r="K504" s="26" t="n"/>
      <c r="L504" s="26" t="n">
        <v>1</v>
      </c>
      <c r="M504" s="26" t="n"/>
      <c r="N504" s="26" t="inlineStr"/>
      <c r="O504" s="28">
        <f>IF(OR($J504="",$K504="",$M504=""),"",($J504+IF(AND($L504&gt;=2,$J504=5000),3000,0))*$K504*$M504)</f>
        <v/>
      </c>
      <c r="P504" s="26" t="inlineStr"/>
    </row>
    <row r="505">
      <c r="A505" s="25" t="n">
        <v>2</v>
      </c>
      <c r="B505" s="25" t="inlineStr">
        <is>
          <t>EIT-NTIC ODIENNE</t>
        </is>
      </c>
      <c r="C505" s="25" t="inlineStr">
        <is>
          <t>Odienne</t>
        </is>
      </c>
      <c r="D505" s="25" t="inlineStr">
        <is>
          <t>+225 27 33 70 82 92</t>
        </is>
      </c>
      <c r="E505" s="25" t="inlineStr"/>
      <c r="F505" s="25" t="inlineStr">
        <is>
          <t>eitnticodienne@gmail.com</t>
        </is>
      </c>
      <c r="G505" s="26" t="inlineStr"/>
      <c r="H505" s="26" t="inlineStr"/>
      <c r="I505" s="26" t="inlineStr">
        <is>
          <t>A contacter</t>
        </is>
      </c>
      <c r="J505" s="27" t="n"/>
      <c r="K505" s="26" t="n"/>
      <c r="L505" s="26" t="n">
        <v>1</v>
      </c>
      <c r="M505" s="26" t="n"/>
      <c r="N505" s="26" t="inlineStr"/>
      <c r="O505" s="28">
        <f>IF(OR($J505="",$K505="",$M505=""),"",($J505+IF(AND($L505&gt;=2,$J505=5000),3000,0))*$K505*$M505)</f>
        <v/>
      </c>
      <c r="P505" s="26" t="inlineStr"/>
    </row>
    <row r="506">
      <c r="A506" s="25" t="n">
        <v>2</v>
      </c>
      <c r="B506" s="25" t="inlineStr">
        <is>
          <t>ENSIT - Ecole Nouvelle Superieure d'Ingenieurs et de Technologie</t>
        </is>
      </c>
      <c r="C506" s="25" t="inlineStr">
        <is>
          <t>Abidjan - Cocody Deux-Plateaux</t>
        </is>
      </c>
      <c r="D506" s="25" t="inlineStr">
        <is>
          <t>+225 01 01 53 30 36</t>
        </is>
      </c>
      <c r="E506" s="25" t="inlineStr">
        <is>
          <t>+225 27 22 41 65 63</t>
        </is>
      </c>
      <c r="F506" s="25" t="inlineStr"/>
      <c r="G506" s="26" t="inlineStr"/>
      <c r="H506" s="26" t="inlineStr"/>
      <c r="I506" s="26" t="inlineStr">
        <is>
          <t>A contacter</t>
        </is>
      </c>
      <c r="J506" s="27" t="n"/>
      <c r="K506" s="26" t="n"/>
      <c r="L506" s="26" t="n">
        <v>1</v>
      </c>
      <c r="M506" s="26" t="n"/>
      <c r="N506" s="26" t="inlineStr"/>
      <c r="O506" s="28">
        <f>IF(OR($J506="",$K506="",$M506=""),"",($J506+IF(AND($L506&gt;=2,$J506=5000),3000,0))*$K506*$M506)</f>
        <v/>
      </c>
      <c r="P506" s="26" t="inlineStr"/>
    </row>
    <row r="507">
      <c r="A507" s="25" t="n">
        <v>2</v>
      </c>
      <c r="B507" s="25" t="inlineStr">
        <is>
          <t>EPCT BOUAKE</t>
        </is>
      </c>
      <c r="C507" s="25" t="inlineStr">
        <is>
          <t>Bouake</t>
        </is>
      </c>
      <c r="D507" s="25" t="inlineStr">
        <is>
          <t>+225 27 31 63 40 68</t>
        </is>
      </c>
      <c r="E507" s="25" t="inlineStr"/>
      <c r="F507" s="25" t="inlineStr">
        <is>
          <t>epctbouake@gmail.com</t>
        </is>
      </c>
      <c r="G507" s="26" t="inlineStr"/>
      <c r="H507" s="26" t="inlineStr"/>
      <c r="I507" s="26" t="inlineStr">
        <is>
          <t>A contacter</t>
        </is>
      </c>
      <c r="J507" s="27" t="n"/>
      <c r="K507" s="26" t="n"/>
      <c r="L507" s="26" t="n">
        <v>1</v>
      </c>
      <c r="M507" s="26" t="n"/>
      <c r="N507" s="26" t="inlineStr"/>
      <c r="O507" s="28">
        <f>IF(OR($J507="",$K507="",$M507=""),"",($J507+IF(AND($L507&gt;=2,$J507=5000),3000,0))*$K507*$M507)</f>
        <v/>
      </c>
      <c r="P507" s="26" t="inlineStr"/>
    </row>
    <row r="508">
      <c r="A508" s="25" t="n">
        <v>2</v>
      </c>
      <c r="B508" s="25" t="inlineStr">
        <is>
          <t>EPHESE TECHNOLOGIE SASSANDRA</t>
        </is>
      </c>
      <c r="C508" s="25" t="inlineStr">
        <is>
          <t>Sassandra</t>
        </is>
      </c>
      <c r="D508" s="25" t="inlineStr">
        <is>
          <t>+225 07 07 21 74 44</t>
        </is>
      </c>
      <c r="E508" s="25" t="inlineStr">
        <is>
          <t>+225 07 07 21 74 44</t>
        </is>
      </c>
      <c r="F508" s="25" t="inlineStr">
        <is>
          <t>isj.sa.sassandra@gmail.com</t>
        </is>
      </c>
      <c r="G508" s="26" t="inlineStr"/>
      <c r="H508" s="26" t="inlineStr"/>
      <c r="I508" s="26" t="inlineStr">
        <is>
          <t>A contacter</t>
        </is>
      </c>
      <c r="J508" s="27" t="n"/>
      <c r="K508" s="26" t="n"/>
      <c r="L508" s="26" t="n">
        <v>1</v>
      </c>
      <c r="M508" s="26" t="n"/>
      <c r="N508" s="26" t="inlineStr"/>
      <c r="O508" s="28">
        <f>IF(OR($J508="",$K508="",$M508=""),"",($J508+IF(AND($L508&gt;=2,$J508=5000),3000,0))*$K508*$M508)</f>
        <v/>
      </c>
      <c r="P508" s="26" t="inlineStr"/>
    </row>
    <row r="509">
      <c r="A509" s="25" t="n">
        <v>2</v>
      </c>
      <c r="B509" s="25" t="inlineStr">
        <is>
          <t>ESAM Yamoussoukro - Ecole Superieure des Affaires et du Management</t>
        </is>
      </c>
      <c r="C509" s="25" t="inlineStr">
        <is>
          <t>Yamoussoukro</t>
        </is>
      </c>
      <c r="D509" s="25" t="inlineStr">
        <is>
          <t>+225 27 30 64 20 42</t>
        </is>
      </c>
      <c r="E509" s="25" t="inlineStr">
        <is>
          <t>+225 27 30 64 27 64</t>
        </is>
      </c>
      <c r="F509" s="25" t="inlineStr">
        <is>
          <t>edkyao@yahoo.fr</t>
        </is>
      </c>
      <c r="G509" s="26" t="inlineStr"/>
      <c r="H509" s="26" t="inlineStr"/>
      <c r="I509" s="26" t="inlineStr">
        <is>
          <t>A contacter</t>
        </is>
      </c>
      <c r="J509" s="27" t="n"/>
      <c r="K509" s="26" t="n"/>
      <c r="L509" s="26" t="n">
        <v>1</v>
      </c>
      <c r="M509" s="26" t="n"/>
      <c r="N509" s="26" t="inlineStr"/>
      <c r="O509" s="28">
        <f>IF(OR($J509="",$K509="",$M509=""),"",($J509+IF(AND($L509&gt;=2,$J509=5000),3000,0))*$K509*$M509)</f>
        <v/>
      </c>
      <c r="P509" s="26" t="inlineStr"/>
    </row>
    <row r="510">
      <c r="A510" s="25" t="n">
        <v>2</v>
      </c>
      <c r="B510" s="25" t="inlineStr">
        <is>
          <t>ESCAM (ECOLE SUPERIEURE DE COMMERCE, D'ADMINISTRATION ET DE MANAGEMENT) MANKONO</t>
        </is>
      </c>
      <c r="C510" s="25" t="inlineStr">
        <is>
          <t>Mankono</t>
        </is>
      </c>
      <c r="D510" s="25" t="inlineStr">
        <is>
          <t>+225 07 07 07 52 15</t>
        </is>
      </c>
      <c r="E510" s="25" t="inlineStr">
        <is>
          <t>+225 07 07 07 52 15</t>
        </is>
      </c>
      <c r="F510" s="25" t="inlineStr">
        <is>
          <t>infos@upmankono.edu.ci</t>
        </is>
      </c>
      <c r="G510" s="26" t="inlineStr"/>
      <c r="H510" s="26" t="inlineStr"/>
      <c r="I510" s="26" t="inlineStr">
        <is>
          <t>A contacter</t>
        </is>
      </c>
      <c r="J510" s="27" t="n"/>
      <c r="K510" s="26" t="n"/>
      <c r="L510" s="26" t="n">
        <v>1</v>
      </c>
      <c r="M510" s="26" t="n"/>
      <c r="N510" s="26" t="inlineStr"/>
      <c r="O510" s="28">
        <f>IF(OR($J510="",$K510="",$M510=""),"",($J510+IF(AND($L510&gt;=2,$J510=5000),3000,0))*$K510*$M510)</f>
        <v/>
      </c>
      <c r="P510" s="26" t="inlineStr"/>
    </row>
    <row r="511">
      <c r="A511" s="25" t="n">
        <v>2</v>
      </c>
      <c r="B511" s="25" t="inlineStr">
        <is>
          <t>ESCOM ESPACE FLORA</t>
        </is>
      </c>
      <c r="C511" s="25" t="inlineStr">
        <is>
          <t>Daloa</t>
        </is>
      </c>
      <c r="D511" s="25" t="inlineStr">
        <is>
          <t>+225 07 08 95 80 10</t>
        </is>
      </c>
      <c r="E511" s="25" t="inlineStr">
        <is>
          <t>+225 07 08 95 80 10</t>
        </is>
      </c>
      <c r="F511" s="25" t="inlineStr">
        <is>
          <t>escomfloradaloa@gmail.com</t>
        </is>
      </c>
      <c r="G511" s="26" t="inlineStr"/>
      <c r="H511" s="26" t="inlineStr"/>
      <c r="I511" s="26" t="inlineStr">
        <is>
          <t>A contacter</t>
        </is>
      </c>
      <c r="J511" s="27" t="n"/>
      <c r="K511" s="26" t="n"/>
      <c r="L511" s="26" t="n">
        <v>1</v>
      </c>
      <c r="M511" s="26" t="n"/>
      <c r="N511" s="26" t="inlineStr"/>
      <c r="O511" s="28">
        <f>IF(OR($J511="",$K511="",$M511=""),"",($J511+IF(AND($L511&gt;=2,$J511=5000),3000,0))*$K511*$M511)</f>
        <v/>
      </c>
      <c r="P511" s="26" t="inlineStr"/>
    </row>
    <row r="512">
      <c r="A512" s="25" t="n">
        <v>2</v>
      </c>
      <c r="B512" s="25" t="inlineStr">
        <is>
          <t>ESCT BOUAKE</t>
        </is>
      </c>
      <c r="C512" s="25" t="inlineStr">
        <is>
          <t>Bouake</t>
        </is>
      </c>
      <c r="D512" s="25" t="inlineStr">
        <is>
          <t>+225 27 31 63 03 36</t>
        </is>
      </c>
      <c r="E512" s="25" t="inlineStr"/>
      <c r="F512" s="25" t="inlineStr">
        <is>
          <t>esctbouake@gmail.com</t>
        </is>
      </c>
      <c r="G512" s="26" t="inlineStr"/>
      <c r="H512" s="26" t="inlineStr"/>
      <c r="I512" s="26" t="inlineStr">
        <is>
          <t>A contacter</t>
        </is>
      </c>
      <c r="J512" s="27" t="n"/>
      <c r="K512" s="26" t="n"/>
      <c r="L512" s="26" t="n">
        <v>1</v>
      </c>
      <c r="M512" s="26" t="n"/>
      <c r="N512" s="26" t="inlineStr"/>
      <c r="O512" s="28">
        <f>IF(OR($J512="",$K512="",$M512=""),"",($J512+IF(AND($L512&gt;=2,$J512=5000),3000,0))*$K512*$M512)</f>
        <v/>
      </c>
      <c r="P512" s="26" t="inlineStr"/>
    </row>
    <row r="513">
      <c r="A513" s="25" t="n">
        <v>2</v>
      </c>
      <c r="B513" s="25" t="inlineStr">
        <is>
          <t>ESETEC - Ecole Superieure de l'Enseignement Technique et Commercial</t>
        </is>
      </c>
      <c r="C513" s="25" t="inlineStr">
        <is>
          <t>Yamoussoukro</t>
        </is>
      </c>
      <c r="D513" s="25" t="inlineStr">
        <is>
          <t>+225 07 07 86 73 38</t>
        </is>
      </c>
      <c r="E513" s="25" t="inlineStr">
        <is>
          <t>+225 07 07 03 70 04</t>
        </is>
      </c>
      <c r="F513" s="25" t="inlineStr"/>
      <c r="G513" s="26" t="inlineStr"/>
      <c r="H513" s="26" t="inlineStr"/>
      <c r="I513" s="26" t="inlineStr">
        <is>
          <t>A contacter</t>
        </is>
      </c>
      <c r="J513" s="27" t="n"/>
      <c r="K513" s="26" t="n"/>
      <c r="L513" s="26" t="n">
        <v>1</v>
      </c>
      <c r="M513" s="26" t="n"/>
      <c r="N513" s="26" t="inlineStr"/>
      <c r="O513" s="28">
        <f>IF(OR($J513="",$K513="",$M513=""),"",($J513+IF(AND($L513&gt;=2,$J513=5000),3000,0))*$K513*$M513)</f>
        <v/>
      </c>
      <c r="P513" s="26" t="inlineStr"/>
    </row>
    <row r="514">
      <c r="A514" s="25" t="n">
        <v>2</v>
      </c>
      <c r="B514" s="25" t="inlineStr">
        <is>
          <t>ESGS San-Pedro - Ecole Superieure de Gestion et des Specialites</t>
        </is>
      </c>
      <c r="C514" s="25" t="inlineStr">
        <is>
          <t>San-Pedro</t>
        </is>
      </c>
      <c r="D514" s="25" t="inlineStr">
        <is>
          <t>+225 07 89 07 07 01</t>
        </is>
      </c>
      <c r="E514" s="25" t="inlineStr">
        <is>
          <t>+225 07 89 07 07 01</t>
        </is>
      </c>
      <c r="F514" s="25" t="inlineStr">
        <is>
          <t>bincado.zrangoh@gmail.com</t>
        </is>
      </c>
      <c r="G514" s="26" t="inlineStr"/>
      <c r="H514" s="26" t="inlineStr"/>
      <c r="I514" s="26" t="inlineStr">
        <is>
          <t>A contacter</t>
        </is>
      </c>
      <c r="J514" s="27" t="n"/>
      <c r="K514" s="26" t="n"/>
      <c r="L514" s="26" t="n">
        <v>1</v>
      </c>
      <c r="M514" s="26" t="n"/>
      <c r="N514" s="26" t="inlineStr"/>
      <c r="O514" s="28">
        <f>IF(OR($J514="",$K514="",$M514=""),"",($J514+IF(AND($L514&gt;=2,$J514=5000),3000,0))*$K514*$M514)</f>
        <v/>
      </c>
      <c r="P514" s="26" t="inlineStr"/>
    </row>
    <row r="515">
      <c r="A515" s="25" t="n">
        <v>2</v>
      </c>
      <c r="B515" s="25" t="inlineStr">
        <is>
          <t>ESGS Yamoussoukro - Ecole Superieure de Gestion et des Specialites</t>
        </is>
      </c>
      <c r="C515" s="25" t="inlineStr">
        <is>
          <t>Yamoussoukro</t>
        </is>
      </c>
      <c r="D515" s="25" t="inlineStr">
        <is>
          <t>+225 07 89 07 07 01</t>
        </is>
      </c>
      <c r="E515" s="25" t="inlineStr">
        <is>
          <t>+225 07 88 64 80 99</t>
        </is>
      </c>
      <c r="F515" s="25" t="inlineStr">
        <is>
          <t>esgsyakro@gmail.com</t>
        </is>
      </c>
      <c r="G515" s="26" t="inlineStr"/>
      <c r="H515" s="26" t="inlineStr"/>
      <c r="I515" s="26" t="inlineStr">
        <is>
          <t>A contacter</t>
        </is>
      </c>
      <c r="J515" s="27" t="n"/>
      <c r="K515" s="26" t="n"/>
      <c r="L515" s="26" t="n">
        <v>1</v>
      </c>
      <c r="M515" s="26" t="n"/>
      <c r="N515" s="26" t="inlineStr"/>
      <c r="O515" s="28">
        <f>IF(OR($J515="",$K515="",$M515=""),"",($J515+IF(AND($L515&gt;=2,$J515=5000),3000,0))*$K515*$M515)</f>
        <v/>
      </c>
      <c r="P515" s="26" t="inlineStr"/>
    </row>
    <row r="516">
      <c r="A516" s="25" t="n">
        <v>2</v>
      </c>
      <c r="B516" s="25" t="inlineStr">
        <is>
          <t>ESIC AFRIQUE</t>
        </is>
      </c>
      <c r="C516" s="25" t="inlineStr">
        <is>
          <t>Bouake</t>
        </is>
      </c>
      <c r="D516" s="25" t="inlineStr">
        <is>
          <t>+225 01 01 38 26 22</t>
        </is>
      </c>
      <c r="E516" s="25" t="inlineStr">
        <is>
          <t>+225 01 01 38 26 22</t>
        </is>
      </c>
      <c r="F516" s="25" t="inlineStr">
        <is>
          <t>divinesourceguy@gmail.com</t>
        </is>
      </c>
      <c r="G516" s="26" t="inlineStr"/>
      <c r="H516" s="26" t="inlineStr"/>
      <c r="I516" s="26" t="inlineStr">
        <is>
          <t>A contacter</t>
        </is>
      </c>
      <c r="J516" s="27" t="n"/>
      <c r="K516" s="26" t="n"/>
      <c r="L516" s="26" t="n">
        <v>1</v>
      </c>
      <c r="M516" s="26" t="n"/>
      <c r="N516" s="26" t="inlineStr"/>
      <c r="O516" s="28">
        <f>IF(OR($J516="",$K516="",$M516=""),"",($J516+IF(AND($L516&gt;=2,$J516=5000),3000,0))*$K516*$M516)</f>
        <v/>
      </c>
      <c r="P516" s="26" t="inlineStr"/>
    </row>
    <row r="517">
      <c r="A517" s="25" t="n">
        <v>2</v>
      </c>
      <c r="B517" s="25" t="inlineStr">
        <is>
          <t>ESMA ANNEXE BOUAKE</t>
        </is>
      </c>
      <c r="C517" s="25" t="inlineStr">
        <is>
          <t>Bouake</t>
        </is>
      </c>
      <c r="D517" s="25" t="inlineStr">
        <is>
          <t>+225 27 31 61 64 42</t>
        </is>
      </c>
      <c r="E517" s="25" t="inlineStr">
        <is>
          <t>+225 07 47 04 76 02</t>
        </is>
      </c>
      <c r="F517" s="25" t="inlineStr">
        <is>
          <t>kra.koffi@esma-edu.net</t>
        </is>
      </c>
      <c r="G517" s="26" t="inlineStr"/>
      <c r="H517" s="26" t="inlineStr"/>
      <c r="I517" s="26" t="inlineStr">
        <is>
          <t>A contacter</t>
        </is>
      </c>
      <c r="J517" s="27" t="n"/>
      <c r="K517" s="26" t="n"/>
      <c r="L517" s="26" t="n">
        <v>1</v>
      </c>
      <c r="M517" s="26" t="n"/>
      <c r="N517" s="26" t="inlineStr"/>
      <c r="O517" s="28">
        <f>IF(OR($J517="",$K517="",$M517=""),"",($J517+IF(AND($L517&gt;=2,$J517=5000),3000,0))*$K517*$M517)</f>
        <v/>
      </c>
      <c r="P517" s="26" t="inlineStr"/>
    </row>
    <row r="518">
      <c r="A518" s="25" t="n">
        <v>2</v>
      </c>
      <c r="B518" s="25" t="inlineStr">
        <is>
          <t>ESMAT LE GROUPE BOWL DALOA</t>
        </is>
      </c>
      <c r="C518" s="25" t="inlineStr">
        <is>
          <t>Daloa</t>
        </is>
      </c>
      <c r="D518" s="25" t="inlineStr">
        <is>
          <t>+225 07 07 98 30 99</t>
        </is>
      </c>
      <c r="E518" s="25" t="inlineStr">
        <is>
          <t>+225 07 07 98 30 99</t>
        </is>
      </c>
      <c r="F518" s="25" t="inlineStr">
        <is>
          <t>pjdodo2002@yahoo.fr</t>
        </is>
      </c>
      <c r="G518" s="26" t="inlineStr"/>
      <c r="H518" s="26" t="inlineStr"/>
      <c r="I518" s="26" t="inlineStr">
        <is>
          <t>A contacter</t>
        </is>
      </c>
      <c r="J518" s="27" t="n"/>
      <c r="K518" s="26" t="n"/>
      <c r="L518" s="26" t="n">
        <v>1</v>
      </c>
      <c r="M518" s="26" t="n"/>
      <c r="N518" s="26" t="inlineStr"/>
      <c r="O518" s="28">
        <f>IF(OR($J518="",$K518="",$M518=""),"",($J518+IF(AND($L518&gt;=2,$J518=5000),3000,0))*$K518*$M518)</f>
        <v/>
      </c>
      <c r="P518" s="26" t="inlineStr"/>
    </row>
    <row r="519">
      <c r="A519" s="25" t="n">
        <v>2</v>
      </c>
      <c r="B519" s="25" t="inlineStr">
        <is>
          <t>ESTP (Ecole Superieure Technique et Professionnelle)</t>
        </is>
      </c>
      <c r="C519" s="25" t="inlineStr">
        <is>
          <t>Abidjan - Yopougon Bel Air</t>
        </is>
      </c>
      <c r="D519" s="25" t="inlineStr">
        <is>
          <t>+225 27 23 52 89 18</t>
        </is>
      </c>
      <c r="E519" s="25" t="inlineStr"/>
      <c r="F519" s="25" t="inlineStr"/>
      <c r="G519" s="26" t="inlineStr"/>
      <c r="H519" s="26" t="inlineStr"/>
      <c r="I519" s="26" t="inlineStr">
        <is>
          <t>A contacter</t>
        </is>
      </c>
      <c r="J519" s="27" t="n"/>
      <c r="K519" s="26" t="n"/>
      <c r="L519" s="26" t="n">
        <v>1</v>
      </c>
      <c r="M519" s="26" t="n"/>
      <c r="N519" s="26" t="inlineStr"/>
      <c r="O519" s="28">
        <f>IF(OR($J519="",$K519="",$M519=""),"",($J519+IF(AND($L519&gt;=2,$J519=5000),3000,0))*$K519*$M519)</f>
        <v/>
      </c>
      <c r="P519" s="26" t="inlineStr"/>
    </row>
    <row r="520">
      <c r="A520" s="25" t="n">
        <v>2</v>
      </c>
      <c r="B520" s="25" t="inlineStr">
        <is>
          <t>ETEP - ANNEXE SAN PEDRO</t>
        </is>
      </c>
      <c r="C520" s="25" t="inlineStr">
        <is>
          <t>San Pedro</t>
        </is>
      </c>
      <c r="D520" s="25" t="inlineStr">
        <is>
          <t>+225 27 34 71 16 40</t>
        </is>
      </c>
      <c r="E520" s="25" t="inlineStr"/>
      <c r="F520" s="25" t="inlineStr">
        <is>
          <t>etep01sanpedro@gmail.com</t>
        </is>
      </c>
      <c r="G520" s="26" t="inlineStr"/>
      <c r="H520" s="26" t="inlineStr"/>
      <c r="I520" s="26" t="inlineStr">
        <is>
          <t>A contacter</t>
        </is>
      </c>
      <c r="J520" s="27" t="n"/>
      <c r="K520" s="26" t="n"/>
      <c r="L520" s="26" t="n">
        <v>1</v>
      </c>
      <c r="M520" s="26" t="n"/>
      <c r="N520" s="26" t="inlineStr"/>
      <c r="O520" s="28">
        <f>IF(OR($J520="",$K520="",$M520=""),"",($J520+IF(AND($L520&gt;=2,$J520=5000),3000,0))*$K520*$M520)</f>
        <v/>
      </c>
      <c r="P520" s="26" t="inlineStr"/>
    </row>
    <row r="521">
      <c r="A521" s="25" t="n">
        <v>2</v>
      </c>
      <c r="B521" s="25" t="inlineStr">
        <is>
          <t>ETIC Abobo - Ecole Technique Informatique et Commerciale</t>
        </is>
      </c>
      <c r="C521" s="25" t="inlineStr">
        <is>
          <t>Abidjan - Abobo</t>
        </is>
      </c>
      <c r="D521" s="25" t="inlineStr">
        <is>
          <t>+225 07 07 24 63 15</t>
        </is>
      </c>
      <c r="E521" s="25" t="inlineStr">
        <is>
          <t>+225 07 07 24 63 15</t>
        </is>
      </c>
      <c r="F521" s="25" t="inlineStr"/>
      <c r="G521" s="26" t="inlineStr"/>
      <c r="H521" s="26" t="inlineStr"/>
      <c r="I521" s="26" t="inlineStr">
        <is>
          <t>A contacter</t>
        </is>
      </c>
      <c r="J521" s="27" t="n"/>
      <c r="K521" s="26" t="n"/>
      <c r="L521" s="26" t="n">
        <v>1</v>
      </c>
      <c r="M521" s="26" t="n"/>
      <c r="N521" s="26" t="inlineStr"/>
      <c r="O521" s="28">
        <f>IF(OR($J521="",$K521="",$M521=""),"",($J521+IF(AND($L521&gt;=2,$J521=5000),3000,0))*$K521*$M521)</f>
        <v/>
      </c>
      <c r="P521" s="26" t="inlineStr"/>
    </row>
    <row r="522">
      <c r="A522" s="25" t="n">
        <v>2</v>
      </c>
      <c r="B522" s="25" t="inlineStr">
        <is>
          <t>ETIC Yopougon - Ecole Technique Informatique et Commerciale</t>
        </is>
      </c>
      <c r="C522" s="25" t="inlineStr">
        <is>
          <t>Abidjan - Yopougon</t>
        </is>
      </c>
      <c r="D522" s="25" t="inlineStr">
        <is>
          <t>+225 07 07 40 88 38</t>
        </is>
      </c>
      <c r="E522" s="25" t="inlineStr">
        <is>
          <t>+225 07 07 40 88 38</t>
        </is>
      </c>
      <c r="F522" s="25" t="inlineStr"/>
      <c r="G522" s="26" t="inlineStr"/>
      <c r="H522" s="26" t="inlineStr"/>
      <c r="I522" s="26" t="inlineStr">
        <is>
          <t>A contacter</t>
        </is>
      </c>
      <c r="J522" s="27" t="n"/>
      <c r="K522" s="26" t="n"/>
      <c r="L522" s="26" t="n">
        <v>1</v>
      </c>
      <c r="M522" s="26" t="n"/>
      <c r="N522" s="26" t="inlineStr"/>
      <c r="O522" s="28">
        <f>IF(OR($J522="",$K522="",$M522=""),"",($J522+IF(AND($L522&gt;=2,$J522=5000),3000,0))*$K522*$M522)</f>
        <v/>
      </c>
      <c r="P522" s="26" t="inlineStr"/>
    </row>
    <row r="523">
      <c r="A523" s="25" t="n">
        <v>2</v>
      </c>
      <c r="B523" s="25" t="inlineStr">
        <is>
          <t>ETS SAGUIDIBA (ECOLE TECHNIQUE SUPERIEURE SAGUIDIBA) YAKRO</t>
        </is>
      </c>
      <c r="C523" s="25" t="inlineStr">
        <is>
          <t>Yamoussoukro</t>
        </is>
      </c>
      <c r="D523" s="25" t="inlineStr"/>
      <c r="E523" s="25" t="inlineStr"/>
      <c r="F523" s="25" t="inlineStr">
        <is>
          <t>ladjifonde@gmail.com</t>
        </is>
      </c>
      <c r="G523" s="26" t="inlineStr"/>
      <c r="H523" s="26" t="inlineStr"/>
      <c r="I523" s="26" t="inlineStr">
        <is>
          <t>A contacter</t>
        </is>
      </c>
      <c r="J523" s="27" t="n"/>
      <c r="K523" s="26" t="n"/>
      <c r="L523" s="26" t="n">
        <v>1</v>
      </c>
      <c r="M523" s="26" t="n"/>
      <c r="N523" s="26" t="inlineStr"/>
      <c r="O523" s="28">
        <f>IF(OR($J523="",$K523="",$M523=""),"",($J523+IF(AND($L523&gt;=2,$J523=5000),3000,0))*$K523*$M523)</f>
        <v/>
      </c>
      <c r="P523" s="26" t="inlineStr"/>
    </row>
    <row r="524">
      <c r="A524" s="25" t="n">
        <v>2</v>
      </c>
      <c r="B524" s="25" t="inlineStr">
        <is>
          <t>FOANI ITS</t>
        </is>
      </c>
      <c r="C524" s="25" t="inlineStr">
        <is>
          <t>Agnibilekro</t>
        </is>
      </c>
      <c r="D524" s="25" t="inlineStr">
        <is>
          <t>+225 27 35 90 67 26</t>
        </is>
      </c>
      <c r="E524" s="25" t="inlineStr">
        <is>
          <t>+225 07 19 19 20 44</t>
        </is>
      </c>
      <c r="F524" s="25" t="inlineStr">
        <is>
          <t>info@foani-itc.com</t>
        </is>
      </c>
      <c r="G524" s="26" t="inlineStr"/>
      <c r="H524" s="26" t="inlineStr"/>
      <c r="I524" s="26" t="inlineStr">
        <is>
          <t>A contacter</t>
        </is>
      </c>
      <c r="J524" s="27" t="n"/>
      <c r="K524" s="26" t="n"/>
      <c r="L524" s="26" t="n">
        <v>1</v>
      </c>
      <c r="M524" s="26" t="n"/>
      <c r="N524" s="26" t="inlineStr"/>
      <c r="O524" s="28">
        <f>IF(OR($J524="",$K524="",$M524=""),"",($J524+IF(AND($L524&gt;=2,$J524=5000),3000,0))*$K524*$M524)</f>
        <v/>
      </c>
      <c r="P524" s="26" t="inlineStr"/>
    </row>
    <row r="525">
      <c r="A525" s="25" t="n">
        <v>2</v>
      </c>
      <c r="B525" s="25" t="inlineStr">
        <is>
          <t>G 10 ACADEMIE</t>
        </is>
      </c>
      <c r="C525" s="25" t="inlineStr">
        <is>
          <t>Katiola</t>
        </is>
      </c>
      <c r="D525" s="25" t="inlineStr">
        <is>
          <t>+225 07 59 70 29 71</t>
        </is>
      </c>
      <c r="E525" s="25" t="inlineStr">
        <is>
          <t>+225 07 59 70 29 71</t>
        </is>
      </c>
      <c r="F525" s="25" t="inlineStr"/>
      <c r="G525" s="26" t="inlineStr"/>
      <c r="H525" s="26" t="inlineStr"/>
      <c r="I525" s="26" t="inlineStr">
        <is>
          <t>A contacter</t>
        </is>
      </c>
      <c r="J525" s="27" t="n"/>
      <c r="K525" s="26" t="n"/>
      <c r="L525" s="26" t="n">
        <v>1</v>
      </c>
      <c r="M525" s="26" t="n"/>
      <c r="N525" s="26" t="inlineStr"/>
      <c r="O525" s="28">
        <f>IF(OR($J525="",$K525="",$M525=""),"",($J525+IF(AND($L525&gt;=2,$J525=5000),3000,0))*$K525*$M525)</f>
        <v/>
      </c>
      <c r="P525" s="26" t="inlineStr"/>
    </row>
    <row r="526">
      <c r="A526" s="25" t="n">
        <v>2</v>
      </c>
      <c r="B526" s="25" t="inlineStr">
        <is>
          <t>GISTECOM - INSTITUT SUPERIEUR TECHNIQUE ET COMMERCIAL YAMOUSSOUKRO</t>
        </is>
      </c>
      <c r="C526" s="25" t="inlineStr">
        <is>
          <t>Yamoussoukro</t>
        </is>
      </c>
      <c r="D526" s="25" t="inlineStr">
        <is>
          <t>+225 07 58 42 42 34</t>
        </is>
      </c>
      <c r="E526" s="25" t="inlineStr">
        <is>
          <t>+225 07 58 42 42 34</t>
        </is>
      </c>
      <c r="F526" s="25" t="inlineStr"/>
      <c r="G526" s="26" t="inlineStr"/>
      <c r="H526" s="26" t="inlineStr"/>
      <c r="I526" s="26" t="inlineStr">
        <is>
          <t>A contacter</t>
        </is>
      </c>
      <c r="J526" s="27" t="n"/>
      <c r="K526" s="26" t="n"/>
      <c r="L526" s="26" t="n">
        <v>1</v>
      </c>
      <c r="M526" s="26" t="n"/>
      <c r="N526" s="26" t="inlineStr"/>
      <c r="O526" s="28">
        <f>IF(OR($J526="",$K526="",$M526=""),"",($J526+IF(AND($L526&gt;=2,$J526=5000),3000,0))*$K526*$M526)</f>
        <v/>
      </c>
      <c r="P526" s="26" t="inlineStr"/>
    </row>
    <row r="527">
      <c r="A527" s="25" t="n">
        <v>2</v>
      </c>
      <c r="B527" s="25" t="inlineStr">
        <is>
          <t>GROUPE AFFOUBENOU - DALOA</t>
        </is>
      </c>
      <c r="C527" s="25" t="inlineStr">
        <is>
          <t>Daloa</t>
        </is>
      </c>
      <c r="D527" s="25" t="inlineStr">
        <is>
          <t>+225 07 07 64 80 06</t>
        </is>
      </c>
      <c r="E527" s="25" t="inlineStr">
        <is>
          <t>+225 07 07 64 80 06</t>
        </is>
      </c>
      <c r="F527" s="25" t="inlineStr">
        <is>
          <t>groupe.affoubenou.5@gmail.com</t>
        </is>
      </c>
      <c r="G527" s="26" t="inlineStr"/>
      <c r="H527" s="26" t="inlineStr"/>
      <c r="I527" s="26" t="inlineStr">
        <is>
          <t>A contacter</t>
        </is>
      </c>
      <c r="J527" s="27" t="n"/>
      <c r="K527" s="26" t="n"/>
      <c r="L527" s="26" t="n">
        <v>1</v>
      </c>
      <c r="M527" s="26" t="n"/>
      <c r="N527" s="26" t="inlineStr"/>
      <c r="O527" s="28">
        <f>IF(OR($J527="",$K527="",$M527=""),"",($J527+IF(AND($L527&gt;=2,$J527=5000),3000,0))*$K527*$M527)</f>
        <v/>
      </c>
      <c r="P527" s="26" t="inlineStr"/>
    </row>
    <row r="528">
      <c r="A528" s="25" t="n">
        <v>2</v>
      </c>
      <c r="B528" s="25" t="inlineStr">
        <is>
          <t>Groupe CERCO Cote d'Ivoire</t>
        </is>
      </c>
      <c r="C528" s="25" t="inlineStr">
        <is>
          <t>Abidjan - Deux Plateaux Vallon</t>
        </is>
      </c>
      <c r="D528" s="25" t="inlineStr">
        <is>
          <t>+225 07 07 10 55 63</t>
        </is>
      </c>
      <c r="E528" s="25" t="inlineStr">
        <is>
          <t>+225 07 58 27 08 27</t>
        </is>
      </c>
      <c r="F528" s="25" t="inlineStr">
        <is>
          <t>cerco@groupecerco.com</t>
        </is>
      </c>
      <c r="G528" s="26" t="inlineStr"/>
      <c r="H528" s="26" t="inlineStr"/>
      <c r="I528" s="26" t="inlineStr">
        <is>
          <t>A contacter</t>
        </is>
      </c>
      <c r="J528" s="27" t="n"/>
      <c r="K528" s="26" t="n"/>
      <c r="L528" s="26" t="n">
        <v>1</v>
      </c>
      <c r="M528" s="26" t="n"/>
      <c r="N528" s="26" t="inlineStr"/>
      <c r="O528" s="28">
        <f>IF(OR($J528="",$K528="",$M528=""),"",($J528+IF(AND($L528&gt;=2,$J528=5000),3000,0))*$K528*$M528)</f>
        <v/>
      </c>
      <c r="P528" s="26" t="inlineStr"/>
    </row>
    <row r="529">
      <c r="A529" s="25" t="n">
        <v>2</v>
      </c>
      <c r="B529" s="25" t="inlineStr">
        <is>
          <t>GROUPE D ENSEIGNEMENT SUPERIEUR ET PROFESSIONNEL D AGBE (GESSP) LAKOTA</t>
        </is>
      </c>
      <c r="C529" s="25" t="inlineStr">
        <is>
          <t>Lakota</t>
        </is>
      </c>
      <c r="D529" s="25" t="inlineStr">
        <is>
          <t>+225 01 01 05 35 63</t>
        </is>
      </c>
      <c r="E529" s="25" t="inlineStr">
        <is>
          <t>+225 01 01 05 35 63</t>
        </is>
      </c>
      <c r="F529" s="25" t="inlineStr">
        <is>
          <t>gessplakota@gmail.com</t>
        </is>
      </c>
      <c r="G529" s="26" t="inlineStr"/>
      <c r="H529" s="26" t="inlineStr"/>
      <c r="I529" s="26" t="inlineStr">
        <is>
          <t>A contacter</t>
        </is>
      </c>
      <c r="J529" s="27" t="n"/>
      <c r="K529" s="26" t="n"/>
      <c r="L529" s="26" t="n">
        <v>1</v>
      </c>
      <c r="M529" s="26" t="n"/>
      <c r="N529" s="26" t="inlineStr"/>
      <c r="O529" s="28">
        <f>IF(OR($J529="",$K529="",$M529=""),"",($J529+IF(AND($L529&gt;=2,$J529=5000),3000,0))*$K529*$M529)</f>
        <v/>
      </c>
      <c r="P529" s="26" t="inlineStr"/>
    </row>
    <row r="530">
      <c r="A530" s="25" t="n">
        <v>2</v>
      </c>
      <c r="B530" s="25" t="inlineStr">
        <is>
          <t>GROUPE D'ENSEIGNEMENT SUPERIEUR ET PROFESSIONNEL D'AGBE LAKOTA (GESSP LAKOTA)</t>
        </is>
      </c>
      <c r="C530" s="25" t="inlineStr">
        <is>
          <t>Lakota</t>
        </is>
      </c>
      <c r="D530" s="25" t="inlineStr"/>
      <c r="E530" s="25" t="inlineStr"/>
      <c r="F530" s="25" t="inlineStr"/>
      <c r="G530" s="26" t="inlineStr"/>
      <c r="H530" s="26" t="inlineStr"/>
      <c r="I530" s="26" t="inlineStr">
        <is>
          <t>A contacter</t>
        </is>
      </c>
      <c r="J530" s="27" t="n"/>
      <c r="K530" s="26" t="n"/>
      <c r="L530" s="26" t="n">
        <v>1</v>
      </c>
      <c r="M530" s="26" t="n"/>
      <c r="N530" s="26" t="inlineStr"/>
      <c r="O530" s="28">
        <f>IF(OR($J530="",$K530="",$M530=""),"",($J530+IF(AND($L530&gt;=2,$J530=5000),3000,0))*$K530*$M530)</f>
        <v/>
      </c>
      <c r="P530" s="26" t="inlineStr"/>
    </row>
    <row r="531">
      <c r="A531" s="25" t="n">
        <v>2</v>
      </c>
      <c r="B531" s="25" t="inlineStr">
        <is>
          <t>GROUPE DE FORMATION EN COMMERCE ET GESTION DES ENTREPRISES (CGE) SOUBRE</t>
        </is>
      </c>
      <c r="C531" s="25" t="inlineStr">
        <is>
          <t>Soubre</t>
        </is>
      </c>
      <c r="D531" s="25" t="inlineStr">
        <is>
          <t>+225 27 21 77 09 11</t>
        </is>
      </c>
      <c r="E531" s="25" t="inlineStr">
        <is>
          <t>+225 07 57 79 27 51</t>
        </is>
      </c>
      <c r="F531" s="25" t="inlineStr">
        <is>
          <t>groupecgesoubre@yahoo.com</t>
        </is>
      </c>
      <c r="G531" s="26" t="inlineStr"/>
      <c r="H531" s="26" t="inlineStr"/>
      <c r="I531" s="26" t="inlineStr">
        <is>
          <t>A contacter</t>
        </is>
      </c>
      <c r="J531" s="27" t="n"/>
      <c r="K531" s="26" t="n"/>
      <c r="L531" s="26" t="n">
        <v>1</v>
      </c>
      <c r="M531" s="26" t="n"/>
      <c r="N531" s="26" t="inlineStr"/>
      <c r="O531" s="28">
        <f>IF(OR($J531="",$K531="",$M531=""),"",($J531+IF(AND($L531&gt;=2,$J531=5000),3000,0))*$K531*$M531)</f>
        <v/>
      </c>
      <c r="P531" s="26" t="inlineStr"/>
    </row>
    <row r="532">
      <c r="A532" s="25" t="n">
        <v>2</v>
      </c>
      <c r="B532" s="25" t="inlineStr">
        <is>
          <t>GROUPE DE FORMATION EN COMMERCE ET GESTION DES ENTREPRISES DALOA (GROUPE CGE DALOA) (GCGE DALOA)</t>
        </is>
      </c>
      <c r="C532" s="25" t="inlineStr">
        <is>
          <t>Daloa</t>
        </is>
      </c>
      <c r="D532" s="25" t="inlineStr">
        <is>
          <t>+225 27 32 78 47 48</t>
        </is>
      </c>
      <c r="E532" s="25" t="inlineStr"/>
      <c r="F532" s="25" t="inlineStr">
        <is>
          <t>groupecgedaloa@yahoo.fr</t>
        </is>
      </c>
      <c r="G532" s="26" t="inlineStr"/>
      <c r="H532" s="26" t="inlineStr"/>
      <c r="I532" s="26" t="inlineStr">
        <is>
          <t>A contacter</t>
        </is>
      </c>
      <c r="J532" s="27" t="n"/>
      <c r="K532" s="26" t="n"/>
      <c r="L532" s="26" t="n">
        <v>1</v>
      </c>
      <c r="M532" s="26" t="n"/>
      <c r="N532" s="26" t="inlineStr"/>
      <c r="O532" s="28">
        <f>IF(OR($J532="",$K532="",$M532=""),"",($J532+IF(AND($L532&gt;=2,$J532=5000),3000,0))*$K532*$M532)</f>
        <v/>
      </c>
      <c r="P532" s="26" t="inlineStr"/>
    </row>
    <row r="533">
      <c r="A533" s="25" t="n">
        <v>2</v>
      </c>
      <c r="B533" s="25" t="inlineStr">
        <is>
          <t>GROUPE E-CAMBONOU</t>
        </is>
      </c>
      <c r="C533" s="25" t="inlineStr">
        <is>
          <t>Daloa</t>
        </is>
      </c>
      <c r="D533" s="25" t="inlineStr">
        <is>
          <t>+225 07 07 49 53 59</t>
        </is>
      </c>
      <c r="E533" s="25" t="inlineStr">
        <is>
          <t>+225 07 07 49 53 59</t>
        </is>
      </c>
      <c r="F533" s="25" t="inlineStr">
        <is>
          <t>groupe.ecambonou@gmail.com</t>
        </is>
      </c>
      <c r="G533" s="26" t="inlineStr"/>
      <c r="H533" s="26" t="inlineStr"/>
      <c r="I533" s="26" t="inlineStr">
        <is>
          <t>A contacter</t>
        </is>
      </c>
      <c r="J533" s="27" t="n"/>
      <c r="K533" s="26" t="n"/>
      <c r="L533" s="26" t="n">
        <v>1</v>
      </c>
      <c r="M533" s="26" t="n"/>
      <c r="N533" s="26" t="inlineStr"/>
      <c r="O533" s="28">
        <f>IF(OR($J533="",$K533="",$M533=""),"",($J533+IF(AND($L533&gt;=2,$J533=5000),3000,0))*$K533*$M533)</f>
        <v/>
      </c>
      <c r="P533" s="26" t="inlineStr"/>
    </row>
    <row r="534">
      <c r="A534" s="25" t="n">
        <v>2</v>
      </c>
      <c r="B534" s="25" t="inlineStr">
        <is>
          <t>GROUPE ECOLE DES HAUTES ETUDES DE GESTION BOUAKE (GROUPE EDHEG BOUAKE)</t>
        </is>
      </c>
      <c r="C534" s="25" t="inlineStr">
        <is>
          <t>Bouake</t>
        </is>
      </c>
      <c r="D534" s="25" t="inlineStr">
        <is>
          <t>+225 27 31 63 71 63</t>
        </is>
      </c>
      <c r="E534" s="25" t="inlineStr"/>
      <c r="F534" s="25" t="inlineStr">
        <is>
          <t>infos@gpeedhec-abidjan.com</t>
        </is>
      </c>
      <c r="G534" s="26" t="inlineStr"/>
      <c r="H534" s="26" t="inlineStr"/>
      <c r="I534" s="26" t="inlineStr">
        <is>
          <t>A contacter</t>
        </is>
      </c>
      <c r="J534" s="27" t="n"/>
      <c r="K534" s="26" t="n"/>
      <c r="L534" s="26" t="n">
        <v>1</v>
      </c>
      <c r="M534" s="26" t="n"/>
      <c r="N534" s="26" t="inlineStr"/>
      <c r="O534" s="28">
        <f>IF(OR($J534="",$K534="",$M534=""),"",($J534+IF(AND($L534&gt;=2,$J534=5000),3000,0))*$K534*$M534)</f>
        <v/>
      </c>
      <c r="P534" s="26" t="inlineStr"/>
    </row>
    <row r="535">
      <c r="A535" s="25" t="n">
        <v>2</v>
      </c>
      <c r="B535" s="25" t="inlineStr">
        <is>
          <t>GROUPE ECOLE DES HAUTES ETUDES DE GESTION SAN-PEDRO (GROUPE EDHEG SAN-PEDRO)</t>
        </is>
      </c>
      <c r="C535" s="25" t="inlineStr">
        <is>
          <t>San Pedro</t>
        </is>
      </c>
      <c r="D535" s="25" t="inlineStr">
        <is>
          <t>+225 27 34 71 20 38</t>
        </is>
      </c>
      <c r="E535" s="25" t="inlineStr"/>
      <c r="F535" s="25" t="inlineStr">
        <is>
          <t>edhecsanpedro@gmail.com</t>
        </is>
      </c>
      <c r="G535" s="26" t="inlineStr"/>
      <c r="H535" s="26" t="inlineStr"/>
      <c r="I535" s="26" t="inlineStr">
        <is>
          <t>A contacter</t>
        </is>
      </c>
      <c r="J535" s="27" t="n"/>
      <c r="K535" s="26" t="n"/>
      <c r="L535" s="26" t="n">
        <v>1</v>
      </c>
      <c r="M535" s="26" t="n"/>
      <c r="N535" s="26" t="inlineStr"/>
      <c r="O535" s="28">
        <f>IF(OR($J535="",$K535="",$M535=""),"",($J535+IF(AND($L535&gt;=2,$J535=5000),3000,0))*$K535*$M535)</f>
        <v/>
      </c>
      <c r="P535" s="26" t="inlineStr"/>
    </row>
    <row r="536">
      <c r="A536" s="25" t="n">
        <v>2</v>
      </c>
      <c r="B536" s="25" t="inlineStr">
        <is>
          <t>GROUPE ECOLE DES SCIENCES APPLIQUEES ET GESTION DES ENTREPRISES DE GAGNOA (GROUPE ESSA GAGNOA)</t>
        </is>
      </c>
      <c r="C536" s="25" t="inlineStr">
        <is>
          <t>Gagnoa</t>
        </is>
      </c>
      <c r="D536" s="25" t="inlineStr">
        <is>
          <t>+225 07 47 30 99 67</t>
        </is>
      </c>
      <c r="E536" s="25" t="inlineStr">
        <is>
          <t>+225 07 47 30 99 67</t>
        </is>
      </c>
      <c r="F536" s="25" t="inlineStr"/>
      <c r="G536" s="26" t="inlineStr"/>
      <c r="H536" s="26" t="inlineStr"/>
      <c r="I536" s="26" t="inlineStr">
        <is>
          <t>A contacter</t>
        </is>
      </c>
      <c r="J536" s="27" t="n"/>
      <c r="K536" s="26" t="n"/>
      <c r="L536" s="26" t="n">
        <v>1</v>
      </c>
      <c r="M536" s="26" t="n"/>
      <c r="N536" s="26" t="inlineStr"/>
      <c r="O536" s="28">
        <f>IF(OR($J536="",$K536="",$M536=""),"",($J536+IF(AND($L536&gt;=2,$J536=5000),3000,0))*$K536*$M536)</f>
        <v/>
      </c>
      <c r="P536" s="26" t="inlineStr"/>
    </row>
    <row r="537">
      <c r="A537" s="25" t="n">
        <v>2</v>
      </c>
      <c r="B537" s="25" t="inlineStr">
        <is>
          <t>GROUPE ECOLE INTERNATIONALE DE COMMERCE ET DE GESTION (GPE EICG)</t>
        </is>
      </c>
      <c r="C537" s="25" t="inlineStr">
        <is>
          <t>Bouake</t>
        </is>
      </c>
      <c r="D537" s="25" t="inlineStr"/>
      <c r="E537" s="25" t="inlineStr"/>
      <c r="F537" s="25" t="inlineStr">
        <is>
          <t>eicgbouake01@gmail.com</t>
        </is>
      </c>
      <c r="G537" s="26" t="inlineStr"/>
      <c r="H537" s="26" t="inlineStr"/>
      <c r="I537" s="26" t="inlineStr">
        <is>
          <t>A contacter</t>
        </is>
      </c>
      <c r="J537" s="27" t="n"/>
      <c r="K537" s="26" t="n"/>
      <c r="L537" s="26" t="n">
        <v>1</v>
      </c>
      <c r="M537" s="26" t="n"/>
      <c r="N537" s="26" t="inlineStr"/>
      <c r="O537" s="28">
        <f>IF(OR($J537="",$K537="",$M537=""),"",($J537+IF(AND($L537&gt;=2,$J537=5000),3000,0))*$K537*$M537)</f>
        <v/>
      </c>
      <c r="P537" s="26" t="inlineStr"/>
    </row>
    <row r="538">
      <c r="A538" s="25" t="n">
        <v>2</v>
      </c>
      <c r="B538" s="25" t="inlineStr">
        <is>
          <t>Groupe ESC (Ecole Superieure de Commerce)</t>
        </is>
      </c>
      <c r="C538" s="25" t="inlineStr">
        <is>
          <t>Abidjan - Cocody (pres INSAAC)</t>
        </is>
      </c>
      <c r="D538" s="25" t="inlineStr">
        <is>
          <t>+225 27 22 48 89 95</t>
        </is>
      </c>
      <c r="E538" s="25" t="inlineStr">
        <is>
          <t>+225 01 40 66 57 22</t>
        </is>
      </c>
      <c r="F538" s="25" t="inlineStr">
        <is>
          <t>info@esc-abj-bke.net</t>
        </is>
      </c>
      <c r="G538" s="26" t="inlineStr"/>
      <c r="H538" s="26" t="inlineStr"/>
      <c r="I538" s="26" t="inlineStr">
        <is>
          <t>A contacter</t>
        </is>
      </c>
      <c r="J538" s="27" t="n"/>
      <c r="K538" s="26" t="n"/>
      <c r="L538" s="26" t="n">
        <v>1</v>
      </c>
      <c r="M538" s="26" t="n"/>
      <c r="N538" s="26" t="inlineStr"/>
      <c r="O538" s="28">
        <f>IF(OR($J538="",$K538="",$M538=""),"",($J538+IF(AND($L538&gt;=2,$J538=5000),3000,0))*$K538*$M538)</f>
        <v/>
      </c>
      <c r="P538" s="26" t="inlineStr"/>
    </row>
    <row r="539">
      <c r="A539" s="25" t="n">
        <v>2</v>
      </c>
      <c r="B539" s="25" t="inlineStr">
        <is>
          <t>GROUPE ESC BOUAKE</t>
        </is>
      </c>
      <c r="C539" s="25" t="inlineStr">
        <is>
          <t>Bouake</t>
        </is>
      </c>
      <c r="D539" s="25" t="inlineStr">
        <is>
          <t>+225 27 31 60 66 07</t>
        </is>
      </c>
      <c r="E539" s="25" t="inlineStr"/>
      <c r="F539" s="25" t="inlineStr">
        <is>
          <t>escbouake@gmail.com</t>
        </is>
      </c>
      <c r="G539" s="26" t="inlineStr"/>
      <c r="H539" s="26" t="inlineStr"/>
      <c r="I539" s="26" t="inlineStr">
        <is>
          <t>A contacter</t>
        </is>
      </c>
      <c r="J539" s="27" t="n"/>
      <c r="K539" s="26" t="n"/>
      <c r="L539" s="26" t="n">
        <v>1</v>
      </c>
      <c r="M539" s="26" t="n"/>
      <c r="N539" s="26" t="inlineStr"/>
      <c r="O539" s="28">
        <f>IF(OR($J539="",$K539="",$M539=""),"",($J539+IF(AND($L539&gt;=2,$J539=5000),3000,0))*$K539*$M539)</f>
        <v/>
      </c>
      <c r="P539" s="26" t="inlineStr"/>
    </row>
    <row r="540">
      <c r="A540" s="25" t="n">
        <v>2</v>
      </c>
      <c r="B540" s="25" t="inlineStr">
        <is>
          <t>Groupe ESCAM - Ecole Superieure de Commerce d'Administration et de Management</t>
        </is>
      </c>
      <c r="C540" s="25" t="inlineStr">
        <is>
          <t>Abidjan - Cocody et Bingerville</t>
        </is>
      </c>
      <c r="D540" s="25" t="inlineStr">
        <is>
          <t>+225 05 46 10 56 04</t>
        </is>
      </c>
      <c r="E540" s="25" t="inlineStr"/>
      <c r="F540" s="25" t="inlineStr">
        <is>
          <t>groupeescam@gmail.com</t>
        </is>
      </c>
      <c r="G540" s="26" t="inlineStr"/>
      <c r="H540" s="26" t="inlineStr"/>
      <c r="I540" s="26" t="inlineStr">
        <is>
          <t>A contacter</t>
        </is>
      </c>
      <c r="J540" s="27" t="n"/>
      <c r="K540" s="26" t="n"/>
      <c r="L540" s="26" t="n">
        <v>1</v>
      </c>
      <c r="M540" s="26" t="n"/>
      <c r="N540" s="26" t="inlineStr"/>
      <c r="O540" s="28">
        <f>IF(OR($J540="",$K540="",$M540=""),"",($J540+IF(AND($L540&gt;=2,$J540=5000),3000,0))*$K540*$M540)</f>
        <v/>
      </c>
      <c r="P540" s="26" t="inlineStr"/>
    </row>
    <row r="541">
      <c r="A541" s="25" t="n">
        <v>2</v>
      </c>
      <c r="B541" s="25" t="inlineStr">
        <is>
          <t>Groupe ESCOGET - Ecole Superieure de Commerce de Gestion et de Technologie</t>
        </is>
      </c>
      <c r="C541" s="25" t="inlineStr">
        <is>
          <t>Abidjan - Plateau et Riviera Palmeraie</t>
        </is>
      </c>
      <c r="D541" s="25" t="inlineStr">
        <is>
          <t>+225 07 78 39 15 14</t>
        </is>
      </c>
      <c r="E541" s="25" t="inlineStr">
        <is>
          <t>+225 27 22 49 49 62</t>
        </is>
      </c>
      <c r="F541" s="25" t="inlineStr">
        <is>
          <t>info@groupescoget.com</t>
        </is>
      </c>
      <c r="G541" s="26" t="inlineStr"/>
      <c r="H541" s="26" t="inlineStr"/>
      <c r="I541" s="26" t="inlineStr">
        <is>
          <t>A contacter</t>
        </is>
      </c>
      <c r="J541" s="27" t="n"/>
      <c r="K541" s="26" t="n"/>
      <c r="L541" s="26" t="n">
        <v>1</v>
      </c>
      <c r="M541" s="26" t="n"/>
      <c r="N541" s="26" t="inlineStr"/>
      <c r="O541" s="28">
        <f>IF(OR($J541="",$K541="",$M541=""),"",($J541+IF(AND($L541&gt;=2,$J541=5000),3000,0))*$K541*$M541)</f>
        <v/>
      </c>
      <c r="P541" s="26" t="inlineStr"/>
    </row>
    <row r="542">
      <c r="A542" s="25" t="n">
        <v>2</v>
      </c>
      <c r="B542" s="25" t="inlineStr">
        <is>
          <t>Groupe ESICOM (Ecole Superieure d'Informatique et de Commerce)</t>
        </is>
      </c>
      <c r="C542" s="25" t="inlineStr">
        <is>
          <t>Abidjan - Plateau</t>
        </is>
      </c>
      <c r="D542" s="25" t="inlineStr">
        <is>
          <t>+225 27 20 21 40 13</t>
        </is>
      </c>
      <c r="E542" s="25" t="inlineStr">
        <is>
          <t>+225 01 01 32 46 09</t>
        </is>
      </c>
      <c r="F542" s="25" t="inlineStr"/>
      <c r="G542" s="26" t="inlineStr"/>
      <c r="H542" s="26" t="inlineStr"/>
      <c r="I542" s="26" t="inlineStr">
        <is>
          <t>A contacter</t>
        </is>
      </c>
      <c r="J542" s="27" t="n"/>
      <c r="K542" s="26" t="n"/>
      <c r="L542" s="26" t="n">
        <v>1</v>
      </c>
      <c r="M542" s="26" t="n"/>
      <c r="N542" s="26" t="inlineStr"/>
      <c r="O542" s="28">
        <f>IF(OR($J542="",$K542="",$M542=""),"",($J542+IF(AND($L542&gt;=2,$J542=5000),3000,0))*$K542*$M542)</f>
        <v/>
      </c>
      <c r="P542" s="26" t="inlineStr"/>
    </row>
    <row r="543">
      <c r="A543" s="25" t="n">
        <v>2</v>
      </c>
      <c r="B543" s="25" t="inlineStr">
        <is>
          <t>Groupe HEC Abidjan</t>
        </is>
      </c>
      <c r="C543" s="25" t="inlineStr">
        <is>
          <t>Abidjan - Cocody</t>
        </is>
      </c>
      <c r="D543" s="25" t="inlineStr">
        <is>
          <t>+225 07 88 01 01 01</t>
        </is>
      </c>
      <c r="E543" s="25" t="inlineStr">
        <is>
          <t>+225 07 88 01 01 01</t>
        </is>
      </c>
      <c r="F543" s="25" t="inlineStr">
        <is>
          <t>contact@hecabidjan.ci</t>
        </is>
      </c>
      <c r="G543" s="26" t="inlineStr"/>
      <c r="H543" s="26" t="inlineStr"/>
      <c r="I543" s="26" t="inlineStr">
        <is>
          <t>A contacter</t>
        </is>
      </c>
      <c r="J543" s="27" t="n"/>
      <c r="K543" s="26" t="n"/>
      <c r="L543" s="26" t="n">
        <v>1</v>
      </c>
      <c r="M543" s="26" t="n"/>
      <c r="N543" s="26" t="inlineStr"/>
      <c r="O543" s="28">
        <f>IF(OR($J543="",$K543="",$M543=""),"",($J543+IF(AND($L543&gt;=2,$J543=5000),3000,0))*$K543*$M543)</f>
        <v/>
      </c>
      <c r="P543" s="26" t="inlineStr"/>
    </row>
    <row r="544">
      <c r="A544" s="25" t="n">
        <v>2</v>
      </c>
      <c r="B544" s="25" t="inlineStr">
        <is>
          <t>Groupe HETEC</t>
        </is>
      </c>
      <c r="C544" s="25" t="inlineStr">
        <is>
          <t>Abidjan - Abobo Plateau Dokui</t>
        </is>
      </c>
      <c r="D544" s="25" t="inlineStr">
        <is>
          <t>+225 25 24 01 00 82</t>
        </is>
      </c>
      <c r="E544" s="25" t="inlineStr">
        <is>
          <t>+225 01 03 51 70 89</t>
        </is>
      </c>
      <c r="F544" s="25" t="inlineStr">
        <is>
          <t>info@groupehetec.net</t>
        </is>
      </c>
      <c r="G544" s="26" t="inlineStr"/>
      <c r="H544" s="26" t="inlineStr"/>
      <c r="I544" s="26" t="inlineStr">
        <is>
          <t>A contacter</t>
        </is>
      </c>
      <c r="J544" s="27" t="n"/>
      <c r="K544" s="26" t="n"/>
      <c r="L544" s="26" t="n">
        <v>1</v>
      </c>
      <c r="M544" s="26" t="n"/>
      <c r="N544" s="26" t="inlineStr"/>
      <c r="O544" s="28">
        <f>IF(OR($J544="",$K544="",$M544=""),"",($J544+IF(AND($L544&gt;=2,$J544=5000),3000,0))*$K544*$M544)</f>
        <v/>
      </c>
      <c r="P544" s="26" t="inlineStr"/>
    </row>
    <row r="545">
      <c r="A545" s="25" t="n">
        <v>2</v>
      </c>
      <c r="B545" s="25" t="inlineStr">
        <is>
          <t>GROUPE INTELLECT FORMATION DE SOUBRE (GIFS)</t>
        </is>
      </c>
      <c r="C545" s="25" t="inlineStr">
        <is>
          <t>Soubre</t>
        </is>
      </c>
      <c r="D545" s="25" t="inlineStr">
        <is>
          <t>+225 07 78 23 57 69</t>
        </is>
      </c>
      <c r="E545" s="25" t="inlineStr">
        <is>
          <t>+225 07 78 23 57 69</t>
        </is>
      </c>
      <c r="F545" s="25" t="inlineStr">
        <is>
          <t>gifs@gmail.com</t>
        </is>
      </c>
      <c r="G545" s="26" t="inlineStr"/>
      <c r="H545" s="26" t="inlineStr"/>
      <c r="I545" s="26" t="inlineStr">
        <is>
          <t>A contacter</t>
        </is>
      </c>
      <c r="J545" s="27" t="n"/>
      <c r="K545" s="26" t="n"/>
      <c r="L545" s="26" t="n">
        <v>1</v>
      </c>
      <c r="M545" s="26" t="n"/>
      <c r="N545" s="26" t="inlineStr"/>
      <c r="O545" s="28">
        <f>IF(OR($J545="",$K545="",$M545=""),"",($J545+IF(AND($L545&gt;=2,$J545=5000),3000,0))*$K545*$M545)</f>
        <v/>
      </c>
      <c r="P545" s="26" t="inlineStr"/>
    </row>
    <row r="546">
      <c r="A546" s="25" t="n">
        <v>2</v>
      </c>
      <c r="B546" s="25" t="inlineStr">
        <is>
          <t>GROUPE ITA-INGENIERIE SA ANTENNE BOUAKÉ (G2I BOUAKE)</t>
        </is>
      </c>
      <c r="C546" s="25" t="inlineStr">
        <is>
          <t>Bouake</t>
        </is>
      </c>
      <c r="D546" s="25" t="inlineStr">
        <is>
          <t>+225 07 09 28 00 56</t>
        </is>
      </c>
      <c r="E546" s="25" t="inlineStr">
        <is>
          <t>+225 07 09 28 00 56</t>
        </is>
      </c>
      <c r="F546" s="25" t="inlineStr">
        <is>
          <t>assehou2000@yahoo.fr</t>
        </is>
      </c>
      <c r="G546" s="26" t="inlineStr"/>
      <c r="H546" s="26" t="inlineStr"/>
      <c r="I546" s="26" t="inlineStr">
        <is>
          <t>A contacter</t>
        </is>
      </c>
      <c r="J546" s="27" t="n"/>
      <c r="K546" s="26" t="n"/>
      <c r="L546" s="26" t="n">
        <v>1</v>
      </c>
      <c r="M546" s="26" t="n"/>
      <c r="N546" s="26" t="inlineStr"/>
      <c r="O546" s="28">
        <f>IF(OR($J546="",$K546="",$M546=""),"",($J546+IF(AND($L546&gt;=2,$J546=5000),3000,0))*$K546*$M546)</f>
        <v/>
      </c>
      <c r="P546" s="26" t="inlineStr"/>
    </row>
    <row r="547">
      <c r="A547" s="25" t="n">
        <v>2</v>
      </c>
      <c r="B547" s="25" t="inlineStr">
        <is>
          <t>GROUPE ITA-INGENIERIE SA ANTENNE SAN-PEDRO (G2I SAN-PEDRO)</t>
        </is>
      </c>
      <c r="C547" s="25" t="inlineStr">
        <is>
          <t>San Pedro</t>
        </is>
      </c>
      <c r="D547" s="25" t="inlineStr">
        <is>
          <t>+225 27 34 71 02 92</t>
        </is>
      </c>
      <c r="E547" s="25" t="inlineStr">
        <is>
          <t>+225 07 08 83 11 57</t>
        </is>
      </c>
      <c r="F547" s="25" t="inlineStr"/>
      <c r="G547" s="26" t="inlineStr"/>
      <c r="H547" s="26" t="inlineStr"/>
      <c r="I547" s="26" t="inlineStr">
        <is>
          <t>A contacter</t>
        </is>
      </c>
      <c r="J547" s="27" t="n"/>
      <c r="K547" s="26" t="n"/>
      <c r="L547" s="26" t="n">
        <v>1</v>
      </c>
      <c r="M547" s="26" t="n"/>
      <c r="N547" s="26" t="inlineStr"/>
      <c r="O547" s="28">
        <f>IF(OR($J547="",$K547="",$M547=""),"",($J547+IF(AND($L547&gt;=2,$J547=5000),3000,0))*$K547*$M547)</f>
        <v/>
      </c>
      <c r="P547" s="26" t="inlineStr"/>
    </row>
    <row r="548">
      <c r="A548" s="25" t="n">
        <v>2</v>
      </c>
      <c r="B548" s="25" t="inlineStr">
        <is>
          <t>GROUPE ONYX EXCELLENCE ABENOUROU (GOEA)</t>
        </is>
      </c>
      <c r="C548" s="25" t="inlineStr">
        <is>
          <t>Abengourou</t>
        </is>
      </c>
      <c r="D548" s="25" t="inlineStr">
        <is>
          <t>+225 07 07 31 36 17</t>
        </is>
      </c>
      <c r="E548" s="25" t="inlineStr">
        <is>
          <t>+225 07 07 31 36 17</t>
        </is>
      </c>
      <c r="F548" s="25" t="inlineStr"/>
      <c r="G548" s="26" t="inlineStr"/>
      <c r="H548" s="26" t="inlineStr"/>
      <c r="I548" s="26" t="inlineStr">
        <is>
          <t>A contacter</t>
        </is>
      </c>
      <c r="J548" s="27" t="n"/>
      <c r="K548" s="26" t="n"/>
      <c r="L548" s="26" t="n">
        <v>1</v>
      </c>
      <c r="M548" s="26" t="n"/>
      <c r="N548" s="26" t="inlineStr"/>
      <c r="O548" s="28">
        <f>IF(OR($J548="",$K548="",$M548=""),"",($J548+IF(AND($L548&gt;=2,$J548=5000),3000,0))*$K548*$M548)</f>
        <v/>
      </c>
      <c r="P548" s="26" t="inlineStr"/>
    </row>
    <row r="549">
      <c r="A549" s="25" t="n">
        <v>2</v>
      </c>
      <c r="B549" s="25" t="inlineStr">
        <is>
          <t>GROUPE ONYX EXCELLENCE DALOA (GOED)</t>
        </is>
      </c>
      <c r="C549" s="25" t="inlineStr">
        <is>
          <t>Daloa</t>
        </is>
      </c>
      <c r="D549" s="25" t="inlineStr">
        <is>
          <t>+225 07 07 31 36 17</t>
        </is>
      </c>
      <c r="E549" s="25" t="inlineStr">
        <is>
          <t>+225 07 07 31 36 17</t>
        </is>
      </c>
      <c r="F549" s="25" t="inlineStr"/>
      <c r="G549" s="26" t="inlineStr"/>
      <c r="H549" s="26" t="inlineStr"/>
      <c r="I549" s="26" t="inlineStr">
        <is>
          <t>A contacter</t>
        </is>
      </c>
      <c r="J549" s="27" t="n"/>
      <c r="K549" s="26" t="n"/>
      <c r="L549" s="26" t="n">
        <v>1</v>
      </c>
      <c r="M549" s="26" t="n"/>
      <c r="N549" s="26" t="inlineStr"/>
      <c r="O549" s="28">
        <f>IF(OR($J549="",$K549="",$M549=""),"",($J549+IF(AND($L549&gt;=2,$J549=5000),3000,0))*$K549*$M549)</f>
        <v/>
      </c>
      <c r="P549" s="26" t="inlineStr"/>
    </row>
    <row r="550">
      <c r="A550" s="25" t="n">
        <v>2</v>
      </c>
      <c r="B550" s="25" t="inlineStr">
        <is>
          <t>GROUPE ONYX EXCELLENCE KORHOGO (GOEK)</t>
        </is>
      </c>
      <c r="C550" s="25" t="inlineStr">
        <is>
          <t>Korhogo</t>
        </is>
      </c>
      <c r="D550" s="25" t="inlineStr">
        <is>
          <t>+225 07 07 31 36 17</t>
        </is>
      </c>
      <c r="E550" s="25" t="inlineStr">
        <is>
          <t>+225 07 07 31 36 17</t>
        </is>
      </c>
      <c r="F550" s="25" t="inlineStr"/>
      <c r="G550" s="26" t="inlineStr"/>
      <c r="H550" s="26" t="inlineStr"/>
      <c r="I550" s="26" t="inlineStr">
        <is>
          <t>A contacter</t>
        </is>
      </c>
      <c r="J550" s="27" t="n"/>
      <c r="K550" s="26" t="n"/>
      <c r="L550" s="26" t="n">
        <v>1</v>
      </c>
      <c r="M550" s="26" t="n"/>
      <c r="N550" s="26" t="inlineStr"/>
      <c r="O550" s="28">
        <f>IF(OR($J550="",$K550="",$M550=""),"",($J550+IF(AND($L550&gt;=2,$J550=5000),3000,0))*$K550*$M550)</f>
        <v/>
      </c>
      <c r="P550" s="26" t="inlineStr"/>
    </row>
    <row r="551">
      <c r="A551" s="25" t="n">
        <v>2</v>
      </c>
      <c r="B551" s="25" t="inlineStr">
        <is>
          <t>GROUPE ONYX EXCELLENCE SAN-PEDRO (GOESP)</t>
        </is>
      </c>
      <c r="C551" s="25" t="inlineStr">
        <is>
          <t>San Pedro</t>
        </is>
      </c>
      <c r="D551" s="25" t="inlineStr">
        <is>
          <t>+225 07 07 31 36 17</t>
        </is>
      </c>
      <c r="E551" s="25" t="inlineStr">
        <is>
          <t>+225 07 07 31 36 17</t>
        </is>
      </c>
      <c r="F551" s="25" t="inlineStr"/>
      <c r="G551" s="26" t="inlineStr"/>
      <c r="H551" s="26" t="inlineStr"/>
      <c r="I551" s="26" t="inlineStr">
        <is>
          <t>A contacter</t>
        </is>
      </c>
      <c r="J551" s="27" t="n"/>
      <c r="K551" s="26" t="n"/>
      <c r="L551" s="26" t="n">
        <v>1</v>
      </c>
      <c r="M551" s="26" t="n"/>
      <c r="N551" s="26" t="inlineStr"/>
      <c r="O551" s="28">
        <f>IF(OR($J551="",$K551="",$M551=""),"",($J551+IF(AND($L551&gt;=2,$J551=5000),3000,0))*$K551*$M551)</f>
        <v/>
      </c>
      <c r="P551" s="26" t="inlineStr"/>
    </row>
    <row r="552">
      <c r="A552" s="25" t="n">
        <v>2</v>
      </c>
      <c r="B552" s="25" t="inlineStr">
        <is>
          <t>GROUPE YAL (GYAL) (GS YAL)</t>
        </is>
      </c>
      <c r="C552" s="25" t="inlineStr">
        <is>
          <t>Divo</t>
        </is>
      </c>
      <c r="D552" s="25" t="inlineStr">
        <is>
          <t>+225 07 48 90 81 33</t>
        </is>
      </c>
      <c r="E552" s="25" t="inlineStr">
        <is>
          <t>+225 07 48 90 81 33</t>
        </is>
      </c>
      <c r="F552" s="25" t="inlineStr">
        <is>
          <t>groupeyal@gmail.com</t>
        </is>
      </c>
      <c r="G552" s="26" t="inlineStr"/>
      <c r="H552" s="26" t="inlineStr"/>
      <c r="I552" s="26" t="inlineStr">
        <is>
          <t>A contacter</t>
        </is>
      </c>
      <c r="J552" s="27" t="n"/>
      <c r="K552" s="26" t="n"/>
      <c r="L552" s="26" t="n">
        <v>1</v>
      </c>
      <c r="M552" s="26" t="n"/>
      <c r="N552" s="26" t="inlineStr"/>
      <c r="O552" s="28">
        <f>IF(OR($J552="",$K552="",$M552=""),"",($J552+IF(AND($L552&gt;=2,$J552=5000),3000,0))*$K552*$M552)</f>
        <v/>
      </c>
      <c r="P552" s="26" t="inlineStr"/>
    </row>
    <row r="553">
      <c r="A553" s="25" t="n">
        <v>2</v>
      </c>
      <c r="B553" s="25" t="inlineStr">
        <is>
          <t>GSMA INPRAT MIADZIN ADZOPE</t>
        </is>
      </c>
      <c r="C553" s="25" t="inlineStr">
        <is>
          <t>Adzope</t>
        </is>
      </c>
      <c r="D553" s="25" t="inlineStr">
        <is>
          <t>+225 27 23 54 06 04</t>
        </is>
      </c>
      <c r="E553" s="25" t="inlineStr">
        <is>
          <t>+225 27 21 25 66 98</t>
        </is>
      </c>
      <c r="F553" s="25" t="inlineStr">
        <is>
          <t>gsmabj2012@gmail.com</t>
        </is>
      </c>
      <c r="G553" s="26" t="inlineStr"/>
      <c r="H553" s="26" t="inlineStr"/>
      <c r="I553" s="26" t="inlineStr">
        <is>
          <t>A contacter</t>
        </is>
      </c>
      <c r="J553" s="27" t="n"/>
      <c r="K553" s="26" t="n"/>
      <c r="L553" s="26" t="n">
        <v>1</v>
      </c>
      <c r="M553" s="26" t="n"/>
      <c r="N553" s="26" t="inlineStr"/>
      <c r="O553" s="28">
        <f>IF(OR($J553="",$K553="",$M553=""),"",($J553+IF(AND($L553&gt;=2,$J553=5000),3000,0))*$K553*$M553)</f>
        <v/>
      </c>
      <c r="P553" s="26" t="inlineStr"/>
    </row>
    <row r="554">
      <c r="A554" s="25" t="n">
        <v>2</v>
      </c>
      <c r="B554" s="25" t="inlineStr">
        <is>
          <t>GSMA-IETA</t>
        </is>
      </c>
      <c r="C554" s="25" t="inlineStr">
        <is>
          <t>Adzope</t>
        </is>
      </c>
      <c r="D554" s="25" t="inlineStr"/>
      <c r="E554" s="25" t="inlineStr"/>
      <c r="F554" s="25" t="inlineStr"/>
      <c r="G554" s="26" t="inlineStr"/>
      <c r="H554" s="26" t="inlineStr"/>
      <c r="I554" s="26" t="inlineStr">
        <is>
          <t>A contacter</t>
        </is>
      </c>
      <c r="J554" s="27" t="n"/>
      <c r="K554" s="26" t="n"/>
      <c r="L554" s="26" t="n">
        <v>1</v>
      </c>
      <c r="M554" s="26" t="n"/>
      <c r="N554" s="26" t="inlineStr"/>
      <c r="O554" s="28">
        <f>IF(OR($J554="",$K554="",$M554=""),"",($J554+IF(AND($L554&gt;=2,$J554=5000),3000,0))*$K554*$M554)</f>
        <v/>
      </c>
      <c r="P554" s="26" t="inlineStr"/>
    </row>
    <row r="555">
      <c r="A555" s="25" t="n">
        <v>2</v>
      </c>
      <c r="B555" s="25" t="inlineStr">
        <is>
          <t>HAUTE ECOLE GALILEE (HEG)</t>
        </is>
      </c>
      <c r="C555" s="25" t="inlineStr">
        <is>
          <t>Bassam</t>
        </is>
      </c>
      <c r="D555" s="25" t="inlineStr">
        <is>
          <t>+225 07 78 89 67 57</t>
        </is>
      </c>
      <c r="E555" s="25" t="inlineStr">
        <is>
          <t>+225 07 78 89 67 57</t>
        </is>
      </c>
      <c r="F555" s="25" t="inlineStr">
        <is>
          <t>infos@heg.ci</t>
        </is>
      </c>
      <c r="G555" s="26" t="inlineStr"/>
      <c r="H555" s="26" t="inlineStr"/>
      <c r="I555" s="26" t="inlineStr">
        <is>
          <t>A contacter</t>
        </is>
      </c>
      <c r="J555" s="27" t="n"/>
      <c r="K555" s="26" t="n"/>
      <c r="L555" s="26" t="n">
        <v>1</v>
      </c>
      <c r="M555" s="26" t="n"/>
      <c r="N555" s="26" t="inlineStr"/>
      <c r="O555" s="28">
        <f>IF(OR($J555="",$K555="",$M555=""),"",($J555+IF(AND($L555&gt;=2,$J555=5000),3000,0))*$K555*$M555)</f>
        <v/>
      </c>
      <c r="P555" s="26" t="inlineStr"/>
    </row>
    <row r="556">
      <c r="A556" s="25" t="n">
        <v>2</v>
      </c>
      <c r="B556" s="25" t="inlineStr">
        <is>
          <t>HAUTE ECOLE SUPERIEURE D'ADMINISTRATION DE COMMERCE ET DE MANAGEMENT (HT ESACOM)</t>
        </is>
      </c>
      <c r="C556" s="25" t="inlineStr">
        <is>
          <t>San Pedro</t>
        </is>
      </c>
      <c r="D556" s="25" t="inlineStr">
        <is>
          <t>+225 07 67 46 00 84</t>
        </is>
      </c>
      <c r="E556" s="25" t="inlineStr">
        <is>
          <t>+225 07 67 46 00 84</t>
        </is>
      </c>
      <c r="F556" s="25" t="inlineStr">
        <is>
          <t>e.htesacom@gmail.com</t>
        </is>
      </c>
      <c r="G556" s="26" t="inlineStr"/>
      <c r="H556" s="26" t="inlineStr"/>
      <c r="I556" s="26" t="inlineStr">
        <is>
          <t>A contacter</t>
        </is>
      </c>
      <c r="J556" s="27" t="n"/>
      <c r="K556" s="26" t="n"/>
      <c r="L556" s="26" t="n">
        <v>1</v>
      </c>
      <c r="M556" s="26" t="n"/>
      <c r="N556" s="26" t="inlineStr"/>
      <c r="O556" s="28">
        <f>IF(OR($J556="",$K556="",$M556=""),"",($J556+IF(AND($L556&gt;=2,$J556=5000),3000,0))*$K556*$M556)</f>
        <v/>
      </c>
      <c r="P556" s="26" t="inlineStr"/>
    </row>
    <row r="557">
      <c r="A557" s="25" t="n">
        <v>2</v>
      </c>
      <c r="B557" s="25" t="inlineStr">
        <is>
          <t>HAUTES ETUDES DE COMMERCE ET D'ADMINISTRATION DES ENTREPRISES YAMOUSSOUKRO (HEC-AD YAMOUSSOUKRO)</t>
        </is>
      </c>
      <c r="C557" s="25" t="inlineStr">
        <is>
          <t>Yamoussoukro</t>
        </is>
      </c>
      <c r="D557" s="25" t="inlineStr">
        <is>
          <t>+225 07 09 17 76 75</t>
        </is>
      </c>
      <c r="E557" s="25" t="inlineStr">
        <is>
          <t>+225 07 09 17 76 75</t>
        </is>
      </c>
      <c r="F557" s="25" t="inlineStr">
        <is>
          <t>assabou@yahoo.com</t>
        </is>
      </c>
      <c r="G557" s="26" t="inlineStr"/>
      <c r="H557" s="26" t="inlineStr"/>
      <c r="I557" s="26" t="inlineStr">
        <is>
          <t>A contacter</t>
        </is>
      </c>
      <c r="J557" s="27" t="n"/>
      <c r="K557" s="26" t="n"/>
      <c r="L557" s="26" t="n">
        <v>1</v>
      </c>
      <c r="M557" s="26" t="n"/>
      <c r="N557" s="26" t="inlineStr"/>
      <c r="O557" s="28">
        <f>IF(OR($J557="",$K557="",$M557=""),"",($J557+IF(AND($L557&gt;=2,$J557=5000),3000,0))*$K557*$M557)</f>
        <v/>
      </c>
      <c r="P557" s="26" t="inlineStr"/>
    </row>
    <row r="558">
      <c r="A558" s="25" t="n">
        <v>2</v>
      </c>
      <c r="B558" s="25" t="inlineStr">
        <is>
          <t>HAUTES ETUDES PROFESSIONNELLES (HEP)</t>
        </is>
      </c>
      <c r="C558" s="25" t="inlineStr">
        <is>
          <t>Bouake</t>
        </is>
      </c>
      <c r="D558" s="25" t="inlineStr">
        <is>
          <t>+225 27 31 63 20 52</t>
        </is>
      </c>
      <c r="E558" s="25" t="inlineStr">
        <is>
          <t>+225 07 48 28 21 50</t>
        </is>
      </c>
      <c r="F558" s="25" t="inlineStr">
        <is>
          <t>infos@groupeatlantique.com</t>
        </is>
      </c>
      <c r="G558" s="26" t="inlineStr"/>
      <c r="H558" s="26" t="inlineStr"/>
      <c r="I558" s="26" t="inlineStr">
        <is>
          <t>A contacter</t>
        </is>
      </c>
      <c r="J558" s="27" t="n"/>
      <c r="K558" s="26" t="n"/>
      <c r="L558" s="26" t="n">
        <v>1</v>
      </c>
      <c r="M558" s="26" t="n"/>
      <c r="N558" s="26" t="inlineStr"/>
      <c r="O558" s="28">
        <f>IF(OR($J558="",$K558="",$M558=""),"",($J558+IF(AND($L558&gt;=2,$J558=5000),3000,0))*$K558*$M558)</f>
        <v/>
      </c>
      <c r="P558" s="26" t="inlineStr"/>
    </row>
    <row r="559">
      <c r="A559" s="25" t="n">
        <v>2</v>
      </c>
      <c r="B559" s="25" t="inlineStr">
        <is>
          <t>HEC-AD N'ZUESSY YAMOUSSOUKRO</t>
        </is>
      </c>
      <c r="C559" s="25" t="inlineStr">
        <is>
          <t>Yamoussoukro</t>
        </is>
      </c>
      <c r="D559" s="25" t="inlineStr">
        <is>
          <t>+225 07 09 17 76 75</t>
        </is>
      </c>
      <c r="E559" s="25" t="inlineStr">
        <is>
          <t>+225 07 09 17 76 75</t>
        </is>
      </c>
      <c r="F559" s="25" t="inlineStr">
        <is>
          <t>hec_ad@yahoo.fr</t>
        </is>
      </c>
      <c r="G559" s="26" t="inlineStr"/>
      <c r="H559" s="26" t="inlineStr"/>
      <c r="I559" s="26" t="inlineStr">
        <is>
          <t>A contacter</t>
        </is>
      </c>
      <c r="J559" s="27" t="n"/>
      <c r="K559" s="26" t="n"/>
      <c r="L559" s="26" t="n">
        <v>1</v>
      </c>
      <c r="M559" s="26" t="n"/>
      <c r="N559" s="26" t="inlineStr"/>
      <c r="O559" s="28">
        <f>IF(OR($J559="",$K559="",$M559=""),"",($J559+IF(AND($L559&gt;=2,$J559=5000),3000,0))*$K559*$M559)</f>
        <v/>
      </c>
      <c r="P559" s="26" t="inlineStr"/>
    </row>
    <row r="560">
      <c r="A560" s="25" t="n">
        <v>2</v>
      </c>
      <c r="B560" s="25" t="inlineStr">
        <is>
          <t>HETEC BOUAKE</t>
        </is>
      </c>
      <c r="C560" s="25" t="inlineStr">
        <is>
          <t>Bouake</t>
        </is>
      </c>
      <c r="D560" s="25" t="inlineStr">
        <is>
          <t>+225 27 31 63 17 17</t>
        </is>
      </c>
      <c r="E560" s="25" t="inlineStr">
        <is>
          <t>+225 27 31 63 57 40</t>
        </is>
      </c>
      <c r="F560" s="25" t="inlineStr">
        <is>
          <t>hetecbouake@gmail.com</t>
        </is>
      </c>
      <c r="G560" s="26" t="inlineStr"/>
      <c r="H560" s="26" t="inlineStr"/>
      <c r="I560" s="26" t="inlineStr">
        <is>
          <t>A contacter</t>
        </is>
      </c>
      <c r="J560" s="27" t="n"/>
      <c r="K560" s="26" t="n"/>
      <c r="L560" s="26" t="n">
        <v>1</v>
      </c>
      <c r="M560" s="26" t="n"/>
      <c r="N560" s="26" t="inlineStr"/>
      <c r="O560" s="28">
        <f>IF(OR($J560="",$K560="",$M560=""),"",($J560+IF(AND($L560&gt;=2,$J560=5000),3000,0))*$K560*$M560)</f>
        <v/>
      </c>
      <c r="P560" s="26" t="inlineStr"/>
    </row>
    <row r="561">
      <c r="A561" s="25" t="n">
        <v>2</v>
      </c>
      <c r="B561" s="25" t="inlineStr">
        <is>
          <t>IESTP ABENGOUROU</t>
        </is>
      </c>
      <c r="C561" s="25" t="inlineStr">
        <is>
          <t>Abengourou</t>
        </is>
      </c>
      <c r="D561" s="25" t="inlineStr">
        <is>
          <t>+225 01 03 36 01 10</t>
        </is>
      </c>
      <c r="E561" s="25" t="inlineStr">
        <is>
          <t>+225 01 03 36 01 10</t>
        </is>
      </c>
      <c r="F561" s="25" t="inlineStr">
        <is>
          <t>abengiestpa@gmail.com</t>
        </is>
      </c>
      <c r="G561" s="26" t="inlineStr"/>
      <c r="H561" s="26" t="inlineStr"/>
      <c r="I561" s="26" t="inlineStr">
        <is>
          <t>A contacter</t>
        </is>
      </c>
      <c r="J561" s="27" t="n"/>
      <c r="K561" s="26" t="n"/>
      <c r="L561" s="26" t="n">
        <v>1</v>
      </c>
      <c r="M561" s="26" t="n"/>
      <c r="N561" s="26" t="inlineStr"/>
      <c r="O561" s="28">
        <f>IF(OR($J561="",$K561="",$M561=""),"",($J561+IF(AND($L561&gt;=2,$J561=5000),3000,0))*$K561*$M561)</f>
        <v/>
      </c>
      <c r="P561" s="26" t="inlineStr"/>
    </row>
    <row r="562">
      <c r="A562" s="25" t="n">
        <v>2</v>
      </c>
      <c r="B562" s="25" t="inlineStr">
        <is>
          <t>IFED - Institut de Formation et d'Education de Daloa</t>
        </is>
      </c>
      <c r="C562" s="25" t="inlineStr">
        <is>
          <t>Daloa</t>
        </is>
      </c>
      <c r="D562" s="25" t="inlineStr">
        <is>
          <t>+225 27 32 78 09 88</t>
        </is>
      </c>
      <c r="E562" s="25" t="inlineStr"/>
      <c r="F562" s="25" t="inlineStr"/>
      <c r="G562" s="26" t="inlineStr"/>
      <c r="H562" s="26" t="inlineStr"/>
      <c r="I562" s="26" t="inlineStr">
        <is>
          <t>A contacter</t>
        </is>
      </c>
      <c r="J562" s="27" t="n"/>
      <c r="K562" s="26" t="n"/>
      <c r="L562" s="26" t="n">
        <v>1</v>
      </c>
      <c r="M562" s="26" t="n"/>
      <c r="N562" s="26" t="inlineStr"/>
      <c r="O562" s="28">
        <f>IF(OR($J562="",$K562="",$M562=""),"",($J562+IF(AND($L562&gt;=2,$J562=5000),3000,0))*$K562*$M562)</f>
        <v/>
      </c>
      <c r="P562" s="26" t="inlineStr"/>
    </row>
    <row r="563">
      <c r="A563" s="25" t="n">
        <v>2</v>
      </c>
      <c r="B563" s="25" t="inlineStr">
        <is>
          <t>IFPAM</t>
        </is>
      </c>
      <c r="C563" s="25" t="inlineStr">
        <is>
          <t>Divo</t>
        </is>
      </c>
      <c r="D563" s="25" t="inlineStr">
        <is>
          <t>+225 27 32 76 33 69</t>
        </is>
      </c>
      <c r="E563" s="25" t="inlineStr">
        <is>
          <t>+225 07 07 84 50 38</t>
        </is>
      </c>
      <c r="F563" s="25" t="inlineStr">
        <is>
          <t>divoifpam@gmail.com</t>
        </is>
      </c>
      <c r="G563" s="26" t="inlineStr"/>
      <c r="H563" s="26" t="inlineStr"/>
      <c r="I563" s="26" t="inlineStr">
        <is>
          <t>A contacter</t>
        </is>
      </c>
      <c r="J563" s="27" t="n"/>
      <c r="K563" s="26" t="n"/>
      <c r="L563" s="26" t="n">
        <v>1</v>
      </c>
      <c r="M563" s="26" t="n"/>
      <c r="N563" s="26" t="inlineStr"/>
      <c r="O563" s="28">
        <f>IF(OR($J563="",$K563="",$M563=""),"",($J563+IF(AND($L563&gt;=2,$J563=5000),3000,0))*$K563*$M563)</f>
        <v/>
      </c>
      <c r="P563" s="26" t="inlineStr"/>
    </row>
    <row r="564">
      <c r="A564" s="25" t="n">
        <v>2</v>
      </c>
      <c r="B564" s="25" t="inlineStr">
        <is>
          <t>IHEM-SO BOUAKE</t>
        </is>
      </c>
      <c r="C564" s="25" t="inlineStr">
        <is>
          <t>Bouake</t>
        </is>
      </c>
      <c r="D564" s="25" t="inlineStr">
        <is>
          <t>+225 01 40 24 23 10</t>
        </is>
      </c>
      <c r="E564" s="25" t="inlineStr">
        <is>
          <t>+225 01 40 24 23 10</t>
        </is>
      </c>
      <c r="F564" s="25" t="inlineStr">
        <is>
          <t>ihemsobouake@yahoo.fr</t>
        </is>
      </c>
      <c r="G564" s="26" t="inlineStr"/>
      <c r="H564" s="26" t="inlineStr"/>
      <c r="I564" s="26" t="inlineStr">
        <is>
          <t>A contacter</t>
        </is>
      </c>
      <c r="J564" s="27" t="n"/>
      <c r="K564" s="26" t="n"/>
      <c r="L564" s="26" t="n">
        <v>1</v>
      </c>
      <c r="M564" s="26" t="n"/>
      <c r="N564" s="26" t="inlineStr"/>
      <c r="O564" s="28">
        <f>IF(OR($J564="",$K564="",$M564=""),"",($J564+IF(AND($L564&gt;=2,$J564=5000),3000,0))*$K564*$M564)</f>
        <v/>
      </c>
      <c r="P564" s="26" t="inlineStr"/>
    </row>
    <row r="565">
      <c r="A565" s="25" t="n">
        <v>2</v>
      </c>
      <c r="B565" s="25" t="inlineStr">
        <is>
          <t>IIT - Institut Ivoirien de Technologie</t>
        </is>
      </c>
      <c r="C565" s="25" t="inlineStr">
        <is>
          <t>Grand-Bassam</t>
        </is>
      </c>
      <c r="D565" s="25" t="inlineStr">
        <is>
          <t>+225 01 53 15 15 15</t>
        </is>
      </c>
      <c r="E565" s="25" t="inlineStr"/>
      <c r="F565" s="25" t="inlineStr">
        <is>
          <t>contact@iit.ci</t>
        </is>
      </c>
      <c r="G565" s="26" t="inlineStr"/>
      <c r="H565" s="26" t="inlineStr"/>
      <c r="I565" s="26" t="inlineStr">
        <is>
          <t>A contacter</t>
        </is>
      </c>
      <c r="J565" s="27" t="n"/>
      <c r="K565" s="26" t="n"/>
      <c r="L565" s="26" t="n">
        <v>1</v>
      </c>
      <c r="M565" s="26" t="n"/>
      <c r="N565" s="26" t="inlineStr"/>
      <c r="O565" s="28">
        <f>IF(OR($J565="",$K565="",$M565=""),"",($J565+IF(AND($L565&gt;=2,$J565=5000),3000,0))*$K565*$M565)</f>
        <v/>
      </c>
      <c r="P565" s="26" t="inlineStr"/>
    </row>
    <row r="566">
      <c r="A566" s="25" t="n">
        <v>2</v>
      </c>
      <c r="B566" s="25" t="inlineStr">
        <is>
          <t>IMBA INTERNATIONAL BUSINESS SCHOOL</t>
        </is>
      </c>
      <c r="C566" s="25" t="inlineStr">
        <is>
          <t>Bingerville</t>
        </is>
      </c>
      <c r="D566" s="25" t="inlineStr">
        <is>
          <t>+225 27 21 20 08 18</t>
        </is>
      </c>
      <c r="E566" s="25" t="inlineStr">
        <is>
          <t>+225 07 07 96 83 03</t>
        </is>
      </c>
      <c r="F566" s="25" t="inlineStr">
        <is>
          <t>info@imbabusinessschool.ci</t>
        </is>
      </c>
      <c r="G566" s="26" t="inlineStr"/>
      <c r="H566" s="26" t="inlineStr"/>
      <c r="I566" s="26" t="inlineStr">
        <is>
          <t>A contacter</t>
        </is>
      </c>
      <c r="J566" s="27" t="n"/>
      <c r="K566" s="26" t="n"/>
      <c r="L566" s="26" t="n">
        <v>1</v>
      </c>
      <c r="M566" s="26" t="n"/>
      <c r="N566" s="26" t="inlineStr"/>
      <c r="O566" s="28">
        <f>IF(OR($J566="",$K566="",$M566=""),"",($J566+IF(AND($L566&gt;=2,$J566=5000),3000,0))*$K566*$M566)</f>
        <v/>
      </c>
      <c r="P566" s="26" t="inlineStr"/>
    </row>
    <row r="567">
      <c r="A567" s="25" t="n">
        <v>2</v>
      </c>
      <c r="B567" s="25" t="inlineStr">
        <is>
          <t>IMS - Institut de Management Superieur (GEA)</t>
        </is>
      </c>
      <c r="C567" s="25" t="inlineStr">
        <is>
          <t>Abidjan - Cocody Deux-Plateaux Vallon</t>
        </is>
      </c>
      <c r="D567" s="25" t="inlineStr">
        <is>
          <t>+225 27 22 41 36 49</t>
        </is>
      </c>
      <c r="E567" s="25" t="inlineStr">
        <is>
          <t>+225 07 49 93 40 68</t>
        </is>
      </c>
      <c r="F567" s="25" t="inlineStr"/>
      <c r="G567" s="26" t="inlineStr"/>
      <c r="H567" s="26" t="inlineStr"/>
      <c r="I567" s="26" t="inlineStr">
        <is>
          <t>A contacter</t>
        </is>
      </c>
      <c r="J567" s="27" t="n"/>
      <c r="K567" s="26" t="n"/>
      <c r="L567" s="26" t="n">
        <v>1</v>
      </c>
      <c r="M567" s="26" t="n"/>
      <c r="N567" s="26" t="inlineStr"/>
      <c r="O567" s="28">
        <f>IF(OR($J567="",$K567="",$M567=""),"",($J567+IF(AND($L567&gt;=2,$J567=5000),3000,0))*$K567*$M567)</f>
        <v/>
      </c>
      <c r="P567" s="26" t="inlineStr"/>
    </row>
    <row r="568">
      <c r="A568" s="25" t="n">
        <v>2</v>
      </c>
      <c r="B568" s="25" t="inlineStr">
        <is>
          <t>INSITUT SUPERIEUR DE FORMATION AKA KOUAME (ISFAK)</t>
        </is>
      </c>
      <c r="C568" s="25" t="inlineStr">
        <is>
          <t>Akoupe</t>
        </is>
      </c>
      <c r="D568" s="25" t="inlineStr">
        <is>
          <t>+225 01 02 03 79 65</t>
        </is>
      </c>
      <c r="E568" s="25" t="inlineStr">
        <is>
          <t>+225 01 02 03 79 65</t>
        </is>
      </c>
      <c r="F568" s="25" t="inlineStr"/>
      <c r="G568" s="26" t="inlineStr"/>
      <c r="H568" s="26" t="inlineStr"/>
      <c r="I568" s="26" t="inlineStr">
        <is>
          <t>A contacter</t>
        </is>
      </c>
      <c r="J568" s="27" t="n"/>
      <c r="K568" s="26" t="n"/>
      <c r="L568" s="26" t="n">
        <v>1</v>
      </c>
      <c r="M568" s="26" t="n"/>
      <c r="N568" s="26" t="inlineStr"/>
      <c r="O568" s="28">
        <f>IF(OR($J568="",$K568="",$M568=""),"",($J568+IF(AND($L568&gt;=2,$J568=5000),3000,0))*$K568*$M568)</f>
        <v/>
      </c>
      <c r="P568" s="26" t="inlineStr"/>
    </row>
    <row r="569">
      <c r="A569" s="25" t="n">
        <v>2</v>
      </c>
      <c r="B569" s="25" t="inlineStr">
        <is>
          <t>INSTITUT BENIS SUCCES FORMATION D'AFRIQUE (IBSFA-ADIAKE)</t>
        </is>
      </c>
      <c r="C569" s="25" t="inlineStr">
        <is>
          <t>Adiake</t>
        </is>
      </c>
      <c r="D569" s="25" t="inlineStr">
        <is>
          <t>+225 27 22 41 75 45</t>
        </is>
      </c>
      <c r="E569" s="25" t="inlineStr">
        <is>
          <t>+225 01 01 10 13 01</t>
        </is>
      </c>
      <c r="F569" s="25" t="inlineStr"/>
      <c r="G569" s="26" t="inlineStr"/>
      <c r="H569" s="26" t="inlineStr"/>
      <c r="I569" s="26" t="inlineStr">
        <is>
          <t>A contacter</t>
        </is>
      </c>
      <c r="J569" s="27" t="n"/>
      <c r="K569" s="26" t="n"/>
      <c r="L569" s="26" t="n">
        <v>1</v>
      </c>
      <c r="M569" s="26" t="n"/>
      <c r="N569" s="26" t="inlineStr"/>
      <c r="O569" s="28">
        <f>IF(OR($J569="",$K569="",$M569=""),"",($J569+IF(AND($L569&gt;=2,$J569=5000),3000,0))*$K569*$M569)</f>
        <v/>
      </c>
      <c r="P569" s="26" t="inlineStr"/>
    </row>
    <row r="570">
      <c r="A570" s="25" t="n">
        <v>2</v>
      </c>
      <c r="B570" s="25" t="inlineStr">
        <is>
          <t>Institut Booster Afrique</t>
        </is>
      </c>
      <c r="C570" s="25" t="inlineStr">
        <is>
          <t>Abidjan - Cocody Angre Chateau</t>
        </is>
      </c>
      <c r="D570" s="25" t="inlineStr">
        <is>
          <t>+225 07 08 06 04 89</t>
        </is>
      </c>
      <c r="E570" s="25" t="inlineStr">
        <is>
          <t>+225 01 03 33 92 09</t>
        </is>
      </c>
      <c r="F570" s="25" t="inlineStr"/>
      <c r="G570" s="26" t="inlineStr"/>
      <c r="H570" s="26" t="inlineStr"/>
      <c r="I570" s="26" t="inlineStr">
        <is>
          <t>A contacter</t>
        </is>
      </c>
      <c r="J570" s="27" t="n"/>
      <c r="K570" s="26" t="n"/>
      <c r="L570" s="26" t="n">
        <v>1</v>
      </c>
      <c r="M570" s="26" t="n"/>
      <c r="N570" s="26" t="inlineStr"/>
      <c r="O570" s="28">
        <f>IF(OR($J570="",$K570="",$M570=""),"",($J570+IF(AND($L570&gt;=2,$J570=5000),3000,0))*$K570*$M570)</f>
        <v/>
      </c>
      <c r="P570" s="26" t="inlineStr"/>
    </row>
    <row r="571">
      <c r="A571" s="25" t="n">
        <v>2</v>
      </c>
      <c r="B571" s="25" t="inlineStr">
        <is>
          <t>INSTITUT D'ENSEIGNEMENT SUPERIEUR EYLIM (IESE)</t>
        </is>
      </c>
      <c r="C571" s="25" t="inlineStr">
        <is>
          <t>Yamoussoukro</t>
        </is>
      </c>
      <c r="D571" s="25" t="inlineStr">
        <is>
          <t>+225 05 85 82 52 62</t>
        </is>
      </c>
      <c r="E571" s="25" t="inlineStr">
        <is>
          <t>+225 05 85 82 52 62</t>
        </is>
      </c>
      <c r="F571" s="25" t="inlineStr">
        <is>
          <t>info@groupeeylim.ci</t>
        </is>
      </c>
      <c r="G571" s="26" t="inlineStr"/>
      <c r="H571" s="26" t="inlineStr"/>
      <c r="I571" s="26" t="inlineStr">
        <is>
          <t>A contacter</t>
        </is>
      </c>
      <c r="J571" s="27" t="n"/>
      <c r="K571" s="26" t="n"/>
      <c r="L571" s="26" t="n">
        <v>1</v>
      </c>
      <c r="M571" s="26" t="n"/>
      <c r="N571" s="26" t="inlineStr"/>
      <c r="O571" s="28">
        <f>IF(OR($J571="",$K571="",$M571=""),"",($J571+IF(AND($L571&gt;=2,$J571=5000),3000,0))*$K571*$M571)</f>
        <v/>
      </c>
      <c r="P571" s="26" t="inlineStr"/>
    </row>
    <row r="572">
      <c r="A572" s="25" t="n">
        <v>2</v>
      </c>
      <c r="B572" s="25" t="inlineStr">
        <is>
          <t>INSTITUT D'ENSEIGNEMENT SUPERIEUR LE CAMPUS BOUAKE (IES-LE CAMPUS BOUAKE)</t>
        </is>
      </c>
      <c r="C572" s="25" t="inlineStr">
        <is>
          <t>Bouake</t>
        </is>
      </c>
      <c r="D572" s="25" t="inlineStr">
        <is>
          <t>+225 07 99 23 63 83</t>
        </is>
      </c>
      <c r="E572" s="25" t="inlineStr">
        <is>
          <t>+225 07 99 23 63 83</t>
        </is>
      </c>
      <c r="F572" s="25" t="inlineStr">
        <is>
          <t>ieslecampusbouake@gmail.com</t>
        </is>
      </c>
      <c r="G572" s="26" t="inlineStr"/>
      <c r="H572" s="26" t="inlineStr"/>
      <c r="I572" s="26" t="inlineStr">
        <is>
          <t>A contacter</t>
        </is>
      </c>
      <c r="J572" s="27" t="n"/>
      <c r="K572" s="26" t="n"/>
      <c r="L572" s="26" t="n">
        <v>1</v>
      </c>
      <c r="M572" s="26" t="n"/>
      <c r="N572" s="26" t="inlineStr"/>
      <c r="O572" s="28">
        <f>IF(OR($J572="",$K572="",$M572=""),"",($J572+IF(AND($L572&gt;=2,$J572=5000),3000,0))*$K572*$M572)</f>
        <v/>
      </c>
      <c r="P572" s="26" t="inlineStr"/>
    </row>
    <row r="573">
      <c r="A573" s="25" t="n">
        <v>2</v>
      </c>
      <c r="B573" s="25" t="inlineStr">
        <is>
          <t>INSTITUT D'ENSEIGNEMENT SUPERIEUR LE CAMPUS MAN (IES-LE CAMPUS MAN)</t>
        </is>
      </c>
      <c r="C573" s="25" t="inlineStr">
        <is>
          <t>Man</t>
        </is>
      </c>
      <c r="D573" s="25" t="inlineStr">
        <is>
          <t>+225 07 03 91 76 91</t>
        </is>
      </c>
      <c r="E573" s="25" t="inlineStr">
        <is>
          <t>+225 07 03 91 76 91</t>
        </is>
      </c>
      <c r="F573" s="25" t="inlineStr">
        <is>
          <t>ieslecampusman@gmail.com</t>
        </is>
      </c>
      <c r="G573" s="26" t="inlineStr"/>
      <c r="H573" s="26" t="inlineStr"/>
      <c r="I573" s="26" t="inlineStr">
        <is>
          <t>A contacter</t>
        </is>
      </c>
      <c r="J573" s="27" t="n"/>
      <c r="K573" s="26" t="n"/>
      <c r="L573" s="26" t="n">
        <v>1</v>
      </c>
      <c r="M573" s="26" t="n"/>
      <c r="N573" s="26" t="inlineStr"/>
      <c r="O573" s="28">
        <f>IF(OR($J573="",$K573="",$M573=""),"",($J573+IF(AND($L573&gt;=2,$J573=5000),3000,0))*$K573*$M573)</f>
        <v/>
      </c>
      <c r="P573" s="26" t="inlineStr"/>
    </row>
    <row r="574">
      <c r="A574" s="25" t="n">
        <v>2</v>
      </c>
      <c r="B574" s="25" t="inlineStr">
        <is>
          <t>INSTITUT DE FORMATION AGROBIO (GROUPE IFA)</t>
        </is>
      </c>
      <c r="C574" s="25" t="inlineStr">
        <is>
          <t>Yamoussoukro</t>
        </is>
      </c>
      <c r="D574" s="25" t="inlineStr"/>
      <c r="E574" s="25" t="inlineStr"/>
      <c r="F574" s="25" t="inlineStr"/>
      <c r="G574" s="26" t="inlineStr"/>
      <c r="H574" s="26" t="inlineStr"/>
      <c r="I574" s="26" t="inlineStr">
        <is>
          <t>A contacter</t>
        </is>
      </c>
      <c r="J574" s="27" t="n"/>
      <c r="K574" s="26" t="n"/>
      <c r="L574" s="26" t="n">
        <v>1</v>
      </c>
      <c r="M574" s="26" t="n"/>
      <c r="N574" s="26" t="inlineStr"/>
      <c r="O574" s="28">
        <f>IF(OR($J574="",$K574="",$M574=""),"",($J574+IF(AND($L574&gt;=2,$J574=5000),3000,0))*$K574*$M574)</f>
        <v/>
      </c>
      <c r="P574" s="26" t="inlineStr"/>
    </row>
    <row r="575">
      <c r="A575" s="25" t="n">
        <v>2</v>
      </c>
      <c r="B575" s="25" t="inlineStr">
        <is>
          <t>INSTITUT DE FORMATION AGROBIO (IFA)</t>
        </is>
      </c>
      <c r="C575" s="25" t="inlineStr">
        <is>
          <t>Yamoussoukro</t>
        </is>
      </c>
      <c r="D575" s="25" t="inlineStr">
        <is>
          <t>+225 07 79 90 13 18</t>
        </is>
      </c>
      <c r="E575" s="25" t="inlineStr">
        <is>
          <t>+225 07 79 90 13 18</t>
        </is>
      </c>
      <c r="F575" s="25" t="inlineStr"/>
      <c r="G575" s="26" t="inlineStr"/>
      <c r="H575" s="26" t="inlineStr"/>
      <c r="I575" s="26" t="inlineStr">
        <is>
          <t>A contacter</t>
        </is>
      </c>
      <c r="J575" s="27" t="n"/>
      <c r="K575" s="26" t="n"/>
      <c r="L575" s="26" t="n">
        <v>1</v>
      </c>
      <c r="M575" s="26" t="n"/>
      <c r="N575" s="26" t="inlineStr"/>
      <c r="O575" s="28">
        <f>IF(OR($J575="",$K575="",$M575=""),"",($J575+IF(AND($L575&gt;=2,$J575=5000),3000,0))*$K575*$M575)</f>
        <v/>
      </c>
      <c r="P575" s="26" t="inlineStr"/>
    </row>
    <row r="576">
      <c r="A576" s="25" t="n">
        <v>2</v>
      </c>
      <c r="B576" s="25" t="inlineStr">
        <is>
          <t>INSTITUT DE FORMATION AUX METIERS (IMF) DABOU</t>
        </is>
      </c>
      <c r="C576" s="25" t="inlineStr">
        <is>
          <t>Dabou</t>
        </is>
      </c>
      <c r="D576" s="25" t="inlineStr">
        <is>
          <t>+225 05 05 09 36 65</t>
        </is>
      </c>
      <c r="E576" s="25" t="inlineStr">
        <is>
          <t>+225 05 05 09 36 65</t>
        </is>
      </c>
      <c r="F576" s="25" t="inlineStr">
        <is>
          <t>cjuslin@yahoo.fr</t>
        </is>
      </c>
      <c r="G576" s="26" t="inlineStr"/>
      <c r="H576" s="26" t="inlineStr"/>
      <c r="I576" s="26" t="inlineStr">
        <is>
          <t>A contacter</t>
        </is>
      </c>
      <c r="J576" s="27" t="n"/>
      <c r="K576" s="26" t="n"/>
      <c r="L576" s="26" t="n">
        <v>1</v>
      </c>
      <c r="M576" s="26" t="n"/>
      <c r="N576" s="26" t="inlineStr"/>
      <c r="O576" s="28">
        <f>IF(OR($J576="",$K576="",$M576=""),"",($J576+IF(AND($L576&gt;=2,$J576=5000),3000,0))*$K576*$M576)</f>
        <v/>
      </c>
      <c r="P576" s="26" t="inlineStr"/>
    </row>
    <row r="577">
      <c r="A577" s="25" t="n">
        <v>2</v>
      </c>
      <c r="B577" s="25" t="inlineStr">
        <is>
          <t>INSTITUT DE FORMATION CEFAT INTER BONDOUKOU (IFCI)</t>
        </is>
      </c>
      <c r="C577" s="25" t="inlineStr">
        <is>
          <t>Bondoukou</t>
        </is>
      </c>
      <c r="D577" s="25" t="inlineStr">
        <is>
          <t>+225 07 68 02 98 04</t>
        </is>
      </c>
      <c r="E577" s="25" t="inlineStr">
        <is>
          <t>+225 07 68 02 98 04</t>
        </is>
      </c>
      <c r="F577" s="25" t="inlineStr">
        <is>
          <t>aessehonore@gmail.com</t>
        </is>
      </c>
      <c r="G577" s="26" t="inlineStr"/>
      <c r="H577" s="26" t="inlineStr"/>
      <c r="I577" s="26" t="inlineStr">
        <is>
          <t>A contacter</t>
        </is>
      </c>
      <c r="J577" s="27" t="n"/>
      <c r="K577" s="26" t="n"/>
      <c r="L577" s="26" t="n">
        <v>1</v>
      </c>
      <c r="M577" s="26" t="n"/>
      <c r="N577" s="26" t="inlineStr"/>
      <c r="O577" s="28">
        <f>IF(OR($J577="",$K577="",$M577=""),"",($J577+IF(AND($L577&gt;=2,$J577=5000),3000,0))*$K577*$M577)</f>
        <v/>
      </c>
      <c r="P577" s="26" t="inlineStr"/>
    </row>
    <row r="578">
      <c r="A578" s="25" t="n">
        <v>2</v>
      </c>
      <c r="B578" s="25" t="inlineStr">
        <is>
          <t>INSTITUT DE FORMATION PROFESSIONNELLE AGRICOLE D'ADIAKE (IFPA ADIAKE)</t>
        </is>
      </c>
      <c r="C578" s="25" t="inlineStr">
        <is>
          <t>Adiake</t>
        </is>
      </c>
      <c r="D578" s="25" t="inlineStr"/>
      <c r="E578" s="25" t="inlineStr"/>
      <c r="F578" s="25" t="inlineStr">
        <is>
          <t>ifp2a2012@gmail.com</t>
        </is>
      </c>
      <c r="G578" s="26" t="inlineStr"/>
      <c r="H578" s="26" t="inlineStr"/>
      <c r="I578" s="26" t="inlineStr">
        <is>
          <t>A contacter</t>
        </is>
      </c>
      <c r="J578" s="27" t="n"/>
      <c r="K578" s="26" t="n"/>
      <c r="L578" s="26" t="n">
        <v>1</v>
      </c>
      <c r="M578" s="26" t="n"/>
      <c r="N578" s="26" t="inlineStr"/>
      <c r="O578" s="28">
        <f>IF(OR($J578="",$K578="",$M578=""),"",($J578+IF(AND($L578&gt;=2,$J578=5000),3000,0))*$K578*$M578)</f>
        <v/>
      </c>
      <c r="P578" s="26" t="inlineStr"/>
    </row>
    <row r="579">
      <c r="A579" s="25" t="n">
        <v>2</v>
      </c>
      <c r="B579" s="25" t="inlineStr">
        <is>
          <t>INSTITUT DE FORMATION PROFESSIONNELLE ET GENERALE/INSTITUT SUPERIEUR DE FORMATION TECHNIQUE ET PROFESSIONNELLE KORHOGO (IFPG/ISFPT KORHOGO)</t>
        </is>
      </c>
      <c r="C579" s="25" t="inlineStr">
        <is>
          <t>Korhogo</t>
        </is>
      </c>
      <c r="D579" s="25" t="inlineStr">
        <is>
          <t>+225 27 36 86 01 22</t>
        </is>
      </c>
      <c r="E579" s="25" t="inlineStr"/>
      <c r="F579" s="25" t="inlineStr">
        <is>
          <t>ifpg2012@yahoo.fr</t>
        </is>
      </c>
      <c r="G579" s="26" t="inlineStr"/>
      <c r="H579" s="26" t="inlineStr"/>
      <c r="I579" s="26" t="inlineStr">
        <is>
          <t>A contacter</t>
        </is>
      </c>
      <c r="J579" s="27" t="n"/>
      <c r="K579" s="26" t="n"/>
      <c r="L579" s="26" t="n">
        <v>1</v>
      </c>
      <c r="M579" s="26" t="n"/>
      <c r="N579" s="26" t="inlineStr"/>
      <c r="O579" s="28">
        <f>IF(OR($J579="",$K579="",$M579=""),"",($J579+IF(AND($L579&gt;=2,$J579=5000),3000,0))*$K579*$M579)</f>
        <v/>
      </c>
      <c r="P579" s="26" t="inlineStr"/>
    </row>
    <row r="580">
      <c r="A580" s="25" t="n">
        <v>2</v>
      </c>
      <c r="B580" s="25" t="inlineStr">
        <is>
          <t>INSTITUT DE FORMATION SUPERIEUR ICK BOUAKE (IFS-ICK)</t>
        </is>
      </c>
      <c r="C580" s="25" t="inlineStr">
        <is>
          <t>Bouake</t>
        </is>
      </c>
      <c r="D580" s="25" t="inlineStr">
        <is>
          <t>+225 07 07 59 53 73</t>
        </is>
      </c>
      <c r="E580" s="25" t="inlineStr">
        <is>
          <t>+225 07 07 59 53 73</t>
        </is>
      </c>
      <c r="F580" s="25" t="inlineStr">
        <is>
          <t>institutipf@yahoo.fr</t>
        </is>
      </c>
      <c r="G580" s="26" t="inlineStr"/>
      <c r="H580" s="26" t="inlineStr"/>
      <c r="I580" s="26" t="inlineStr">
        <is>
          <t>A contacter</t>
        </is>
      </c>
      <c r="J580" s="27" t="n"/>
      <c r="K580" s="26" t="n"/>
      <c r="L580" s="26" t="n">
        <v>1</v>
      </c>
      <c r="M580" s="26" t="n"/>
      <c r="N580" s="26" t="inlineStr"/>
      <c r="O580" s="28">
        <f>IF(OR($J580="",$K580="",$M580=""),"",($J580+IF(AND($L580&gt;=2,$J580=5000),3000,0))*$K580*$M580)</f>
        <v/>
      </c>
      <c r="P580" s="26" t="inlineStr"/>
    </row>
    <row r="581">
      <c r="A581" s="25" t="n">
        <v>2</v>
      </c>
      <c r="B581" s="25" t="inlineStr">
        <is>
          <t>INSTITUT DES HAUTES ETUDES EN DIGITAL ET EN COMMUNICATION (IHEDC)</t>
        </is>
      </c>
      <c r="C581" s="25" t="inlineStr">
        <is>
          <t>Bassam</t>
        </is>
      </c>
      <c r="D581" s="25" t="inlineStr">
        <is>
          <t>+225 07 58 08 19 21</t>
        </is>
      </c>
      <c r="E581" s="25" t="inlineStr">
        <is>
          <t>+225 07 58 08 19 21</t>
        </is>
      </c>
      <c r="F581" s="25" t="inlineStr">
        <is>
          <t>info@ihedc-edu.com</t>
        </is>
      </c>
      <c r="G581" s="26" t="inlineStr"/>
      <c r="H581" s="26" t="inlineStr"/>
      <c r="I581" s="26" t="inlineStr">
        <is>
          <t>A contacter</t>
        </is>
      </c>
      <c r="J581" s="27" t="n"/>
      <c r="K581" s="26" t="n"/>
      <c r="L581" s="26" t="n">
        <v>1</v>
      </c>
      <c r="M581" s="26" t="n"/>
      <c r="N581" s="26" t="inlineStr"/>
      <c r="O581" s="28">
        <f>IF(OR($J581="",$K581="",$M581=""),"",($J581+IF(AND($L581&gt;=2,$J581=5000),3000,0))*$K581*$M581)</f>
        <v/>
      </c>
      <c r="P581" s="26" t="inlineStr"/>
    </row>
    <row r="582">
      <c r="A582" s="25" t="n">
        <v>2</v>
      </c>
      <c r="B582" s="25" t="inlineStr">
        <is>
          <t>INSTITUT DES NOUVELLES TECHNIQUES AGRICOLES (INTA)</t>
        </is>
      </c>
      <c r="C582" s="25" t="inlineStr">
        <is>
          <t>Azaguie</t>
        </is>
      </c>
      <c r="D582" s="25" t="inlineStr">
        <is>
          <t>+225 07 49 52 60 37</t>
        </is>
      </c>
      <c r="E582" s="25" t="inlineStr">
        <is>
          <t>+225 07 49 52 60 37</t>
        </is>
      </c>
      <c r="F582" s="25" t="inlineStr">
        <is>
          <t>intaformagro@hotmail.fr</t>
        </is>
      </c>
      <c r="G582" s="26" t="inlineStr"/>
      <c r="H582" s="26" t="inlineStr"/>
      <c r="I582" s="26" t="inlineStr">
        <is>
          <t>A contacter</t>
        </is>
      </c>
      <c r="J582" s="27" t="n"/>
      <c r="K582" s="26" t="n"/>
      <c r="L582" s="26" t="n">
        <v>1</v>
      </c>
      <c r="M582" s="26" t="n"/>
      <c r="N582" s="26" t="inlineStr"/>
      <c r="O582" s="28">
        <f>IF(OR($J582="",$K582="",$M582=""),"",($J582+IF(AND($L582&gt;=2,$J582=5000),3000,0))*$K582*$M582)</f>
        <v/>
      </c>
      <c r="P582" s="26" t="inlineStr"/>
    </row>
    <row r="583">
      <c r="A583" s="25" t="n">
        <v>2</v>
      </c>
      <c r="B583" s="25" t="inlineStr">
        <is>
          <t>INSTITUT DES SCIENCES ET TECHNIQUES (ISET Sarl)</t>
        </is>
      </c>
      <c r="C583" s="25" t="inlineStr">
        <is>
          <t>Katiola</t>
        </is>
      </c>
      <c r="D583" s="25" t="inlineStr">
        <is>
          <t>+225 27 34 76 03 91</t>
        </is>
      </c>
      <c r="E583" s="25" t="inlineStr">
        <is>
          <t>+225 07 07 01 44 69</t>
        </is>
      </c>
      <c r="F583" s="25" t="inlineStr"/>
      <c r="G583" s="26" t="inlineStr"/>
      <c r="H583" s="26" t="inlineStr"/>
      <c r="I583" s="26" t="inlineStr">
        <is>
          <t>A contacter</t>
        </is>
      </c>
      <c r="J583" s="27" t="n"/>
      <c r="K583" s="26" t="n"/>
      <c r="L583" s="26" t="n">
        <v>1</v>
      </c>
      <c r="M583" s="26" t="n"/>
      <c r="N583" s="26" t="inlineStr"/>
      <c r="O583" s="28">
        <f>IF(OR($J583="",$K583="",$M583=""),"",($J583+IF(AND($L583&gt;=2,$J583=5000),3000,0))*$K583*$M583)</f>
        <v/>
      </c>
      <c r="P583" s="26" t="inlineStr"/>
    </row>
    <row r="584">
      <c r="A584" s="25" t="n">
        <v>2</v>
      </c>
      <c r="B584" s="25" t="inlineStr">
        <is>
          <t>INSTITUT DOMORAUD D’ENSEIGNEMENT SUPERIEUR AUX METIERS PROFESSIONNELS ET TECHNIQUES (IDES-MPT)</t>
        </is>
      </c>
      <c r="C584" s="25" t="inlineStr">
        <is>
          <t>Man</t>
        </is>
      </c>
      <c r="D584" s="25" t="inlineStr"/>
      <c r="E584" s="25" t="inlineStr"/>
      <c r="F584" s="25" t="inlineStr">
        <is>
          <t>idesmpt1997jjd@gmail.com</t>
        </is>
      </c>
      <c r="G584" s="26" t="inlineStr"/>
      <c r="H584" s="26" t="inlineStr"/>
      <c r="I584" s="26" t="inlineStr">
        <is>
          <t>A contacter</t>
        </is>
      </c>
      <c r="J584" s="27" t="n"/>
      <c r="K584" s="26" t="n"/>
      <c r="L584" s="26" t="n">
        <v>1</v>
      </c>
      <c r="M584" s="26" t="n"/>
      <c r="N584" s="26" t="inlineStr"/>
      <c r="O584" s="28">
        <f>IF(OR($J584="",$K584="",$M584=""),"",($J584+IF(AND($L584&gt;=2,$J584=5000),3000,0))*$K584*$M584)</f>
        <v/>
      </c>
      <c r="P584" s="26" t="inlineStr"/>
    </row>
    <row r="585">
      <c r="A585" s="25" t="n">
        <v>2</v>
      </c>
      <c r="B585" s="25" t="inlineStr">
        <is>
          <t>INSTITUT FAMAH BOUAKE (IF BOUAKE)</t>
        </is>
      </c>
      <c r="C585" s="25" t="inlineStr">
        <is>
          <t>Bouake</t>
        </is>
      </c>
      <c r="D585" s="25" t="inlineStr">
        <is>
          <t>+225 07 98 94 15 40</t>
        </is>
      </c>
      <c r="E585" s="25" t="inlineStr">
        <is>
          <t>+225 07 98 94 15 40</t>
        </is>
      </c>
      <c r="F585" s="25" t="inlineStr">
        <is>
          <t>coulibalyraymond555@gmail.com</t>
        </is>
      </c>
      <c r="G585" s="26" t="inlineStr"/>
      <c r="H585" s="26" t="inlineStr"/>
      <c r="I585" s="26" t="inlineStr">
        <is>
          <t>A contacter</t>
        </is>
      </c>
      <c r="J585" s="27" t="n"/>
      <c r="K585" s="26" t="n"/>
      <c r="L585" s="26" t="n">
        <v>1</v>
      </c>
      <c r="M585" s="26" t="n"/>
      <c r="N585" s="26" t="inlineStr"/>
      <c r="O585" s="28">
        <f>IF(OR($J585="",$K585="",$M585=""),"",($J585+IF(AND($L585&gt;=2,$J585=5000),3000,0))*$K585*$M585)</f>
        <v/>
      </c>
      <c r="P585" s="26" t="inlineStr"/>
    </row>
    <row r="586">
      <c r="A586" s="25" t="n">
        <v>2</v>
      </c>
      <c r="B586" s="25" t="inlineStr">
        <is>
          <t>INSTITUT FAMAH DIMBOKRO (IF DIMBOKRO)</t>
        </is>
      </c>
      <c r="C586" s="25" t="inlineStr">
        <is>
          <t>Dimbokro</t>
        </is>
      </c>
      <c r="D586" s="25" t="inlineStr">
        <is>
          <t>+225 07 79 80 20 77</t>
        </is>
      </c>
      <c r="E586" s="25" t="inlineStr">
        <is>
          <t>+225 07 79 80 20 77</t>
        </is>
      </c>
      <c r="F586" s="25" t="inlineStr">
        <is>
          <t>vincentdidia2014@gmail.com</t>
        </is>
      </c>
      <c r="G586" s="26" t="inlineStr"/>
      <c r="H586" s="26" t="inlineStr"/>
      <c r="I586" s="26" t="inlineStr">
        <is>
          <t>A contacter</t>
        </is>
      </c>
      <c r="J586" s="27" t="n"/>
      <c r="K586" s="26" t="n"/>
      <c r="L586" s="26" t="n">
        <v>1</v>
      </c>
      <c r="M586" s="26" t="n"/>
      <c r="N586" s="26" t="inlineStr"/>
      <c r="O586" s="28">
        <f>IF(OR($J586="",$K586="",$M586=""),"",($J586+IF(AND($L586&gt;=2,$J586=5000),3000,0))*$K586*$M586)</f>
        <v/>
      </c>
      <c r="P586" s="26" t="inlineStr"/>
    </row>
    <row r="587">
      <c r="A587" s="25" t="n">
        <v>2</v>
      </c>
      <c r="B587" s="25" t="inlineStr">
        <is>
          <t>INSTITUT FAMAH M'BAHIAKRO (IF M'BAHIAKRO)</t>
        </is>
      </c>
      <c r="C587" s="25" t="inlineStr">
        <is>
          <t>M'Bahiakro</t>
        </is>
      </c>
      <c r="D587" s="25" t="inlineStr">
        <is>
          <t>+225 07 79 80 20 77</t>
        </is>
      </c>
      <c r="E587" s="25" t="inlineStr">
        <is>
          <t>+225 07 79 80 20 77</t>
        </is>
      </c>
      <c r="F587" s="25" t="inlineStr">
        <is>
          <t>vincentdidia2014@gmail.com</t>
        </is>
      </c>
      <c r="G587" s="26" t="inlineStr"/>
      <c r="H587" s="26" t="inlineStr"/>
      <c r="I587" s="26" t="inlineStr">
        <is>
          <t>A contacter</t>
        </is>
      </c>
      <c r="J587" s="27" t="n"/>
      <c r="K587" s="26" t="n"/>
      <c r="L587" s="26" t="n">
        <v>1</v>
      </c>
      <c r="M587" s="26" t="n"/>
      <c r="N587" s="26" t="inlineStr"/>
      <c r="O587" s="28">
        <f>IF(OR($J587="",$K587="",$M587=""),"",($J587+IF(AND($L587&gt;=2,$J587=5000),3000,0))*$K587*$M587)</f>
        <v/>
      </c>
      <c r="P587" s="26" t="inlineStr"/>
    </row>
    <row r="588">
      <c r="A588" s="25" t="n">
        <v>2</v>
      </c>
      <c r="B588" s="25" t="inlineStr">
        <is>
          <t>INSTITUT FAMAH YAMOUSSOUKRO (IF YAMOUSSOUKRO)</t>
        </is>
      </c>
      <c r="C588" s="25" t="inlineStr">
        <is>
          <t>Yamoussoukro</t>
        </is>
      </c>
      <c r="D588" s="25" t="inlineStr">
        <is>
          <t>+225 07 00 15 63 39</t>
        </is>
      </c>
      <c r="E588" s="25" t="inlineStr">
        <is>
          <t>+225 07 00 15 63 39</t>
        </is>
      </c>
      <c r="F588" s="25" t="inlineStr">
        <is>
          <t>assistanatdirectionunsif@gmail.com</t>
        </is>
      </c>
      <c r="G588" s="26" t="inlineStr"/>
      <c r="H588" s="26" t="inlineStr"/>
      <c r="I588" s="26" t="inlineStr">
        <is>
          <t>A contacter</t>
        </is>
      </c>
      <c r="J588" s="27" t="n"/>
      <c r="K588" s="26" t="n"/>
      <c r="L588" s="26" t="n">
        <v>1</v>
      </c>
      <c r="M588" s="26" t="n"/>
      <c r="N588" s="26" t="inlineStr"/>
      <c r="O588" s="28">
        <f>IF(OR($J588="",$K588="",$M588=""),"",($J588+IF(AND($L588&gt;=2,$J588=5000),3000,0))*$K588*$M588)</f>
        <v/>
      </c>
      <c r="P588" s="26" t="inlineStr"/>
    </row>
    <row r="589">
      <c r="A589" s="25" t="n">
        <v>2</v>
      </c>
      <c r="B589" s="25" t="inlineStr">
        <is>
          <t>INSTITUT HOTELIER FEH KESSE DE MAN (IHFK MAN)</t>
        </is>
      </c>
      <c r="C589" s="25" t="inlineStr">
        <is>
          <t>Man</t>
        </is>
      </c>
      <c r="D589" s="25" t="inlineStr">
        <is>
          <t>+225 07 08 16 22 51</t>
        </is>
      </c>
      <c r="E589" s="25" t="inlineStr">
        <is>
          <t>+225 07 08 16 22 51</t>
        </is>
      </c>
      <c r="F589" s="25" t="inlineStr">
        <is>
          <t>instituhotelierfehkesse@gmail.com</t>
        </is>
      </c>
      <c r="G589" s="26" t="inlineStr"/>
      <c r="H589" s="26" t="inlineStr"/>
      <c r="I589" s="26" t="inlineStr">
        <is>
          <t>A contacter</t>
        </is>
      </c>
      <c r="J589" s="27" t="n"/>
      <c r="K589" s="26" t="n"/>
      <c r="L589" s="26" t="n">
        <v>1</v>
      </c>
      <c r="M589" s="26" t="n"/>
      <c r="N589" s="26" t="inlineStr"/>
      <c r="O589" s="28">
        <f>IF(OR($J589="",$K589="",$M589=""),"",($J589+IF(AND($L589&gt;=2,$J589=5000),3000,0))*$K589*$M589)</f>
        <v/>
      </c>
      <c r="P589" s="26" t="inlineStr"/>
    </row>
    <row r="590">
      <c r="A590" s="25" t="n">
        <v>2</v>
      </c>
      <c r="B590" s="25" t="inlineStr">
        <is>
          <t>INSTITUT INTERNATIONAL DE FORMATION EN ENTREPRENEURIAT-2IAE AZAGUIE (2IFE-2IAE AZAGUIÉ) (Groupe 2IFE-2IAE)</t>
        </is>
      </c>
      <c r="C590" s="25" t="inlineStr">
        <is>
          <t>Azaguie</t>
        </is>
      </c>
      <c r="D590" s="25" t="inlineStr">
        <is>
          <t>+225 07 07 88 77 04</t>
        </is>
      </c>
      <c r="E590" s="25" t="inlineStr">
        <is>
          <t>+225 07 07 88 77 04</t>
        </is>
      </c>
      <c r="F590" s="25" t="inlineStr">
        <is>
          <t>skoua2000@yahoo.fr</t>
        </is>
      </c>
      <c r="G590" s="26" t="inlineStr"/>
      <c r="H590" s="26" t="inlineStr"/>
      <c r="I590" s="26" t="inlineStr">
        <is>
          <t>A contacter</t>
        </is>
      </c>
      <c r="J590" s="27" t="n"/>
      <c r="K590" s="26" t="n"/>
      <c r="L590" s="26" t="n">
        <v>1</v>
      </c>
      <c r="M590" s="26" t="n"/>
      <c r="N590" s="26" t="inlineStr"/>
      <c r="O590" s="28">
        <f>IF(OR($J590="",$K590="",$M590=""),"",($J590+IF(AND($L590&gt;=2,$J590=5000),3000,0))*$K590*$M590)</f>
        <v/>
      </c>
      <c r="P590" s="26" t="inlineStr"/>
    </row>
    <row r="591">
      <c r="A591" s="25" t="n">
        <v>2</v>
      </c>
      <c r="B591" s="25" t="inlineStr">
        <is>
          <t>INSTITUT INTERNATIONAL DE FORMATION EN ENTREPRENEURIAT-2IAE M'BATTO (2IFE-2IAE M'BATTO)</t>
        </is>
      </c>
      <c r="C591" s="25" t="inlineStr">
        <is>
          <t>M'Batto</t>
        </is>
      </c>
      <c r="D591" s="25" t="inlineStr">
        <is>
          <t>+225 27 22 42 23 03</t>
        </is>
      </c>
      <c r="E591" s="25" t="inlineStr">
        <is>
          <t>+225 07 07 72 09 40</t>
        </is>
      </c>
      <c r="F591" s="25" t="inlineStr"/>
      <c r="G591" s="26" t="inlineStr"/>
      <c r="H591" s="26" t="inlineStr"/>
      <c r="I591" s="26" t="inlineStr">
        <is>
          <t>A contacter</t>
        </is>
      </c>
      <c r="J591" s="27" t="n"/>
      <c r="K591" s="26" t="n"/>
      <c r="L591" s="26" t="n">
        <v>1</v>
      </c>
      <c r="M591" s="26" t="n"/>
      <c r="N591" s="26" t="inlineStr"/>
      <c r="O591" s="28">
        <f>IF(OR($J591="",$K591="",$M591=""),"",($J591+IF(AND($L591&gt;=2,$J591=5000),3000,0))*$K591*$M591)</f>
        <v/>
      </c>
      <c r="P591" s="26" t="inlineStr"/>
    </row>
    <row r="592">
      <c r="A592" s="25" t="n">
        <v>2</v>
      </c>
      <c r="B592" s="25" t="inlineStr">
        <is>
          <t>INSTITUT INTERNATIONAL DE FORMATION EN ENTREPRENEURIAT-2IAE YAMOUSSOUKRO (2IFE-2IAE YAMOUSSOUKRO) (Groupe 2IAE-2IFE)</t>
        </is>
      </c>
      <c r="C592" s="25" t="inlineStr">
        <is>
          <t>Yamoussoukro</t>
        </is>
      </c>
      <c r="D592" s="25" t="inlineStr">
        <is>
          <t>+225 07 07 72 09 40</t>
        </is>
      </c>
      <c r="E592" s="25" t="inlineStr">
        <is>
          <t>+225 07 07 72 09 40</t>
        </is>
      </c>
      <c r="F592" s="25" t="inlineStr">
        <is>
          <t>skoua2000@yahoo.fr</t>
        </is>
      </c>
      <c r="G592" s="26" t="inlineStr"/>
      <c r="H592" s="26" t="inlineStr"/>
      <c r="I592" s="26" t="inlineStr">
        <is>
          <t>A contacter</t>
        </is>
      </c>
      <c r="J592" s="27" t="n"/>
      <c r="K592" s="26" t="n"/>
      <c r="L592" s="26" t="n">
        <v>1</v>
      </c>
      <c r="M592" s="26" t="n"/>
      <c r="N592" s="26" t="inlineStr"/>
      <c r="O592" s="28">
        <f>IF(OR($J592="",$K592="",$M592=""),"",($J592+IF(AND($L592&gt;=2,$J592=5000),3000,0))*$K592*$M592)</f>
        <v/>
      </c>
      <c r="P592" s="26" t="inlineStr"/>
    </row>
    <row r="593">
      <c r="A593" s="25" t="n">
        <v>2</v>
      </c>
      <c r="B593" s="25" t="inlineStr">
        <is>
          <t>INSTITUT INTERNATIONAL DE FORMATION TECHNIQUE ET PROFESSIONNELLE (2IFTP)</t>
        </is>
      </c>
      <c r="C593" s="25" t="inlineStr">
        <is>
          <t>Yamoussoukro</t>
        </is>
      </c>
      <c r="D593" s="25" t="inlineStr">
        <is>
          <t>+225 27 34 75 19 57</t>
        </is>
      </c>
      <c r="E593" s="25" t="inlineStr">
        <is>
          <t>+225 01 52 80 20 77</t>
        </is>
      </c>
      <c r="F593" s="25" t="inlineStr">
        <is>
          <t>2iftpyakroci@gmail.com</t>
        </is>
      </c>
      <c r="G593" s="26" t="inlineStr"/>
      <c r="H593" s="26" t="inlineStr"/>
      <c r="I593" s="26" t="inlineStr">
        <is>
          <t>A contacter</t>
        </is>
      </c>
      <c r="J593" s="27" t="n"/>
      <c r="K593" s="26" t="n"/>
      <c r="L593" s="26" t="n">
        <v>1</v>
      </c>
      <c r="M593" s="26" t="n"/>
      <c r="N593" s="26" t="inlineStr"/>
      <c r="O593" s="28">
        <f>IF(OR($J593="",$K593="",$M593=""),"",($J593+IF(AND($L593&gt;=2,$J593=5000),3000,0))*$K593*$M593)</f>
        <v/>
      </c>
      <c r="P593" s="26" t="inlineStr"/>
    </row>
    <row r="594">
      <c r="A594" s="25" t="n">
        <v>2</v>
      </c>
      <c r="B594" s="25" t="inlineStr">
        <is>
          <t>INSTITUT INTERNATIONAL DE TECHNOLOGIE SUPERIEURE BOUAKR (2ITS BOUAKE)</t>
        </is>
      </c>
      <c r="C594" s="25" t="inlineStr">
        <is>
          <t>Bouake</t>
        </is>
      </c>
      <c r="D594" s="25" t="inlineStr">
        <is>
          <t>+225 01 43 09 49 49</t>
        </is>
      </c>
      <c r="E594" s="25" t="inlineStr">
        <is>
          <t>+225 01 43 09 49 49</t>
        </is>
      </c>
      <c r="F594" s="25" t="inlineStr"/>
      <c r="G594" s="26" t="inlineStr"/>
      <c r="H594" s="26" t="inlineStr"/>
      <c r="I594" s="26" t="inlineStr">
        <is>
          <t>A contacter</t>
        </is>
      </c>
      <c r="J594" s="27" t="n"/>
      <c r="K594" s="26" t="n"/>
      <c r="L594" s="26" t="n">
        <v>1</v>
      </c>
      <c r="M594" s="26" t="n"/>
      <c r="N594" s="26" t="inlineStr"/>
      <c r="O594" s="28">
        <f>IF(OR($J594="",$K594="",$M594=""),"",($J594+IF(AND($L594&gt;=2,$J594=5000),3000,0))*$K594*$M594)</f>
        <v/>
      </c>
      <c r="P594" s="26" t="inlineStr"/>
    </row>
    <row r="595">
      <c r="A595" s="25" t="n">
        <v>2</v>
      </c>
      <c r="B595" s="25" t="inlineStr">
        <is>
          <t>Institut International Polytechnique des Elites d'Abidjan Yamoussoukro (IIPEA YAMOUSSOUKRO)</t>
        </is>
      </c>
      <c r="C595" s="25" t="inlineStr">
        <is>
          <t>Yamoussoukro</t>
        </is>
      </c>
      <c r="D595" s="25" t="inlineStr">
        <is>
          <t>+225 07 04 42 42 42</t>
        </is>
      </c>
      <c r="E595" s="25" t="inlineStr">
        <is>
          <t>+225 07 04 42 42 42</t>
        </is>
      </c>
      <c r="F595" s="25" t="inlineStr">
        <is>
          <t>secretariat@iipea.com</t>
        </is>
      </c>
      <c r="G595" s="26" t="inlineStr"/>
      <c r="H595" s="26" t="inlineStr"/>
      <c r="I595" s="26" t="inlineStr">
        <is>
          <t>A contacter</t>
        </is>
      </c>
      <c r="J595" s="27" t="n"/>
      <c r="K595" s="26" t="n"/>
      <c r="L595" s="26" t="n">
        <v>1</v>
      </c>
      <c r="M595" s="26" t="n"/>
      <c r="N595" s="26" t="inlineStr"/>
      <c r="O595" s="28">
        <f>IF(OR($J595="",$K595="",$M595=""),"",($J595+IF(AND($L595&gt;=2,$J595=5000),3000,0))*$K595*$M595)</f>
        <v/>
      </c>
      <c r="P595" s="26" t="inlineStr"/>
    </row>
    <row r="596">
      <c r="A596" s="25" t="n">
        <v>2</v>
      </c>
      <c r="B596" s="25" t="inlineStr">
        <is>
          <t>INSTITUT LEADER BOUAKE (IL BOUAKÉ (ESUMAG))</t>
        </is>
      </c>
      <c r="C596" s="25" t="inlineStr">
        <is>
          <t>Bouake</t>
        </is>
      </c>
      <c r="D596" s="25" t="inlineStr"/>
      <c r="E596" s="25" t="inlineStr"/>
      <c r="F596" s="25" t="inlineStr">
        <is>
          <t>reactengroupsarl@yahoo.com</t>
        </is>
      </c>
      <c r="G596" s="26" t="inlineStr"/>
      <c r="H596" s="26" t="inlineStr"/>
      <c r="I596" s="26" t="inlineStr">
        <is>
          <t>A contacter</t>
        </is>
      </c>
      <c r="J596" s="27" t="n"/>
      <c r="K596" s="26" t="n"/>
      <c r="L596" s="26" t="n">
        <v>1</v>
      </c>
      <c r="M596" s="26" t="n"/>
      <c r="N596" s="26" t="inlineStr"/>
      <c r="O596" s="28">
        <f>IF(OR($J596="",$K596="",$M596=""),"",($J596+IF(AND($L596&gt;=2,$J596=5000),3000,0))*$K596*$M596)</f>
        <v/>
      </c>
      <c r="P596" s="26" t="inlineStr"/>
    </row>
    <row r="597">
      <c r="A597" s="25" t="n">
        <v>2</v>
      </c>
      <c r="B597" s="25" t="inlineStr">
        <is>
          <t>Institut LKM Yopougon</t>
        </is>
      </c>
      <c r="C597" s="25" t="inlineStr">
        <is>
          <t>Abidjan - Yopougon</t>
        </is>
      </c>
      <c r="D597" s="25" t="inlineStr">
        <is>
          <t>+225 27 23 49 60 03</t>
        </is>
      </c>
      <c r="E597" s="25" t="inlineStr">
        <is>
          <t>+225 07 07 32 82 72</t>
        </is>
      </c>
      <c r="F597" s="25" t="inlineStr"/>
      <c r="G597" s="26" t="inlineStr"/>
      <c r="H597" s="26" t="inlineStr"/>
      <c r="I597" s="26" t="inlineStr">
        <is>
          <t>A contacter</t>
        </is>
      </c>
      <c r="J597" s="27" t="n"/>
      <c r="K597" s="26" t="n"/>
      <c r="L597" s="26" t="n">
        <v>1</v>
      </c>
      <c r="M597" s="26" t="n"/>
      <c r="N597" s="26" t="inlineStr"/>
      <c r="O597" s="28">
        <f>IF(OR($J597="",$K597="",$M597=""),"",($J597+IF(AND($L597&gt;=2,$J597=5000),3000,0))*$K597*$M597)</f>
        <v/>
      </c>
      <c r="P597" s="26" t="inlineStr"/>
    </row>
    <row r="598">
      <c r="A598" s="25" t="n">
        <v>2</v>
      </c>
      <c r="B598" s="25" t="inlineStr">
        <is>
          <t>INSTITUT POLYTECHNIQUE DES METIERS DE BONGOUANOU (INPM-B)</t>
        </is>
      </c>
      <c r="C598" s="25" t="inlineStr">
        <is>
          <t>Bongouanou</t>
        </is>
      </c>
      <c r="D598" s="25" t="inlineStr">
        <is>
          <t>+225 07 07 02 86 47</t>
        </is>
      </c>
      <c r="E598" s="25" t="inlineStr">
        <is>
          <t>+225 07 07 02 86 47</t>
        </is>
      </c>
      <c r="F598" s="25" t="inlineStr">
        <is>
          <t>inpmb.ens.sup@gmail.com</t>
        </is>
      </c>
      <c r="G598" s="26" t="inlineStr"/>
      <c r="H598" s="26" t="inlineStr"/>
      <c r="I598" s="26" t="inlineStr">
        <is>
          <t>A contacter</t>
        </is>
      </c>
      <c r="J598" s="27" t="n"/>
      <c r="K598" s="26" t="n"/>
      <c r="L598" s="26" t="n">
        <v>1</v>
      </c>
      <c r="M598" s="26" t="n"/>
      <c r="N598" s="26" t="inlineStr"/>
      <c r="O598" s="28">
        <f>IF(OR($J598="",$K598="",$M598=""),"",($J598+IF(AND($L598&gt;=2,$J598=5000),3000,0))*$K598*$M598)</f>
        <v/>
      </c>
      <c r="P598" s="26" t="inlineStr"/>
    </row>
    <row r="599">
      <c r="A599" s="25" t="n">
        <v>2</v>
      </c>
      <c r="B599" s="25" t="inlineStr">
        <is>
          <t>INSTITUT REGIONAL SETOH DE LOGOUALE (IRS-LOG)</t>
        </is>
      </c>
      <c r="C599" s="25" t="inlineStr">
        <is>
          <t>Logouale</t>
        </is>
      </c>
      <c r="D599" s="25" t="inlineStr">
        <is>
          <t>+225 07 08 97 00 01</t>
        </is>
      </c>
      <c r="E599" s="25" t="inlineStr">
        <is>
          <t>+225 07 08 97 00 01</t>
        </is>
      </c>
      <c r="F599" s="25" t="inlineStr"/>
      <c r="G599" s="26" t="inlineStr"/>
      <c r="H599" s="26" t="inlineStr"/>
      <c r="I599" s="26" t="inlineStr">
        <is>
          <t>A contacter</t>
        </is>
      </c>
      <c r="J599" s="27" t="n"/>
      <c r="K599" s="26" t="n"/>
      <c r="L599" s="26" t="n">
        <v>1</v>
      </c>
      <c r="M599" s="26" t="n"/>
      <c r="N599" s="26" t="inlineStr"/>
      <c r="O599" s="28">
        <f>IF(OR($J599="",$K599="",$M599=""),"",($J599+IF(AND($L599&gt;=2,$J599=5000),3000,0))*$K599*$M599)</f>
        <v/>
      </c>
      <c r="P599" s="26" t="inlineStr"/>
    </row>
    <row r="600">
      <c r="A600" s="25" t="n">
        <v>2</v>
      </c>
      <c r="B600" s="25" t="inlineStr">
        <is>
          <t>INSTITUT SAINT SAUVEUR DE MEMNI (ISSM)</t>
        </is>
      </c>
      <c r="C600" s="25" t="inlineStr">
        <is>
          <t>Alepe</t>
        </is>
      </c>
      <c r="D600" s="25" t="inlineStr">
        <is>
          <t>+225 07 07 46 42 00</t>
        </is>
      </c>
      <c r="E600" s="25" t="inlineStr">
        <is>
          <t>+225 07 07 46 42 00</t>
        </is>
      </c>
      <c r="F600" s="25" t="inlineStr">
        <is>
          <t>collegesaintsauveurmemni@gmail.com</t>
        </is>
      </c>
      <c r="G600" s="26" t="inlineStr"/>
      <c r="H600" s="26" t="inlineStr"/>
      <c r="I600" s="26" t="inlineStr">
        <is>
          <t>A contacter</t>
        </is>
      </c>
      <c r="J600" s="27" t="n"/>
      <c r="K600" s="26" t="n"/>
      <c r="L600" s="26" t="n">
        <v>1</v>
      </c>
      <c r="M600" s="26" t="n"/>
      <c r="N600" s="26" t="inlineStr"/>
      <c r="O600" s="28">
        <f>IF(OR($J600="",$K600="",$M600=""),"",($J600+IF(AND($L600&gt;=2,$J600=5000),3000,0))*$K600*$M600)</f>
        <v/>
      </c>
      <c r="P600" s="26" t="inlineStr"/>
    </row>
    <row r="601">
      <c r="A601" s="25" t="n">
        <v>2</v>
      </c>
      <c r="B601" s="25" t="inlineStr">
        <is>
          <t>INSTITUT SEL DU MONDE BOUAFLE (ISM)</t>
        </is>
      </c>
      <c r="C601" s="25" t="inlineStr">
        <is>
          <t>Bouafle</t>
        </is>
      </c>
      <c r="D601" s="25" t="inlineStr">
        <is>
          <t>+225 07 08 16 54 53</t>
        </is>
      </c>
      <c r="E601" s="25" t="inlineStr">
        <is>
          <t>+225 07 08 16 54 53</t>
        </is>
      </c>
      <c r="F601" s="25" t="inlineStr">
        <is>
          <t>seldumonde@gmail.com</t>
        </is>
      </c>
      <c r="G601" s="26" t="inlineStr"/>
      <c r="H601" s="26" t="inlineStr"/>
      <c r="I601" s="26" t="inlineStr">
        <is>
          <t>A contacter</t>
        </is>
      </c>
      <c r="J601" s="27" t="n"/>
      <c r="K601" s="26" t="n"/>
      <c r="L601" s="26" t="n">
        <v>1</v>
      </c>
      <c r="M601" s="26" t="n"/>
      <c r="N601" s="26" t="inlineStr"/>
      <c r="O601" s="28">
        <f>IF(OR($J601="",$K601="",$M601=""),"",($J601+IF(AND($L601&gt;=2,$J601=5000),3000,0))*$K601*$M601)</f>
        <v/>
      </c>
      <c r="P601" s="26" t="inlineStr"/>
    </row>
    <row r="602">
      <c r="A602" s="25" t="n">
        <v>2</v>
      </c>
      <c r="B602" s="25" t="inlineStr">
        <is>
          <t>INSTITUT SUPERIEUR AFRICAIN DE MANAGEMENT ET DE TECHNOLOGIE (ISAMAT)</t>
        </is>
      </c>
      <c r="C602" s="25" t="inlineStr">
        <is>
          <t>Dabou</t>
        </is>
      </c>
      <c r="D602" s="25" t="inlineStr">
        <is>
          <t>+225 07 07 31 63 28</t>
        </is>
      </c>
      <c r="E602" s="25" t="inlineStr">
        <is>
          <t>+225 07 07 31 63 28</t>
        </is>
      </c>
      <c r="F602" s="25" t="inlineStr">
        <is>
          <t>isamatdabou@gmail.com</t>
        </is>
      </c>
      <c r="G602" s="26" t="inlineStr"/>
      <c r="H602" s="26" t="inlineStr"/>
      <c r="I602" s="26" t="inlineStr">
        <is>
          <t>A contacter</t>
        </is>
      </c>
      <c r="J602" s="27" t="n"/>
      <c r="K602" s="26" t="n"/>
      <c r="L602" s="26" t="n">
        <v>1</v>
      </c>
      <c r="M602" s="26" t="n"/>
      <c r="N602" s="26" t="inlineStr"/>
      <c r="O602" s="28">
        <f>IF(OR($J602="",$K602="",$M602=""),"",($J602+IF(AND($L602&gt;=2,$J602=5000),3000,0))*$K602*$M602)</f>
        <v/>
      </c>
      <c r="P602" s="26" t="inlineStr"/>
    </row>
    <row r="603">
      <c r="A603" s="25" t="n">
        <v>2</v>
      </c>
      <c r="B603" s="25" t="inlineStr">
        <is>
          <t>INSTITUT SUPERIEUR ATSE YAPI JOSEPH (ISAYJ) ADZOPE</t>
        </is>
      </c>
      <c r="C603" s="25" t="inlineStr">
        <is>
          <t>Adzope</t>
        </is>
      </c>
      <c r="D603" s="25" t="inlineStr">
        <is>
          <t>+225 07 77 17 17 26</t>
        </is>
      </c>
      <c r="E603" s="25" t="inlineStr">
        <is>
          <t>+225 07 77 17 17 26</t>
        </is>
      </c>
      <c r="F603" s="25" t="inlineStr">
        <is>
          <t>isayjainfo@gmail.com</t>
        </is>
      </c>
      <c r="G603" s="26" t="inlineStr"/>
      <c r="H603" s="26" t="inlineStr"/>
      <c r="I603" s="26" t="inlineStr">
        <is>
          <t>A contacter</t>
        </is>
      </c>
      <c r="J603" s="27" t="n"/>
      <c r="K603" s="26" t="n"/>
      <c r="L603" s="26" t="n">
        <v>1</v>
      </c>
      <c r="M603" s="26" t="n"/>
      <c r="N603" s="26" t="inlineStr"/>
      <c r="O603" s="28">
        <f>IF(OR($J603="",$K603="",$M603=""),"",($J603+IF(AND($L603&gt;=2,$J603=5000),3000,0))*$K603*$M603)</f>
        <v/>
      </c>
      <c r="P603" s="26" t="inlineStr"/>
    </row>
    <row r="604">
      <c r="A604" s="25" t="n">
        <v>2</v>
      </c>
      <c r="B604" s="25" t="inlineStr">
        <is>
          <t>INSTITUT SUPERIEUR AWOSI DAOUKRO (ISAD)</t>
        </is>
      </c>
      <c r="C604" s="25" t="inlineStr">
        <is>
          <t>Daoukro</t>
        </is>
      </c>
      <c r="D604" s="25" t="inlineStr">
        <is>
          <t>+225 07 48 88 09 99</t>
        </is>
      </c>
      <c r="E604" s="25" t="inlineStr">
        <is>
          <t>+225 07 48 88 09 99</t>
        </is>
      </c>
      <c r="F604" s="25" t="inlineStr"/>
      <c r="G604" s="26" t="inlineStr"/>
      <c r="H604" s="26" t="inlineStr"/>
      <c r="I604" s="26" t="inlineStr">
        <is>
          <t>A contacter</t>
        </is>
      </c>
      <c r="J604" s="27" t="n"/>
      <c r="K604" s="26" t="n"/>
      <c r="L604" s="26" t="n">
        <v>1</v>
      </c>
      <c r="M604" s="26" t="n"/>
      <c r="N604" s="26" t="inlineStr"/>
      <c r="O604" s="28">
        <f>IF(OR($J604="",$K604="",$M604=""),"",($J604+IF(AND($L604&gt;=2,$J604=5000),3000,0))*$K604*$M604)</f>
        <v/>
      </c>
      <c r="P604" s="26" t="inlineStr"/>
    </row>
    <row r="605">
      <c r="A605" s="25" t="n">
        <v>2</v>
      </c>
      <c r="B605" s="25" t="inlineStr">
        <is>
          <t>INSTITUT SUPERIEUR BOSOL GAGNOA (ISB GAGNOA)</t>
        </is>
      </c>
      <c r="C605" s="25" t="inlineStr">
        <is>
          <t>Gagnoa</t>
        </is>
      </c>
      <c r="D605" s="25" t="inlineStr">
        <is>
          <t>+225 01 03 74 32 80</t>
        </is>
      </c>
      <c r="E605" s="25" t="inlineStr">
        <is>
          <t>+225 01 03 74 32 80</t>
        </is>
      </c>
      <c r="F605" s="25" t="inlineStr">
        <is>
          <t>institutbosolgagnoa@gmail.com</t>
        </is>
      </c>
      <c r="G605" s="26" t="inlineStr"/>
      <c r="H605" s="26" t="inlineStr"/>
      <c r="I605" s="26" t="inlineStr">
        <is>
          <t>A contacter</t>
        </is>
      </c>
      <c r="J605" s="27" t="n"/>
      <c r="K605" s="26" t="n"/>
      <c r="L605" s="26" t="n">
        <v>1</v>
      </c>
      <c r="M605" s="26" t="n"/>
      <c r="N605" s="26" t="inlineStr"/>
      <c r="O605" s="28">
        <f>IF(OR($J605="",$K605="",$M605=""),"",($J605+IF(AND($L605&gt;=2,$J605=5000),3000,0))*$K605*$M605)</f>
        <v/>
      </c>
      <c r="P605" s="26" t="inlineStr"/>
    </row>
    <row r="606">
      <c r="A606" s="25" t="n">
        <v>2</v>
      </c>
      <c r="B606" s="25" t="inlineStr">
        <is>
          <t>INSTITUT SUPERIEUR D'ETUDES COMMERCIALES (ISEC)</t>
        </is>
      </c>
      <c r="C606" s="25" t="inlineStr">
        <is>
          <t>Bouafle</t>
        </is>
      </c>
      <c r="D606" s="25" t="inlineStr">
        <is>
          <t>+225 01 42 71 23 88</t>
        </is>
      </c>
      <c r="E606" s="25" t="inlineStr">
        <is>
          <t>+225 01 42 71 23 88</t>
        </is>
      </c>
      <c r="F606" s="25" t="inlineStr"/>
      <c r="G606" s="26" t="inlineStr"/>
      <c r="H606" s="26" t="inlineStr"/>
      <c r="I606" s="26" t="inlineStr">
        <is>
          <t>A contacter</t>
        </is>
      </c>
      <c r="J606" s="27" t="n"/>
      <c r="K606" s="26" t="n"/>
      <c r="L606" s="26" t="n">
        <v>1</v>
      </c>
      <c r="M606" s="26" t="n"/>
      <c r="N606" s="26" t="inlineStr"/>
      <c r="O606" s="28">
        <f>IF(OR($J606="",$K606="",$M606=""),"",($J606+IF(AND($L606&gt;=2,$J606=5000),3000,0))*$K606*$M606)</f>
        <v/>
      </c>
      <c r="P606" s="26" t="inlineStr"/>
    </row>
    <row r="607">
      <c r="A607" s="25" t="n">
        <v>2</v>
      </c>
      <c r="B607" s="25" t="inlineStr">
        <is>
          <t>INSTITUT SUPERIEUR DE FORMATION DE DIVO (ISF) (ISF/UID)</t>
        </is>
      </c>
      <c r="C607" s="25" t="inlineStr">
        <is>
          <t>Divo</t>
        </is>
      </c>
      <c r="D607" s="25" t="inlineStr">
        <is>
          <t>+225 07 59 23 02 86</t>
        </is>
      </c>
      <c r="E607" s="25" t="inlineStr">
        <is>
          <t>+225 07 59 23 02 86</t>
        </is>
      </c>
      <c r="F607" s="25" t="inlineStr">
        <is>
          <t>iudgroupinfo@gmail.com</t>
        </is>
      </c>
      <c r="G607" s="26" t="inlineStr"/>
      <c r="H607" s="26" t="inlineStr"/>
      <c r="I607" s="26" t="inlineStr">
        <is>
          <t>A contacter</t>
        </is>
      </c>
      <c r="J607" s="27" t="n"/>
      <c r="K607" s="26" t="n"/>
      <c r="L607" s="26" t="n">
        <v>1</v>
      </c>
      <c r="M607" s="26" t="n"/>
      <c r="N607" s="26" t="inlineStr"/>
      <c r="O607" s="28">
        <f>IF(OR($J607="",$K607="",$M607=""),"",($J607+IF(AND($L607&gt;=2,$J607=5000),3000,0))*$K607*$M607)</f>
        <v/>
      </c>
      <c r="P607" s="26" t="inlineStr"/>
    </row>
    <row r="608">
      <c r="A608" s="25" t="n">
        <v>2</v>
      </c>
      <c r="B608" s="25" t="inlineStr">
        <is>
          <t>INSTITUT SUPERIEUR DE FORMATION PROFESSIONNELLE HARIEL (ISFPH) (ISFP-HARIEL)</t>
        </is>
      </c>
      <c r="C608" s="25" t="inlineStr">
        <is>
          <t>Bouake</t>
        </is>
      </c>
      <c r="D608" s="25" t="inlineStr">
        <is>
          <t>+225 07 47 47 47 99</t>
        </is>
      </c>
      <c r="E608" s="25" t="inlineStr">
        <is>
          <t>+225 07 47 47 47 99</t>
        </is>
      </c>
      <c r="F608" s="25" t="inlineStr">
        <is>
          <t>insfpha@gmail.com</t>
        </is>
      </c>
      <c r="G608" s="26" t="inlineStr"/>
      <c r="H608" s="26" t="inlineStr"/>
      <c r="I608" s="26" t="inlineStr">
        <is>
          <t>A contacter</t>
        </is>
      </c>
      <c r="J608" s="27" t="n"/>
      <c r="K608" s="26" t="n"/>
      <c r="L608" s="26" t="n">
        <v>1</v>
      </c>
      <c r="M608" s="26" t="n"/>
      <c r="N608" s="26" t="inlineStr"/>
      <c r="O608" s="28">
        <f>IF(OR($J608="",$K608="",$M608=""),"",($J608+IF(AND($L608&gt;=2,$J608=5000),3000,0))*$K608*$M608)</f>
        <v/>
      </c>
      <c r="P608" s="26" t="inlineStr"/>
    </row>
    <row r="609">
      <c r="A609" s="25" t="n">
        <v>2</v>
      </c>
      <c r="B609" s="25" t="inlineStr">
        <is>
          <t>INSTITUT SUPERIEUR DE GESTION ET DE COMMERCE (ISGC) DALOA</t>
        </is>
      </c>
      <c r="C609" s="25" t="inlineStr">
        <is>
          <t>Daloa</t>
        </is>
      </c>
      <c r="D609" s="25" t="inlineStr">
        <is>
          <t>+225 27 32 76 76 67</t>
        </is>
      </c>
      <c r="E609" s="25" t="inlineStr"/>
      <c r="F609" s="25" t="inlineStr">
        <is>
          <t>isgcmicroformation@gmail.com</t>
        </is>
      </c>
      <c r="G609" s="26" t="inlineStr"/>
      <c r="H609" s="26" t="inlineStr"/>
      <c r="I609" s="26" t="inlineStr">
        <is>
          <t>A contacter</t>
        </is>
      </c>
      <c r="J609" s="27" t="n"/>
      <c r="K609" s="26" t="n"/>
      <c r="L609" s="26" t="n">
        <v>1</v>
      </c>
      <c r="M609" s="26" t="n"/>
      <c r="N609" s="26" t="inlineStr"/>
      <c r="O609" s="28">
        <f>IF(OR($J609="",$K609="",$M609=""),"",($J609+IF(AND($L609&gt;=2,$J609=5000),3000,0))*$K609*$M609)</f>
        <v/>
      </c>
      <c r="P609" s="26" t="inlineStr"/>
    </row>
    <row r="610">
      <c r="A610" s="25" t="n">
        <v>2</v>
      </c>
      <c r="B610" s="25" t="inlineStr">
        <is>
          <t>INSTITUT SUPERIEUR DE l'INNOVATION ET DES TECHNOLOGIES (ISIT KORHOGO)</t>
        </is>
      </c>
      <c r="C610" s="25" t="inlineStr">
        <is>
          <t>Korhogo</t>
        </is>
      </c>
      <c r="D610" s="25" t="inlineStr">
        <is>
          <t>+225 07 12 25 54 07</t>
        </is>
      </c>
      <c r="E610" s="25" t="inlineStr">
        <is>
          <t>+225 07 12 25 54 07</t>
        </is>
      </c>
      <c r="F610" s="25" t="inlineStr">
        <is>
          <t>infos@isit-groupe.com</t>
        </is>
      </c>
      <c r="G610" s="26" t="inlineStr"/>
      <c r="H610" s="26" t="inlineStr"/>
      <c r="I610" s="26" t="inlineStr">
        <is>
          <t>A contacter</t>
        </is>
      </c>
      <c r="J610" s="27" t="n"/>
      <c r="K610" s="26" t="n"/>
      <c r="L610" s="26" t="n">
        <v>1</v>
      </c>
      <c r="M610" s="26" t="n"/>
      <c r="N610" s="26" t="inlineStr"/>
      <c r="O610" s="28">
        <f>IF(OR($J610="",$K610="",$M610=""),"",($J610+IF(AND($L610&gt;=2,$J610=5000),3000,0))*$K610*$M610)</f>
        <v/>
      </c>
      <c r="P610" s="26" t="inlineStr"/>
    </row>
    <row r="611">
      <c r="A611" s="25" t="n">
        <v>2</v>
      </c>
      <c r="B611" s="25" t="inlineStr">
        <is>
          <t>INSTITUT SUPERIEUR DE TECHNOLOGIE APPLIQUEE DE YAMOUSSOUKRO (ISTA)</t>
        </is>
      </c>
      <c r="C611" s="25" t="inlineStr">
        <is>
          <t>Yamoussoukro</t>
        </is>
      </c>
      <c r="D611" s="25" t="inlineStr">
        <is>
          <t>+225 07 58 57 28 11</t>
        </is>
      </c>
      <c r="E611" s="25" t="inlineStr">
        <is>
          <t>+225 07 58 57 28 11</t>
        </is>
      </c>
      <c r="F611" s="25" t="inlineStr">
        <is>
          <t>ista.yamoussoukro@gmail.com</t>
        </is>
      </c>
      <c r="G611" s="26" t="inlineStr"/>
      <c r="H611" s="26" t="inlineStr"/>
      <c r="I611" s="26" t="inlineStr">
        <is>
          <t>A contacter</t>
        </is>
      </c>
      <c r="J611" s="27" t="n"/>
      <c r="K611" s="26" t="n"/>
      <c r="L611" s="26" t="n">
        <v>1</v>
      </c>
      <c r="M611" s="26" t="n"/>
      <c r="N611" s="26" t="inlineStr"/>
      <c r="O611" s="28">
        <f>IF(OR($J611="",$K611="",$M611=""),"",($J611+IF(AND($L611&gt;=2,$J611=5000),3000,0))*$K611*$M611)</f>
        <v/>
      </c>
      <c r="P611" s="26" t="inlineStr"/>
    </row>
    <row r="612">
      <c r="A612" s="25" t="n">
        <v>2</v>
      </c>
      <c r="B612" s="25" t="inlineStr">
        <is>
          <t>INSTITUT SUPERIEUR DE TECHNOLOGIE AVANCEE DE GAGNOA (ISTAG) (GETEC)</t>
        </is>
      </c>
      <c r="C612" s="25" t="inlineStr">
        <is>
          <t>Gagnoa</t>
        </is>
      </c>
      <c r="D612" s="25" t="inlineStr">
        <is>
          <t>+225 07 78 67 82 27</t>
        </is>
      </c>
      <c r="E612" s="25" t="inlineStr">
        <is>
          <t>+225 07 78 67 82 27</t>
        </is>
      </c>
      <c r="F612" s="25" t="inlineStr">
        <is>
          <t>groupeetecci@gmail.com</t>
        </is>
      </c>
      <c r="G612" s="26" t="inlineStr"/>
      <c r="H612" s="26" t="inlineStr"/>
      <c r="I612" s="26" t="inlineStr">
        <is>
          <t>A contacter</t>
        </is>
      </c>
      <c r="J612" s="27" t="n"/>
      <c r="K612" s="26" t="n"/>
      <c r="L612" s="26" t="n">
        <v>1</v>
      </c>
      <c r="M612" s="26" t="n"/>
      <c r="N612" s="26" t="inlineStr"/>
      <c r="O612" s="28">
        <f>IF(OR($J612="",$K612="",$M612=""),"",($J612+IF(AND($L612&gt;=2,$J612=5000),3000,0))*$K612*$M612)</f>
        <v/>
      </c>
      <c r="P612" s="26" t="inlineStr"/>
    </row>
    <row r="613">
      <c r="A613" s="25" t="n">
        <v>2</v>
      </c>
      <c r="B613" s="25" t="inlineStr">
        <is>
          <t>INSTITUT SUPERIEUR DE TECHNOLOGIE DE DÉVELOPPEMENT DURABLE (IST2D)</t>
        </is>
      </c>
      <c r="C613" s="25" t="inlineStr">
        <is>
          <t>Dabou</t>
        </is>
      </c>
      <c r="D613" s="25" t="inlineStr">
        <is>
          <t>+225 05 45 56 32 14</t>
        </is>
      </c>
      <c r="E613" s="25" t="inlineStr">
        <is>
          <t>+225 05 45 56 32 14</t>
        </is>
      </c>
      <c r="F613" s="25" t="inlineStr"/>
      <c r="G613" s="26" t="inlineStr"/>
      <c r="H613" s="26" t="inlineStr"/>
      <c r="I613" s="26" t="inlineStr">
        <is>
          <t>A contacter</t>
        </is>
      </c>
      <c r="J613" s="27" t="n"/>
      <c r="K613" s="26" t="n"/>
      <c r="L613" s="26" t="n">
        <v>1</v>
      </c>
      <c r="M613" s="26" t="n"/>
      <c r="N613" s="26" t="inlineStr"/>
      <c r="O613" s="28">
        <f>IF(OR($J613="",$K613="",$M613=""),"",($J613+IF(AND($L613&gt;=2,$J613=5000),3000,0))*$K613*$M613)</f>
        <v/>
      </c>
      <c r="P613" s="26" t="inlineStr"/>
    </row>
    <row r="614">
      <c r="A614" s="25" t="n">
        <v>2</v>
      </c>
      <c r="B614" s="25" t="inlineStr">
        <is>
          <t>INSTITUT SUPERIEUR DE TECHNOLOGIE DE L'IFFOU (ISTI)</t>
        </is>
      </c>
      <c r="C614" s="25" t="inlineStr">
        <is>
          <t>Daoukro</t>
        </is>
      </c>
      <c r="D614" s="25" t="inlineStr">
        <is>
          <t>+225 07 07 50 57 29</t>
        </is>
      </c>
      <c r="E614" s="25" t="inlineStr">
        <is>
          <t>+225 07 07 50 57 29</t>
        </is>
      </c>
      <c r="F614" s="25" t="inlineStr"/>
      <c r="G614" s="26" t="inlineStr"/>
      <c r="H614" s="26" t="inlineStr"/>
      <c r="I614" s="26" t="inlineStr">
        <is>
          <t>A contacter</t>
        </is>
      </c>
      <c r="J614" s="27" t="n"/>
      <c r="K614" s="26" t="n"/>
      <c r="L614" s="26" t="n">
        <v>1</v>
      </c>
      <c r="M614" s="26" t="n"/>
      <c r="N614" s="26" t="inlineStr"/>
      <c r="O614" s="28">
        <f>IF(OR($J614="",$K614="",$M614=""),"",($J614+IF(AND($L614&gt;=2,$J614=5000),3000,0))*$K614*$M614)</f>
        <v/>
      </c>
      <c r="P614" s="26" t="inlineStr"/>
    </row>
    <row r="615">
      <c r="A615" s="25" t="n">
        <v>2</v>
      </c>
      <c r="B615" s="25" t="inlineStr">
        <is>
          <t>INSTITUT SUPERIEUR DES TECHNOLOGIES APPLIQUEES DE BONDOUKOU (ITAB)</t>
        </is>
      </c>
      <c r="C615" s="25" t="inlineStr">
        <is>
          <t>Bondoukou</t>
        </is>
      </c>
      <c r="D615" s="25" t="inlineStr">
        <is>
          <t>+225 07 49 25 50 32</t>
        </is>
      </c>
      <c r="E615" s="25" t="inlineStr">
        <is>
          <t>+225 07 49 25 50 32</t>
        </is>
      </c>
      <c r="F615" s="25" t="inlineStr">
        <is>
          <t>itabondoukou@gmail.com</t>
        </is>
      </c>
      <c r="G615" s="26" t="inlineStr"/>
      <c r="H615" s="26" t="inlineStr"/>
      <c r="I615" s="26" t="inlineStr">
        <is>
          <t>A contacter</t>
        </is>
      </c>
      <c r="J615" s="27" t="n"/>
      <c r="K615" s="26" t="n"/>
      <c r="L615" s="26" t="n">
        <v>1</v>
      </c>
      <c r="M615" s="26" t="n"/>
      <c r="N615" s="26" t="inlineStr"/>
      <c r="O615" s="28">
        <f>IF(OR($J615="",$K615="",$M615=""),"",($J615+IF(AND($L615&gt;=2,$J615=5000),3000,0))*$K615*$M615)</f>
        <v/>
      </c>
      <c r="P615" s="26" t="inlineStr"/>
    </row>
    <row r="616">
      <c r="A616" s="25" t="n">
        <v>2</v>
      </c>
      <c r="B616" s="25" t="inlineStr">
        <is>
          <t>INSTITUT SUPERIEUR DES TECHNOLOGIES ET DE MANAGEMENT MAN (ISTM MAN)</t>
        </is>
      </c>
      <c r="C616" s="25" t="inlineStr">
        <is>
          <t>Man</t>
        </is>
      </c>
      <c r="D616" s="25" t="inlineStr">
        <is>
          <t>+225 05 05 74 25 97</t>
        </is>
      </c>
      <c r="E616" s="25" t="inlineStr">
        <is>
          <t>+225 05 05 74 25 97</t>
        </is>
      </c>
      <c r="F616" s="25" t="inlineStr">
        <is>
          <t>istm.man@yahoo.com</t>
        </is>
      </c>
      <c r="G616" s="26" t="inlineStr"/>
      <c r="H616" s="26" t="inlineStr"/>
      <c r="I616" s="26" t="inlineStr">
        <is>
          <t>A contacter</t>
        </is>
      </c>
      <c r="J616" s="27" t="n"/>
      <c r="K616" s="26" t="n"/>
      <c r="L616" s="26" t="n">
        <v>1</v>
      </c>
      <c r="M616" s="26" t="n"/>
      <c r="N616" s="26" t="inlineStr"/>
      <c r="O616" s="28">
        <f>IF(OR($J616="",$K616="",$M616=""),"",($J616+IF(AND($L616&gt;=2,$J616=5000),3000,0))*$K616*$M616)</f>
        <v/>
      </c>
      <c r="P616" s="26" t="inlineStr"/>
    </row>
    <row r="617">
      <c r="A617" s="25" t="n">
        <v>2</v>
      </c>
      <c r="B617" s="25" t="inlineStr">
        <is>
          <t>INSTITUT SUPERIEUR DU COMMERCE D'ADMINISTRATION DES ENTREPRISES (ISCAE YAMOUSSOUKRO)</t>
        </is>
      </c>
      <c r="C617" s="25" t="inlineStr">
        <is>
          <t>Yamoussoukro</t>
        </is>
      </c>
      <c r="D617" s="25" t="inlineStr">
        <is>
          <t>+225 07 07 41 92 36</t>
        </is>
      </c>
      <c r="E617" s="25" t="inlineStr">
        <is>
          <t>+225 07 07 41 92 36</t>
        </is>
      </c>
      <c r="F617" s="25" t="inlineStr">
        <is>
          <t>broualainkoffi93@gmail.com</t>
        </is>
      </c>
      <c r="G617" s="26" t="inlineStr"/>
      <c r="H617" s="26" t="inlineStr"/>
      <c r="I617" s="26" t="inlineStr">
        <is>
          <t>A contacter</t>
        </is>
      </c>
      <c r="J617" s="27" t="n"/>
      <c r="K617" s="26" t="n"/>
      <c r="L617" s="26" t="n">
        <v>1</v>
      </c>
      <c r="M617" s="26" t="n"/>
      <c r="N617" s="26" t="inlineStr"/>
      <c r="O617" s="28">
        <f>IF(OR($J617="",$K617="",$M617=""),"",($J617+IF(AND($L617&gt;=2,$J617=5000),3000,0))*$K617*$M617)</f>
        <v/>
      </c>
      <c r="P617" s="26" t="inlineStr"/>
    </row>
    <row r="618">
      <c r="A618" s="25" t="n">
        <v>2</v>
      </c>
      <c r="B618" s="25" t="inlineStr">
        <is>
          <t>INSTITUT SUPERIEUR INTERNATIONAL SARHAOUM (ISIS)</t>
        </is>
      </c>
      <c r="C618" s="25" t="inlineStr">
        <is>
          <t>Hermankono</t>
        </is>
      </c>
      <c r="D618" s="25" t="inlineStr">
        <is>
          <t>+225 01 51 98 48 48</t>
        </is>
      </c>
      <c r="E618" s="25" t="inlineStr">
        <is>
          <t>+225 01 51 98 48 48</t>
        </is>
      </c>
      <c r="F618" s="25" t="inlineStr">
        <is>
          <t>isisarhaoum@gmail.com</t>
        </is>
      </c>
      <c r="G618" s="26" t="inlineStr"/>
      <c r="H618" s="26" t="inlineStr"/>
      <c r="I618" s="26" t="inlineStr">
        <is>
          <t>A contacter</t>
        </is>
      </c>
      <c r="J618" s="27" t="n"/>
      <c r="K618" s="26" t="n"/>
      <c r="L618" s="26" t="n">
        <v>1</v>
      </c>
      <c r="M618" s="26" t="n"/>
      <c r="N618" s="26" t="inlineStr"/>
      <c r="O618" s="28">
        <f>IF(OR($J618="",$K618="",$M618=""),"",($J618+IF(AND($L618&gt;=2,$J618=5000),3000,0))*$K618*$M618)</f>
        <v/>
      </c>
      <c r="P618" s="26" t="inlineStr"/>
    </row>
    <row r="619">
      <c r="A619" s="25" t="n">
        <v>2</v>
      </c>
      <c r="B619" s="25" t="inlineStr">
        <is>
          <t>INSTITUT SUPERIEUR LES 3A DE LA ME (IS3AM ADZOPE)</t>
        </is>
      </c>
      <c r="C619" s="25" t="inlineStr">
        <is>
          <t>Adzope</t>
        </is>
      </c>
      <c r="D619" s="25" t="inlineStr">
        <is>
          <t>+225 07 48 68 34 80</t>
        </is>
      </c>
      <c r="E619" s="25" t="inlineStr">
        <is>
          <t>+225 07 48 68 34 80</t>
        </is>
      </c>
      <c r="F619" s="25" t="inlineStr">
        <is>
          <t>com@yahoo.com</t>
        </is>
      </c>
      <c r="G619" s="26" t="inlineStr"/>
      <c r="H619" s="26" t="inlineStr"/>
      <c r="I619" s="26" t="inlineStr">
        <is>
          <t>A contacter</t>
        </is>
      </c>
      <c r="J619" s="27" t="n"/>
      <c r="K619" s="26" t="n"/>
      <c r="L619" s="26" t="n">
        <v>1</v>
      </c>
      <c r="M619" s="26" t="n"/>
      <c r="N619" s="26" t="inlineStr"/>
      <c r="O619" s="28">
        <f>IF(OR($J619="",$K619="",$M619=""),"",($J619+IF(AND($L619&gt;=2,$J619=5000),3000,0))*$K619*$M619)</f>
        <v/>
      </c>
      <c r="P619" s="26" t="inlineStr"/>
    </row>
    <row r="620">
      <c r="A620" s="25" t="n">
        <v>2</v>
      </c>
      <c r="B620" s="25" t="inlineStr">
        <is>
          <t>INSTITUT SUPERIEUR LES CAIMANS-SAN PEDRO (ISC-SAN PEDRO)</t>
        </is>
      </c>
      <c r="C620" s="25" t="inlineStr">
        <is>
          <t>San Pedro</t>
        </is>
      </c>
      <c r="D620" s="25" t="inlineStr">
        <is>
          <t>+225 07 08 24 30 13</t>
        </is>
      </c>
      <c r="E620" s="25" t="inlineStr">
        <is>
          <t>+225 07 08 24 30 13</t>
        </is>
      </c>
      <c r="F620" s="25" t="inlineStr">
        <is>
          <t>iscsanpedro@gmail.com</t>
        </is>
      </c>
      <c r="G620" s="26" t="inlineStr"/>
      <c r="H620" s="26" t="inlineStr"/>
      <c r="I620" s="26" t="inlineStr">
        <is>
          <t>A contacter</t>
        </is>
      </c>
      <c r="J620" s="27" t="n"/>
      <c r="K620" s="26" t="n"/>
      <c r="L620" s="26" t="n">
        <v>1</v>
      </c>
      <c r="M620" s="26" t="n"/>
      <c r="N620" s="26" t="inlineStr"/>
      <c r="O620" s="28">
        <f>IF(OR($J620="",$K620="",$M620=""),"",($J620+IF(AND($L620&gt;=2,$J620=5000),3000,0))*$K620*$M620)</f>
        <v/>
      </c>
      <c r="P620" s="26" t="inlineStr"/>
    </row>
    <row r="621">
      <c r="A621" s="25" t="n">
        <v>2</v>
      </c>
      <c r="B621" s="25" t="inlineStr">
        <is>
          <t>INSTITUT SUPERIEUR LES ELITES KORHOGO (ISE KORHOGO)</t>
        </is>
      </c>
      <c r="C621" s="25" t="inlineStr">
        <is>
          <t>Korhogo</t>
        </is>
      </c>
      <c r="D621" s="25" t="inlineStr">
        <is>
          <t>+225 27 36 86 39 85</t>
        </is>
      </c>
      <c r="E621" s="25" t="inlineStr">
        <is>
          <t>+225 07 07 93 62 39</t>
        </is>
      </c>
      <c r="F621" s="25" t="inlineStr"/>
      <c r="G621" s="26" t="inlineStr"/>
      <c r="H621" s="26" t="inlineStr"/>
      <c r="I621" s="26" t="inlineStr">
        <is>
          <t>A contacter</t>
        </is>
      </c>
      <c r="J621" s="27" t="n"/>
      <c r="K621" s="26" t="n"/>
      <c r="L621" s="26" t="n">
        <v>1</v>
      </c>
      <c r="M621" s="26" t="n"/>
      <c r="N621" s="26" t="inlineStr"/>
      <c r="O621" s="28">
        <f>IF(OR($J621="",$K621="",$M621=""),"",($J621+IF(AND($L621&gt;=2,$J621=5000),3000,0))*$K621*$M621)</f>
        <v/>
      </c>
      <c r="P621" s="26" t="inlineStr"/>
    </row>
    <row r="622">
      <c r="A622" s="25" t="n">
        <v>2</v>
      </c>
      <c r="B622" s="25" t="inlineStr">
        <is>
          <t>INSTITUT SUPERIEUR LOUIS LE GRAND (ISLG)</t>
        </is>
      </c>
      <c r="C622" s="25" t="inlineStr">
        <is>
          <t>Bouake</t>
        </is>
      </c>
      <c r="D622" s="25" t="inlineStr">
        <is>
          <t>+225 27 31 63 01 60</t>
        </is>
      </c>
      <c r="E622" s="25" t="inlineStr">
        <is>
          <t>+225 07 08 35 42 54</t>
        </is>
      </c>
      <c r="F622" s="25" t="inlineStr"/>
      <c r="G622" s="26" t="inlineStr"/>
      <c r="H622" s="26" t="inlineStr"/>
      <c r="I622" s="26" t="inlineStr">
        <is>
          <t>A contacter</t>
        </is>
      </c>
      <c r="J622" s="27" t="n"/>
      <c r="K622" s="26" t="n"/>
      <c r="L622" s="26" t="n">
        <v>1</v>
      </c>
      <c r="M622" s="26" t="n"/>
      <c r="N622" s="26" t="inlineStr"/>
      <c r="O622" s="28">
        <f>IF(OR($J622="",$K622="",$M622=""),"",($J622+IF(AND($L622&gt;=2,$J622=5000),3000,0))*$K622*$M622)</f>
        <v/>
      </c>
      <c r="P622" s="26" t="inlineStr"/>
    </row>
    <row r="623">
      <c r="A623" s="25" t="n">
        <v>2</v>
      </c>
      <c r="B623" s="25" t="inlineStr">
        <is>
          <t>INSTITUT SUPERIEUR MO BAMBA (ISMB) MAN</t>
        </is>
      </c>
      <c r="C623" s="25" t="inlineStr">
        <is>
          <t>Man</t>
        </is>
      </c>
      <c r="D623" s="25" t="inlineStr">
        <is>
          <t>+225 07 19 42 42 42</t>
        </is>
      </c>
      <c r="E623" s="25" t="inlineStr">
        <is>
          <t>+225 07 19 42 42 42</t>
        </is>
      </c>
      <c r="F623" s="25" t="inlineStr">
        <is>
          <t>ismbman@gmail.com</t>
        </is>
      </c>
      <c r="G623" s="26" t="inlineStr"/>
      <c r="H623" s="26" t="inlineStr"/>
      <c r="I623" s="26" t="inlineStr">
        <is>
          <t>A contacter</t>
        </is>
      </c>
      <c r="J623" s="27" t="n"/>
      <c r="K623" s="26" t="n"/>
      <c r="L623" s="26" t="n">
        <v>1</v>
      </c>
      <c r="M623" s="26" t="n"/>
      <c r="N623" s="26" t="inlineStr"/>
      <c r="O623" s="28">
        <f>IF(OR($J623="",$K623="",$M623=""),"",($J623+IF(AND($L623&gt;=2,$J623=5000),3000,0))*$K623*$M623)</f>
        <v/>
      </c>
      <c r="P623" s="26" t="inlineStr"/>
    </row>
    <row r="624">
      <c r="A624" s="25" t="n">
        <v>2</v>
      </c>
      <c r="B624" s="25" t="inlineStr">
        <is>
          <t>INSTITUT SUPERIEUR N GOTTA DE TOUMODI (INST TOUMODI)</t>
        </is>
      </c>
      <c r="C624" s="25" t="inlineStr">
        <is>
          <t>Toumodi</t>
        </is>
      </c>
      <c r="D624" s="25" t="inlineStr">
        <is>
          <t>+225 27 21 78 94 66</t>
        </is>
      </c>
      <c r="E624" s="25" t="inlineStr">
        <is>
          <t>+225 07 08 39 03 37</t>
        </is>
      </c>
      <c r="F624" s="25" t="inlineStr"/>
      <c r="G624" s="26" t="inlineStr"/>
      <c r="H624" s="26" t="inlineStr"/>
      <c r="I624" s="26" t="inlineStr">
        <is>
          <t>A contacter</t>
        </is>
      </c>
      <c r="J624" s="27" t="n"/>
      <c r="K624" s="26" t="n"/>
      <c r="L624" s="26" t="n">
        <v>1</v>
      </c>
      <c r="M624" s="26" t="n"/>
      <c r="N624" s="26" t="inlineStr"/>
      <c r="O624" s="28">
        <f>IF(OR($J624="",$K624="",$M624=""),"",($J624+IF(AND($L624&gt;=2,$J624=5000),3000,0))*$K624*$M624)</f>
        <v/>
      </c>
      <c r="P624" s="26" t="inlineStr"/>
    </row>
    <row r="625">
      <c r="A625" s="25" t="n">
        <v>2</v>
      </c>
      <c r="B625" s="25" t="inlineStr">
        <is>
          <t>INSTITUT SUPERIEUR N'GOTTA TOUMODI (ISNT)</t>
        </is>
      </c>
      <c r="C625" s="25" t="inlineStr">
        <is>
          <t>Toumodi</t>
        </is>
      </c>
      <c r="D625" s="25" t="inlineStr"/>
      <c r="E625" s="25" t="inlineStr"/>
      <c r="F625" s="25" t="inlineStr"/>
      <c r="G625" s="26" t="inlineStr"/>
      <c r="H625" s="26" t="inlineStr"/>
      <c r="I625" s="26" t="inlineStr">
        <is>
          <t>A contacter</t>
        </is>
      </c>
      <c r="J625" s="27" t="n"/>
      <c r="K625" s="26" t="n"/>
      <c r="L625" s="26" t="n">
        <v>1</v>
      </c>
      <c r="M625" s="26" t="n"/>
      <c r="N625" s="26" t="inlineStr"/>
      <c r="O625" s="28">
        <f>IF(OR($J625="",$K625="",$M625=""),"",($J625+IF(AND($L625&gt;=2,$J625=5000),3000,0))*$K625*$M625)</f>
        <v/>
      </c>
      <c r="P625" s="26" t="inlineStr"/>
    </row>
    <row r="626">
      <c r="A626" s="25" t="n">
        <v>2</v>
      </c>
      <c r="B626" s="25" t="inlineStr">
        <is>
          <t>INSTITUT SUPERIEUR POLYTECHNIQUE ACKA AWADJO CECILE (ISPEC) GRAND LAHOU</t>
        </is>
      </c>
      <c r="C626" s="25" t="inlineStr">
        <is>
          <t>Grand Lahou</t>
        </is>
      </c>
      <c r="D626" s="25" t="inlineStr">
        <is>
          <t>+225 27 34 77 55 41</t>
        </is>
      </c>
      <c r="E626" s="25" t="inlineStr">
        <is>
          <t>+225 07 57 77 42 18</t>
        </is>
      </c>
      <c r="F626" s="25" t="inlineStr">
        <is>
          <t>ispec09@gmail.com</t>
        </is>
      </c>
      <c r="G626" s="26" t="inlineStr"/>
      <c r="H626" s="26" t="inlineStr"/>
      <c r="I626" s="26" t="inlineStr">
        <is>
          <t>A contacter</t>
        </is>
      </c>
      <c r="J626" s="27" t="n"/>
      <c r="K626" s="26" t="n"/>
      <c r="L626" s="26" t="n">
        <v>1</v>
      </c>
      <c r="M626" s="26" t="n"/>
      <c r="N626" s="26" t="inlineStr"/>
      <c r="O626" s="28">
        <f>IF(OR($J626="",$K626="",$M626=""),"",($J626+IF(AND($L626&gt;=2,$J626=5000),3000,0))*$K626*$M626)</f>
        <v/>
      </c>
      <c r="P626" s="26" t="inlineStr"/>
    </row>
    <row r="627">
      <c r="A627" s="25" t="n">
        <v>2</v>
      </c>
      <c r="B627" s="25" t="inlineStr">
        <is>
          <t>INSTITUT SUPERIEUR POLYTECHNIQUE WASSA BOUAKE (ISP WASSA BOUAKE)</t>
        </is>
      </c>
      <c r="C627" s="25" t="inlineStr">
        <is>
          <t>Bouake</t>
        </is>
      </c>
      <c r="D627" s="25" t="inlineStr">
        <is>
          <t>+225 07 07 47 49 50</t>
        </is>
      </c>
      <c r="E627" s="25" t="inlineStr">
        <is>
          <t>+225 07 07 47 49 50</t>
        </is>
      </c>
      <c r="F627" s="25" t="inlineStr">
        <is>
          <t>ispwassa.info@gmail.com</t>
        </is>
      </c>
      <c r="G627" s="26" t="inlineStr"/>
      <c r="H627" s="26" t="inlineStr"/>
      <c r="I627" s="26" t="inlineStr">
        <is>
          <t>A contacter</t>
        </is>
      </c>
      <c r="J627" s="27" t="n"/>
      <c r="K627" s="26" t="n"/>
      <c r="L627" s="26" t="n">
        <v>1</v>
      </c>
      <c r="M627" s="26" t="n"/>
      <c r="N627" s="26" t="inlineStr"/>
      <c r="O627" s="28">
        <f>IF(OR($J627="",$K627="",$M627=""),"",($J627+IF(AND($L627&gt;=2,$J627=5000),3000,0))*$K627*$M627)</f>
        <v/>
      </c>
      <c r="P627" s="26" t="inlineStr"/>
    </row>
    <row r="628">
      <c r="A628" s="25" t="n">
        <v>2</v>
      </c>
      <c r="B628" s="25" t="inlineStr">
        <is>
          <t>INSTITUT SUPERIEUR ROBERT DION (ISRD)</t>
        </is>
      </c>
      <c r="C628" s="25" t="inlineStr">
        <is>
          <t>Man</t>
        </is>
      </c>
      <c r="D628" s="25" t="inlineStr">
        <is>
          <t>+225 27 33 79 14 10</t>
        </is>
      </c>
      <c r="E628" s="25" t="inlineStr"/>
      <c r="F628" s="25" t="inlineStr"/>
      <c r="G628" s="26" t="inlineStr"/>
      <c r="H628" s="26" t="inlineStr"/>
      <c r="I628" s="26" t="inlineStr">
        <is>
          <t>A contacter</t>
        </is>
      </c>
      <c r="J628" s="27" t="n"/>
      <c r="K628" s="26" t="n"/>
      <c r="L628" s="26" t="n">
        <v>1</v>
      </c>
      <c r="M628" s="26" t="n"/>
      <c r="N628" s="26" t="inlineStr"/>
      <c r="O628" s="28">
        <f>IF(OR($J628="",$K628="",$M628=""),"",($J628+IF(AND($L628&gt;=2,$J628=5000),3000,0))*$K628*$M628)</f>
        <v/>
      </c>
      <c r="P628" s="26" t="inlineStr"/>
    </row>
    <row r="629">
      <c r="A629" s="25" t="n">
        <v>2</v>
      </c>
      <c r="B629" s="25" t="inlineStr">
        <is>
          <t>INSTITUT SUPERIEUR SAKANOKO LOSSENI (ISSL)</t>
        </is>
      </c>
      <c r="C629" s="25" t="inlineStr">
        <is>
          <t>Korhogo</t>
        </is>
      </c>
      <c r="D629" s="25" t="inlineStr">
        <is>
          <t>+225 07 07 18 48 18</t>
        </is>
      </c>
      <c r="E629" s="25" t="inlineStr">
        <is>
          <t>+225 07 07 18 48 18</t>
        </is>
      </c>
      <c r="F629" s="25" t="inlineStr"/>
      <c r="G629" s="26" t="inlineStr"/>
      <c r="H629" s="26" t="inlineStr"/>
      <c r="I629" s="26" t="inlineStr">
        <is>
          <t>A contacter</t>
        </is>
      </c>
      <c r="J629" s="27" t="n"/>
      <c r="K629" s="26" t="n"/>
      <c r="L629" s="26" t="n">
        <v>1</v>
      </c>
      <c r="M629" s="26" t="n"/>
      <c r="N629" s="26" t="inlineStr"/>
      <c r="O629" s="28">
        <f>IF(OR($J629="",$K629="",$M629=""),"",($J629+IF(AND($L629&gt;=2,$J629=5000),3000,0))*$K629*$M629)</f>
        <v/>
      </c>
      <c r="P629" s="26" t="inlineStr"/>
    </row>
    <row r="630">
      <c r="A630" s="25" t="n">
        <v>2</v>
      </c>
      <c r="B630" s="25" t="inlineStr">
        <is>
          <t>INSTITUT SUPERIEUR SARHAOUM MAN</t>
        </is>
      </c>
      <c r="C630" s="25" t="inlineStr">
        <is>
          <t>Man</t>
        </is>
      </c>
      <c r="D630" s="25" t="inlineStr">
        <is>
          <t>+225 27 33 79 34 59</t>
        </is>
      </c>
      <c r="E630" s="25" t="inlineStr">
        <is>
          <t>+225 07 07 07 32 36</t>
        </is>
      </c>
      <c r="F630" s="25" t="inlineStr">
        <is>
          <t>isisarhaoum@gmail.com</t>
        </is>
      </c>
      <c r="G630" s="26" t="inlineStr"/>
      <c r="H630" s="26" t="inlineStr"/>
      <c r="I630" s="26" t="inlineStr">
        <is>
          <t>A contacter</t>
        </is>
      </c>
      <c r="J630" s="27" t="n"/>
      <c r="K630" s="26" t="n"/>
      <c r="L630" s="26" t="n">
        <v>1</v>
      </c>
      <c r="M630" s="26" t="n"/>
      <c r="N630" s="26" t="inlineStr"/>
      <c r="O630" s="28">
        <f>IF(OR($J630="",$K630="",$M630=""),"",($J630+IF(AND($L630&gt;=2,$J630=5000),3000,0))*$K630*$M630)</f>
        <v/>
      </c>
      <c r="P630" s="26" t="inlineStr"/>
    </row>
    <row r="631">
      <c r="A631" s="25" t="n">
        <v>2</v>
      </c>
      <c r="B631" s="25" t="inlineStr">
        <is>
          <t>INSTITUT SUPERIEUR TECHNIQUE NOTRE DAME SAINT PIERRE LA CHAPELLE ABOISSO (IST ND ST PIERRE LA CHAPELLE ABOISSO)</t>
        </is>
      </c>
      <c r="C631" s="25" t="inlineStr">
        <is>
          <t>Aboisso</t>
        </is>
      </c>
      <c r="D631" s="25" t="inlineStr">
        <is>
          <t>+225 07 08 62 07 72</t>
        </is>
      </c>
      <c r="E631" s="25" t="inlineStr">
        <is>
          <t>+225 07 08 62 07 72</t>
        </is>
      </c>
      <c r="F631" s="25" t="inlineStr">
        <is>
          <t>chapelleaboisso@yahoo.fr</t>
        </is>
      </c>
      <c r="G631" s="26" t="inlineStr"/>
      <c r="H631" s="26" t="inlineStr"/>
      <c r="I631" s="26" t="inlineStr">
        <is>
          <t>A contacter</t>
        </is>
      </c>
      <c r="J631" s="27" t="n"/>
      <c r="K631" s="26" t="n"/>
      <c r="L631" s="26" t="n">
        <v>1</v>
      </c>
      <c r="M631" s="26" t="n"/>
      <c r="N631" s="26" t="inlineStr"/>
      <c r="O631" s="28">
        <f>IF(OR($J631="",$K631="",$M631=""),"",($J631+IF(AND($L631&gt;=2,$J631=5000),3000,0))*$K631*$M631)</f>
        <v/>
      </c>
      <c r="P631" s="26" t="inlineStr"/>
    </row>
    <row r="632">
      <c r="A632" s="25" t="n">
        <v>2</v>
      </c>
      <c r="B632" s="25" t="inlineStr">
        <is>
          <t>INSTITUT SUPÉRIEUR AKONDA N'DOUCI (ISAN)</t>
        </is>
      </c>
      <c r="C632" s="25" t="inlineStr">
        <is>
          <t>N'Douci</t>
        </is>
      </c>
      <c r="D632" s="25" t="inlineStr">
        <is>
          <t>+225 07 77 16 69 18</t>
        </is>
      </c>
      <c r="E632" s="25" t="inlineStr">
        <is>
          <t>+225 07 77 16 69 18</t>
        </is>
      </c>
      <c r="F632" s="25" t="inlineStr">
        <is>
          <t>isan_2019@yahoo.com</t>
        </is>
      </c>
      <c r="G632" s="26" t="inlineStr"/>
      <c r="H632" s="26" t="inlineStr"/>
      <c r="I632" s="26" t="inlineStr">
        <is>
          <t>A contacter</t>
        </is>
      </c>
      <c r="J632" s="27" t="n"/>
      <c r="K632" s="26" t="n"/>
      <c r="L632" s="26" t="n">
        <v>1</v>
      </c>
      <c r="M632" s="26" t="n"/>
      <c r="N632" s="26" t="inlineStr"/>
      <c r="O632" s="28">
        <f>IF(OR($J632="",$K632="",$M632=""),"",($J632+IF(AND($L632&gt;=2,$J632=5000),3000,0))*$K632*$M632)</f>
        <v/>
      </c>
      <c r="P632" s="26" t="inlineStr"/>
    </row>
    <row r="633">
      <c r="A633" s="25" t="n">
        <v>2</v>
      </c>
      <c r="B633" s="25" t="inlineStr">
        <is>
          <t>Institut Supérieur d'Administration de Gestion de Technologie de Songon (ISAGT) (ISAGTS)</t>
        </is>
      </c>
      <c r="C633" s="25" t="inlineStr">
        <is>
          <t>Songon</t>
        </is>
      </c>
      <c r="D633" s="25" t="inlineStr"/>
      <c r="E633" s="25" t="inlineStr"/>
      <c r="F633" s="25" t="inlineStr">
        <is>
          <t>infos@isagts.com</t>
        </is>
      </c>
      <c r="G633" s="26" t="inlineStr"/>
      <c r="H633" s="26" t="inlineStr"/>
      <c r="I633" s="26" t="inlineStr">
        <is>
          <t>A contacter</t>
        </is>
      </c>
      <c r="J633" s="27" t="n"/>
      <c r="K633" s="26" t="n"/>
      <c r="L633" s="26" t="n">
        <v>1</v>
      </c>
      <c r="M633" s="26" t="n"/>
      <c r="N633" s="26" t="inlineStr"/>
      <c r="O633" s="28">
        <f>IF(OR($J633="",$K633="",$M633=""),"",($J633+IF(AND($L633&gt;=2,$J633=5000),3000,0))*$K633*$M633)</f>
        <v/>
      </c>
      <c r="P633" s="26" t="inlineStr"/>
    </row>
    <row r="634">
      <c r="A634" s="25" t="n">
        <v>2</v>
      </c>
      <c r="B634" s="25" t="inlineStr">
        <is>
          <t>INSTITUT SUPÉRIEUR DE MARKETING ET DE COMPTABILITE DALOA (ISMC DALOA)</t>
        </is>
      </c>
      <c r="C634" s="25" t="inlineStr">
        <is>
          <t>Daloa</t>
        </is>
      </c>
      <c r="D634" s="25" t="inlineStr"/>
      <c r="E634" s="25" t="inlineStr"/>
      <c r="F634" s="25" t="inlineStr">
        <is>
          <t>ismcd.ci@gmail.com</t>
        </is>
      </c>
      <c r="G634" s="26" t="inlineStr"/>
      <c r="H634" s="26" t="inlineStr"/>
      <c r="I634" s="26" t="inlineStr">
        <is>
          <t>A contacter</t>
        </is>
      </c>
      <c r="J634" s="27" t="n"/>
      <c r="K634" s="26" t="n"/>
      <c r="L634" s="26" t="n">
        <v>1</v>
      </c>
      <c r="M634" s="26" t="n"/>
      <c r="N634" s="26" t="inlineStr"/>
      <c r="O634" s="28">
        <f>IF(OR($J634="",$K634="",$M634=""),"",($J634+IF(AND($L634&gt;=2,$J634=5000),3000,0))*$K634*$M634)</f>
        <v/>
      </c>
      <c r="P634" s="26" t="inlineStr"/>
    </row>
    <row r="635">
      <c r="A635" s="25" t="n">
        <v>2</v>
      </c>
      <c r="B635" s="25" t="inlineStr">
        <is>
          <t>Institut Supérieur Kouadio Bozambo (ISKB) SASSANDRA</t>
        </is>
      </c>
      <c r="C635" s="25" t="inlineStr">
        <is>
          <t>Sassandra</t>
        </is>
      </c>
      <c r="D635" s="25" t="inlineStr">
        <is>
          <t>+225 07 03 41 49 53</t>
        </is>
      </c>
      <c r="E635" s="25" t="inlineStr">
        <is>
          <t>+225 07 03 41 49 53</t>
        </is>
      </c>
      <c r="F635" s="25" t="inlineStr">
        <is>
          <t>iskbsassandra@gmail.com</t>
        </is>
      </c>
      <c r="G635" s="26" t="inlineStr"/>
      <c r="H635" s="26" t="inlineStr"/>
      <c r="I635" s="26" t="inlineStr">
        <is>
          <t>A contacter</t>
        </is>
      </c>
      <c r="J635" s="27" t="n"/>
      <c r="K635" s="26" t="n"/>
      <c r="L635" s="26" t="n">
        <v>1</v>
      </c>
      <c r="M635" s="26" t="n"/>
      <c r="N635" s="26" t="inlineStr"/>
      <c r="O635" s="28">
        <f>IF(OR($J635="",$K635="",$M635=""),"",($J635+IF(AND($L635&gt;=2,$J635=5000),3000,0))*$K635*$M635)</f>
        <v/>
      </c>
      <c r="P635" s="26" t="inlineStr"/>
    </row>
    <row r="636">
      <c r="A636" s="25" t="n">
        <v>2</v>
      </c>
      <c r="B636" s="25" t="inlineStr">
        <is>
          <t>INSTITUT SUPÉRIEUR SODEC / KORHOGO (ISS-KORHOGO)</t>
        </is>
      </c>
      <c r="C636" s="25" t="inlineStr">
        <is>
          <t>Korhogo</t>
        </is>
      </c>
      <c r="D636" s="25" t="inlineStr"/>
      <c r="E636" s="25" t="inlineStr"/>
      <c r="F636" s="25" t="inlineStr">
        <is>
          <t>infogss@groupescolairesodec.com</t>
        </is>
      </c>
      <c r="G636" s="26" t="inlineStr"/>
      <c r="H636" s="26" t="inlineStr"/>
      <c r="I636" s="26" t="inlineStr">
        <is>
          <t>A contacter</t>
        </is>
      </c>
      <c r="J636" s="27" t="n"/>
      <c r="K636" s="26" t="n"/>
      <c r="L636" s="26" t="n">
        <v>1</v>
      </c>
      <c r="M636" s="26" t="n"/>
      <c r="N636" s="26" t="inlineStr"/>
      <c r="O636" s="28">
        <f>IF(OR($J636="",$K636="",$M636=""),"",($J636+IF(AND($L636&gt;=2,$J636=5000),3000,0))*$K636*$M636)</f>
        <v/>
      </c>
      <c r="P636" s="26" t="inlineStr"/>
    </row>
    <row r="637">
      <c r="A637" s="25" t="n">
        <v>2</v>
      </c>
      <c r="B637" s="25" t="inlineStr">
        <is>
          <t>INSTITUT UNIVERSITAIRE DES SCIENCES DE LA SANTE ET DE L'ENVIRONNEMENT (IUSSE) SAN PEDRO</t>
        </is>
      </c>
      <c r="C637" s="25" t="inlineStr">
        <is>
          <t>San Pedro</t>
        </is>
      </c>
      <c r="D637" s="25" t="inlineStr">
        <is>
          <t>+225 27 34 71 22 73</t>
        </is>
      </c>
      <c r="E637" s="25" t="inlineStr">
        <is>
          <t>+225 27 34 71 07 08</t>
        </is>
      </c>
      <c r="F637" s="25" t="inlineStr">
        <is>
          <t>iusse.sanpedro@gmail.com</t>
        </is>
      </c>
      <c r="G637" s="26" t="inlineStr"/>
      <c r="H637" s="26" t="inlineStr"/>
      <c r="I637" s="26" t="inlineStr">
        <is>
          <t>A contacter</t>
        </is>
      </c>
      <c r="J637" s="27" t="n"/>
      <c r="K637" s="26" t="n"/>
      <c r="L637" s="26" t="n">
        <v>1</v>
      </c>
      <c r="M637" s="26" t="n"/>
      <c r="N637" s="26" t="inlineStr"/>
      <c r="O637" s="28">
        <f>IF(OR($J637="",$K637="",$M637=""),"",($J637+IF(AND($L637&gt;=2,$J637=5000),3000,0))*$K637*$M637)</f>
        <v/>
      </c>
      <c r="P637" s="26" t="inlineStr"/>
    </row>
    <row r="638">
      <c r="A638" s="25" t="n">
        <v>2</v>
      </c>
      <c r="B638" s="25" t="inlineStr">
        <is>
          <t>INSTIUT SUPÉRIEUR D'ETUDES COMMERCIALES (ISEC MAN)</t>
        </is>
      </c>
      <c r="C638" s="25" t="inlineStr">
        <is>
          <t>Man</t>
        </is>
      </c>
      <c r="D638" s="25" t="inlineStr">
        <is>
          <t>+225 27 34 77 56 77</t>
        </is>
      </c>
      <c r="E638" s="25" t="inlineStr">
        <is>
          <t>+225 07 88 28 30 29</t>
        </is>
      </c>
      <c r="F638" s="25" t="inlineStr">
        <is>
          <t>isecman.info@gmail.com</t>
        </is>
      </c>
      <c r="G638" s="26" t="inlineStr"/>
      <c r="H638" s="26" t="inlineStr"/>
      <c r="I638" s="26" t="inlineStr">
        <is>
          <t>A contacter</t>
        </is>
      </c>
      <c r="J638" s="27" t="n"/>
      <c r="K638" s="26" t="n"/>
      <c r="L638" s="26" t="n">
        <v>1</v>
      </c>
      <c r="M638" s="26" t="n"/>
      <c r="N638" s="26" t="inlineStr"/>
      <c r="O638" s="28">
        <f>IF(OR($J638="",$K638="",$M638=""),"",($J638+IF(AND($L638&gt;=2,$J638=5000),3000,0))*$K638*$M638)</f>
        <v/>
      </c>
      <c r="P638" s="26" t="inlineStr"/>
    </row>
    <row r="639">
      <c r="A639" s="25" t="n">
        <v>2</v>
      </c>
      <c r="B639" s="25" t="inlineStr">
        <is>
          <t>INTERNATIONAL BUSINESS SCHOOL COTE D'IVOIRE (IBS-CI) AGBOVILLE</t>
        </is>
      </c>
      <c r="C639" s="25" t="inlineStr">
        <is>
          <t>Agboville</t>
        </is>
      </c>
      <c r="D639" s="25" t="inlineStr">
        <is>
          <t>+225 07 08 41 64 71</t>
        </is>
      </c>
      <c r="E639" s="25" t="inlineStr">
        <is>
          <t>+225 07 08 41 64 71</t>
        </is>
      </c>
      <c r="F639" s="25" t="inlineStr">
        <is>
          <t>ibsformation@yahoo.com</t>
        </is>
      </c>
      <c r="G639" s="26" t="inlineStr"/>
      <c r="H639" s="26" t="inlineStr"/>
      <c r="I639" s="26" t="inlineStr">
        <is>
          <t>A contacter</t>
        </is>
      </c>
      <c r="J639" s="27" t="n"/>
      <c r="K639" s="26" t="n"/>
      <c r="L639" s="26" t="n">
        <v>1</v>
      </c>
      <c r="M639" s="26" t="n"/>
      <c r="N639" s="26" t="inlineStr"/>
      <c r="O639" s="28">
        <f>IF(OR($J639="",$K639="",$M639=""),"",($J639+IF(AND($L639&gt;=2,$J639=5000),3000,0))*$K639*$M639)</f>
        <v/>
      </c>
      <c r="P639" s="26" t="inlineStr"/>
    </row>
    <row r="640">
      <c r="A640" s="25" t="n">
        <v>2</v>
      </c>
      <c r="B640" s="25" t="inlineStr">
        <is>
          <t>INTERNATIONAL HIGH BUSINESS INSTITUTE (IHBI)</t>
        </is>
      </c>
      <c r="C640" s="25" t="inlineStr">
        <is>
          <t>Yamoussoukro</t>
        </is>
      </c>
      <c r="D640" s="25" t="inlineStr">
        <is>
          <t>+225 07 07 52 35 97</t>
        </is>
      </c>
      <c r="E640" s="25" t="inlineStr">
        <is>
          <t>+225 07 07 52 35 97</t>
        </is>
      </c>
      <c r="F640" s="25" t="inlineStr">
        <is>
          <t>ihbi.info@gmail.com</t>
        </is>
      </c>
      <c r="G640" s="26" t="inlineStr"/>
      <c r="H640" s="26" t="inlineStr"/>
      <c r="I640" s="26" t="inlineStr">
        <is>
          <t>A contacter</t>
        </is>
      </c>
      <c r="J640" s="27" t="n"/>
      <c r="K640" s="26" t="n"/>
      <c r="L640" s="26" t="n">
        <v>1</v>
      </c>
      <c r="M640" s="26" t="n"/>
      <c r="N640" s="26" t="inlineStr"/>
      <c r="O640" s="28">
        <f>IF(OR($J640="",$K640="",$M640=""),"",($J640+IF(AND($L640&gt;=2,$J640=5000),3000,0))*$K640*$M640)</f>
        <v/>
      </c>
      <c r="P640" s="26" t="inlineStr"/>
    </row>
    <row r="641">
      <c r="A641" s="25" t="n">
        <v>2</v>
      </c>
      <c r="B641" s="25" t="inlineStr">
        <is>
          <t>INTERNATIONAL MANAGEMENT BUSINESS SCHOOL (IMBS ADIAKE)</t>
        </is>
      </c>
      <c r="C641" s="25" t="inlineStr">
        <is>
          <t>Adiake</t>
        </is>
      </c>
      <c r="D641" s="25" t="inlineStr"/>
      <c r="E641" s="25" t="inlineStr"/>
      <c r="F641" s="25" t="inlineStr"/>
      <c r="G641" s="26" t="inlineStr"/>
      <c r="H641" s="26" t="inlineStr"/>
      <c r="I641" s="26" t="inlineStr">
        <is>
          <t>A contacter</t>
        </is>
      </c>
      <c r="J641" s="27" t="n"/>
      <c r="K641" s="26" t="n"/>
      <c r="L641" s="26" t="n">
        <v>1</v>
      </c>
      <c r="M641" s="26" t="n"/>
      <c r="N641" s="26" t="inlineStr"/>
      <c r="O641" s="28">
        <f>IF(OR($J641="",$K641="",$M641=""),"",($J641+IF(AND($L641&gt;=2,$J641=5000),3000,0))*$K641*$M641)</f>
        <v/>
      </c>
      <c r="P641" s="26" t="inlineStr"/>
    </row>
    <row r="642">
      <c r="A642" s="25" t="n">
        <v>2</v>
      </c>
      <c r="B642" s="25" t="inlineStr">
        <is>
          <t>INTERNATIONAL PROFESSIONNEL INSTITUT (IPI)</t>
        </is>
      </c>
      <c r="C642" s="25" t="inlineStr">
        <is>
          <t>San Pedro</t>
        </is>
      </c>
      <c r="D642" s="25" t="inlineStr">
        <is>
          <t>+225 01 03 73 98 98</t>
        </is>
      </c>
      <c r="E642" s="25" t="inlineStr">
        <is>
          <t>+225 01 03 73 98 98</t>
        </is>
      </c>
      <c r="F642" s="25" t="inlineStr">
        <is>
          <t>infos@groupeatlantique.com</t>
        </is>
      </c>
      <c r="G642" s="26" t="inlineStr"/>
      <c r="H642" s="26" t="inlineStr"/>
      <c r="I642" s="26" t="inlineStr">
        <is>
          <t>A contacter</t>
        </is>
      </c>
      <c r="J642" s="27" t="n"/>
      <c r="K642" s="26" t="n"/>
      <c r="L642" s="26" t="n">
        <v>1</v>
      </c>
      <c r="M642" s="26" t="n"/>
      <c r="N642" s="26" t="inlineStr"/>
      <c r="O642" s="28">
        <f>IF(OR($J642="",$K642="",$M642=""),"",($J642+IF(AND($L642&gt;=2,$J642=5000),3000,0))*$K642*$M642)</f>
        <v/>
      </c>
      <c r="P642" s="26" t="inlineStr"/>
    </row>
    <row r="643">
      <c r="A643" s="25" t="n">
        <v>2</v>
      </c>
      <c r="B643" s="25" t="inlineStr">
        <is>
          <t>Intitut Supérieur Aly Chigata (ISAC) korhogo</t>
        </is>
      </c>
      <c r="C643" s="25" t="inlineStr">
        <is>
          <t>Korhogo</t>
        </is>
      </c>
      <c r="D643" s="25" t="inlineStr">
        <is>
          <t>+225 27 36 86 00 47</t>
        </is>
      </c>
      <c r="E643" s="25" t="inlineStr"/>
      <c r="F643" s="25" t="inlineStr">
        <is>
          <t>malickkone201@yahoo.com</t>
        </is>
      </c>
      <c r="G643" s="26" t="inlineStr"/>
      <c r="H643" s="26" t="inlineStr"/>
      <c r="I643" s="26" t="inlineStr">
        <is>
          <t>A contacter</t>
        </is>
      </c>
      <c r="J643" s="27" t="n"/>
      <c r="K643" s="26" t="n"/>
      <c r="L643" s="26" t="n">
        <v>1</v>
      </c>
      <c r="M643" s="26" t="n"/>
      <c r="N643" s="26" t="inlineStr"/>
      <c r="O643" s="28">
        <f>IF(OR($J643="",$K643="",$M643=""),"",($J643+IF(AND($L643&gt;=2,$J643=5000),3000,0))*$K643*$M643)</f>
        <v/>
      </c>
      <c r="P643" s="26" t="inlineStr"/>
    </row>
    <row r="644">
      <c r="A644" s="25" t="n">
        <v>2</v>
      </c>
      <c r="B644" s="25" t="inlineStr">
        <is>
          <t>IPEX KORHOGO</t>
        </is>
      </c>
      <c r="C644" s="25" t="inlineStr">
        <is>
          <t>Korhogo</t>
        </is>
      </c>
      <c r="D644" s="25" t="inlineStr">
        <is>
          <t>+225 27 36 85 06 92</t>
        </is>
      </c>
      <c r="E644" s="25" t="inlineStr"/>
      <c r="F644" s="25" t="inlineStr">
        <is>
          <t>ipexformation@gmail.com</t>
        </is>
      </c>
      <c r="G644" s="26" t="inlineStr"/>
      <c r="H644" s="26" t="inlineStr"/>
      <c r="I644" s="26" t="inlineStr">
        <is>
          <t>A contacter</t>
        </is>
      </c>
      <c r="J644" s="27" t="n"/>
      <c r="K644" s="26" t="n"/>
      <c r="L644" s="26" t="n">
        <v>1</v>
      </c>
      <c r="M644" s="26" t="n"/>
      <c r="N644" s="26" t="inlineStr"/>
      <c r="O644" s="28">
        <f>IF(OR($J644="",$K644="",$M644=""),"",($J644+IF(AND($L644&gt;=2,$J644=5000),3000,0))*$K644*$M644)</f>
        <v/>
      </c>
      <c r="P644" s="26" t="inlineStr"/>
    </row>
    <row r="645">
      <c r="A645" s="25" t="n">
        <v>2</v>
      </c>
      <c r="B645" s="25" t="inlineStr">
        <is>
          <t>ISACM - Institut Superieur des Arts et du Commerce Management</t>
        </is>
      </c>
      <c r="C645" s="25" t="inlineStr">
        <is>
          <t>Korhogo</t>
        </is>
      </c>
      <c r="D645" s="25" t="inlineStr">
        <is>
          <t>+225 07 09 41 67 27</t>
        </is>
      </c>
      <c r="E645" s="25" t="inlineStr">
        <is>
          <t>+225 07 09 41 67 27</t>
        </is>
      </c>
      <c r="F645" s="25" t="inlineStr"/>
      <c r="G645" s="26" t="inlineStr"/>
      <c r="H645" s="26" t="inlineStr"/>
      <c r="I645" s="26" t="inlineStr">
        <is>
          <t>A contacter</t>
        </is>
      </c>
      <c r="J645" s="27" t="n"/>
      <c r="K645" s="26" t="n"/>
      <c r="L645" s="26" t="n">
        <v>1</v>
      </c>
      <c r="M645" s="26" t="n"/>
      <c r="N645" s="26" t="inlineStr"/>
      <c r="O645" s="28">
        <f>IF(OR($J645="",$K645="",$M645=""),"",($J645+IF(AND($L645&gt;=2,$J645=5000),3000,0))*$K645*$M645)</f>
        <v/>
      </c>
      <c r="P645" s="26" t="inlineStr"/>
    </row>
    <row r="646">
      <c r="A646" s="25" t="n">
        <v>2</v>
      </c>
      <c r="B646" s="25" t="inlineStr">
        <is>
          <t>ISCAE ANNEXE QUARTIER CAFOP YAMOUSSOUKRO (ISCAE YAKRO)</t>
        </is>
      </c>
      <c r="C646" s="25" t="inlineStr">
        <is>
          <t>Yamoussoukro</t>
        </is>
      </c>
      <c r="D646" s="25" t="inlineStr">
        <is>
          <t>+225 07 07 41 92 36</t>
        </is>
      </c>
      <c r="E646" s="25" t="inlineStr">
        <is>
          <t>+225 07 07 41 92 36</t>
        </is>
      </c>
      <c r="F646" s="25" t="inlineStr">
        <is>
          <t>broualainkoffi93@gmail.com</t>
        </is>
      </c>
      <c r="G646" s="26" t="inlineStr"/>
      <c r="H646" s="26" t="inlineStr"/>
      <c r="I646" s="26" t="inlineStr">
        <is>
          <t>A contacter</t>
        </is>
      </c>
      <c r="J646" s="27" t="n"/>
      <c r="K646" s="26" t="n"/>
      <c r="L646" s="26" t="n">
        <v>1</v>
      </c>
      <c r="M646" s="26" t="n"/>
      <c r="N646" s="26" t="inlineStr"/>
      <c r="O646" s="28">
        <f>IF(OR($J646="",$K646="",$M646=""),"",($J646+IF(AND($L646&gt;=2,$J646=5000),3000,0))*$K646*$M646)</f>
        <v/>
      </c>
      <c r="P646" s="26" t="inlineStr"/>
    </row>
    <row r="647">
      <c r="A647" s="25" t="n">
        <v>2</v>
      </c>
      <c r="B647" s="25" t="inlineStr">
        <is>
          <t>ISFCG - Institut Superieur de Formation en Commerce et Gestion d'Abidjan</t>
        </is>
      </c>
      <c r="C647" s="25" t="inlineStr">
        <is>
          <t>Abidjan - Adjame</t>
        </is>
      </c>
      <c r="D647" s="25" t="inlineStr">
        <is>
          <t>+225 27 22 52 49 48</t>
        </is>
      </c>
      <c r="E647" s="25" t="inlineStr">
        <is>
          <t>+225 07 48 36 37 22</t>
        </is>
      </c>
      <c r="F647" s="25" t="inlineStr"/>
      <c r="G647" s="26" t="inlineStr"/>
      <c r="H647" s="26" t="inlineStr"/>
      <c r="I647" s="26" t="inlineStr">
        <is>
          <t>A contacter</t>
        </is>
      </c>
      <c r="J647" s="27" t="n"/>
      <c r="K647" s="26" t="n"/>
      <c r="L647" s="26" t="n">
        <v>1</v>
      </c>
      <c r="M647" s="26" t="n"/>
      <c r="N647" s="26" t="inlineStr"/>
      <c r="O647" s="28">
        <f>IF(OR($J647="",$K647="",$M647=""),"",($J647+IF(AND($L647&gt;=2,$J647=5000),3000,0))*$K647*$M647)</f>
        <v/>
      </c>
      <c r="P647" s="26" t="inlineStr"/>
    </row>
    <row r="648">
      <c r="A648" s="25" t="n">
        <v>2</v>
      </c>
      <c r="B648" s="25" t="inlineStr">
        <is>
          <t>ISID ABOISSO</t>
        </is>
      </c>
      <c r="C648" s="25" t="inlineStr">
        <is>
          <t>Aboisso</t>
        </is>
      </c>
      <c r="D648" s="25" t="inlineStr">
        <is>
          <t>+225 27 22 54 41 99</t>
        </is>
      </c>
      <c r="E648" s="25" t="inlineStr">
        <is>
          <t>+225 05 04 32 30 64</t>
        </is>
      </c>
      <c r="F648" s="25" t="inlineStr">
        <is>
          <t>isidaboisso@gmail.com</t>
        </is>
      </c>
      <c r="G648" s="26" t="inlineStr"/>
      <c r="H648" s="26" t="inlineStr"/>
      <c r="I648" s="26" t="inlineStr">
        <is>
          <t>A contacter</t>
        </is>
      </c>
      <c r="J648" s="27" t="n"/>
      <c r="K648" s="26" t="n"/>
      <c r="L648" s="26" t="n">
        <v>1</v>
      </c>
      <c r="M648" s="26" t="n"/>
      <c r="N648" s="26" t="inlineStr"/>
      <c r="O648" s="28">
        <f>IF(OR($J648="",$K648="",$M648=""),"",($J648+IF(AND($L648&gt;=2,$J648=5000),3000,0))*$K648*$M648)</f>
        <v/>
      </c>
      <c r="P648" s="26" t="inlineStr"/>
    </row>
    <row r="649">
      <c r="A649" s="25" t="n">
        <v>2</v>
      </c>
      <c r="B649" s="25" t="inlineStr">
        <is>
          <t>ISMT INSTITUT SUPERIEUR DU MONT TONKPI MAN</t>
        </is>
      </c>
      <c r="C649" s="25" t="inlineStr">
        <is>
          <t>Man</t>
        </is>
      </c>
      <c r="D649" s="25" t="inlineStr"/>
      <c r="E649" s="25" t="inlineStr"/>
      <c r="F649" s="25" t="inlineStr"/>
      <c r="G649" s="26" t="inlineStr"/>
      <c r="H649" s="26" t="inlineStr"/>
      <c r="I649" s="26" t="inlineStr">
        <is>
          <t>A contacter</t>
        </is>
      </c>
      <c r="J649" s="27" t="n"/>
      <c r="K649" s="26" t="n"/>
      <c r="L649" s="26" t="n">
        <v>1</v>
      </c>
      <c r="M649" s="26" t="n"/>
      <c r="N649" s="26" t="inlineStr"/>
      <c r="O649" s="28">
        <f>IF(OR($J649="",$K649="",$M649=""),"",($J649+IF(AND($L649&gt;=2,$J649=5000),3000,0))*$K649*$M649)</f>
        <v/>
      </c>
      <c r="P649" s="26" t="inlineStr"/>
    </row>
    <row r="650">
      <c r="A650" s="25" t="n">
        <v>2</v>
      </c>
      <c r="B650" s="25" t="inlineStr">
        <is>
          <t>ISNO SEGUELA</t>
        </is>
      </c>
      <c r="C650" s="25" t="inlineStr">
        <is>
          <t>Seguela</t>
        </is>
      </c>
      <c r="D650" s="25" t="inlineStr">
        <is>
          <t>+225 27 32 74 03 85</t>
        </is>
      </c>
      <c r="E650" s="25" t="inlineStr">
        <is>
          <t>+225 27 32 74 03 87</t>
        </is>
      </c>
      <c r="F650" s="25" t="inlineStr">
        <is>
          <t>ladjifonde@gmail.com</t>
        </is>
      </c>
      <c r="G650" s="26" t="inlineStr"/>
      <c r="H650" s="26" t="inlineStr"/>
      <c r="I650" s="26" t="inlineStr">
        <is>
          <t>A contacter</t>
        </is>
      </c>
      <c r="J650" s="27" t="n"/>
      <c r="K650" s="26" t="n"/>
      <c r="L650" s="26" t="n">
        <v>1</v>
      </c>
      <c r="M650" s="26" t="n"/>
      <c r="N650" s="26" t="inlineStr"/>
      <c r="O650" s="28">
        <f>IF(OR($J650="",$K650="",$M650=""),"",($J650+IF(AND($L650&gt;=2,$J650=5000),3000,0))*$K650*$M650)</f>
        <v/>
      </c>
      <c r="P650" s="26" t="inlineStr"/>
    </row>
    <row r="651">
      <c r="A651" s="25" t="n">
        <v>2</v>
      </c>
      <c r="B651" s="25" t="inlineStr">
        <is>
          <t>IST - MUPES INSTITUT SUPERIEUR DE TECHNOLOGIE MUPES</t>
        </is>
      </c>
      <c r="C651" s="25" t="inlineStr">
        <is>
          <t>Agnibilekro</t>
        </is>
      </c>
      <c r="D651" s="25" t="inlineStr">
        <is>
          <t>+225 07 58 39 78 12</t>
        </is>
      </c>
      <c r="E651" s="25" t="inlineStr">
        <is>
          <t>+225 07 58 39 78 12</t>
        </is>
      </c>
      <c r="F651" s="25" t="inlineStr"/>
      <c r="G651" s="26" t="inlineStr"/>
      <c r="H651" s="26" t="inlineStr"/>
      <c r="I651" s="26" t="inlineStr">
        <is>
          <t>A contacter</t>
        </is>
      </c>
      <c r="J651" s="27" t="n"/>
      <c r="K651" s="26" t="n"/>
      <c r="L651" s="26" t="n">
        <v>1</v>
      </c>
      <c r="M651" s="26" t="n"/>
      <c r="N651" s="26" t="inlineStr"/>
      <c r="O651" s="28">
        <f>IF(OR($J651="",$K651="",$M651=""),"",($J651+IF(AND($L651&gt;=2,$J651=5000),3000,0))*$K651*$M651)</f>
        <v/>
      </c>
      <c r="P651" s="26" t="inlineStr"/>
    </row>
    <row r="652">
      <c r="A652" s="25" t="n">
        <v>2</v>
      </c>
      <c r="B652" s="25" t="inlineStr">
        <is>
          <t>IST SAINT JACQUES BOUAKE (ISTSJBKE)</t>
        </is>
      </c>
      <c r="C652" s="25" t="inlineStr">
        <is>
          <t>Bouake</t>
        </is>
      </c>
      <c r="D652" s="25" t="inlineStr">
        <is>
          <t>+225 01 42 12 12 06</t>
        </is>
      </c>
      <c r="E652" s="25" t="inlineStr">
        <is>
          <t>+225 01 42 12 12 06</t>
        </is>
      </c>
      <c r="F652" s="25" t="inlineStr">
        <is>
          <t>istsjbke@gmail.com</t>
        </is>
      </c>
      <c r="G652" s="26" t="inlineStr"/>
      <c r="H652" s="26" t="inlineStr"/>
      <c r="I652" s="26" t="inlineStr">
        <is>
          <t>A contacter</t>
        </is>
      </c>
      <c r="J652" s="27" t="n"/>
      <c r="K652" s="26" t="n"/>
      <c r="L652" s="26" t="n">
        <v>1</v>
      </c>
      <c r="M652" s="26" t="n"/>
      <c r="N652" s="26" t="inlineStr"/>
      <c r="O652" s="28">
        <f>IF(OR($J652="",$K652="",$M652=""),"",($J652+IF(AND($L652&gt;=2,$J652=5000),3000,0))*$K652*$M652)</f>
        <v/>
      </c>
      <c r="P652" s="26" t="inlineStr"/>
    </row>
    <row r="653">
      <c r="A653" s="25" t="n">
        <v>2</v>
      </c>
      <c r="B653" s="25" t="inlineStr">
        <is>
          <t>ISTCI - Institut Superieur de Technologie de Cote d'Ivoire</t>
        </is>
      </c>
      <c r="C653" s="25" t="inlineStr">
        <is>
          <t>Abidjan - Plateau et Cocody</t>
        </is>
      </c>
      <c r="D653" s="25" t="inlineStr">
        <is>
          <t>+225 27 20 22 70 82</t>
        </is>
      </c>
      <c r="E653" s="25" t="inlineStr">
        <is>
          <t>+225 27 20 22 69 22</t>
        </is>
      </c>
      <c r="F653" s="25" t="inlineStr"/>
      <c r="G653" s="26" t="inlineStr"/>
      <c r="H653" s="26" t="inlineStr"/>
      <c r="I653" s="26" t="inlineStr">
        <is>
          <t>A contacter</t>
        </is>
      </c>
      <c r="J653" s="27" t="n"/>
      <c r="K653" s="26" t="n"/>
      <c r="L653" s="26" t="n">
        <v>1</v>
      </c>
      <c r="M653" s="26" t="n"/>
      <c r="N653" s="26" t="inlineStr"/>
      <c r="O653" s="28">
        <f>IF(OR($J653="",$K653="",$M653=""),"",($J653+IF(AND($L653&gt;=2,$J653=5000),3000,0))*$K653*$M653)</f>
        <v/>
      </c>
      <c r="P653" s="26" t="inlineStr"/>
    </row>
    <row r="654">
      <c r="A654" s="25" t="n">
        <v>2</v>
      </c>
      <c r="B654" s="25" t="inlineStr">
        <is>
          <t>ISTG PIERRE MARIE GAGNOA</t>
        </is>
      </c>
      <c r="C654" s="25" t="inlineStr">
        <is>
          <t>Gagnoa</t>
        </is>
      </c>
      <c r="D654" s="25" t="inlineStr">
        <is>
          <t>+225 07 57 83 20 90</t>
        </is>
      </c>
      <c r="E654" s="25" t="inlineStr">
        <is>
          <t>+225 07 57 83 20 90</t>
        </is>
      </c>
      <c r="F654" s="25" t="inlineStr">
        <is>
          <t>istg01@yahoo.com</t>
        </is>
      </c>
      <c r="G654" s="26" t="inlineStr"/>
      <c r="H654" s="26" t="inlineStr"/>
      <c r="I654" s="26" t="inlineStr">
        <is>
          <t>A contacter</t>
        </is>
      </c>
      <c r="J654" s="27" t="n"/>
      <c r="K654" s="26" t="n"/>
      <c r="L654" s="26" t="n">
        <v>1</v>
      </c>
      <c r="M654" s="26" t="n"/>
      <c r="N654" s="26" t="inlineStr"/>
      <c r="O654" s="28">
        <f>IF(OR($J654="",$K654="",$M654=""),"",($J654+IF(AND($L654&gt;=2,$J654=5000),3000,0))*$K654*$M654)</f>
        <v/>
      </c>
      <c r="P654" s="26" t="inlineStr"/>
    </row>
    <row r="655">
      <c r="A655" s="25" t="n">
        <v>2</v>
      </c>
      <c r="B655" s="25" t="inlineStr">
        <is>
          <t>IT ACADEMY DALOA (INTERNATIONAL TECHNOLOGY ACADEMY)</t>
        </is>
      </c>
      <c r="C655" s="25" t="inlineStr">
        <is>
          <t>Daloa</t>
        </is>
      </c>
      <c r="D655" s="25" t="inlineStr">
        <is>
          <t>+225 07 08 56 92 45</t>
        </is>
      </c>
      <c r="E655" s="25" t="inlineStr">
        <is>
          <t>+225 07 08 56 92 45</t>
        </is>
      </c>
      <c r="F655" s="25" t="inlineStr">
        <is>
          <t>infos@itacademyci.com</t>
        </is>
      </c>
      <c r="G655" s="26" t="inlineStr"/>
      <c r="H655" s="26" t="inlineStr"/>
      <c r="I655" s="26" t="inlineStr">
        <is>
          <t>A contacter</t>
        </is>
      </c>
      <c r="J655" s="27" t="n"/>
      <c r="K655" s="26" t="n"/>
      <c r="L655" s="26" t="n">
        <v>1</v>
      </c>
      <c r="M655" s="26" t="n"/>
      <c r="N655" s="26" t="inlineStr"/>
      <c r="O655" s="28">
        <f>IF(OR($J655="",$K655="",$M655=""),"",($J655+IF(AND($L655&gt;=2,$J655=5000),3000,0))*$K655*$M655)</f>
        <v/>
      </c>
      <c r="P655" s="26" t="inlineStr"/>
    </row>
    <row r="656">
      <c r="A656" s="25" t="n">
        <v>2</v>
      </c>
      <c r="B656" s="25" t="inlineStr">
        <is>
          <t>ITA - Institut des Technologies d'Abidjan</t>
        </is>
      </c>
      <c r="C656" s="25" t="inlineStr">
        <is>
          <t>Abidjan - Marcory Zone 4</t>
        </is>
      </c>
      <c r="D656" s="25" t="inlineStr">
        <is>
          <t>+225 27 21 28 32 92</t>
        </is>
      </c>
      <c r="E656" s="25" t="inlineStr">
        <is>
          <t>+225 07 08 11 86 87</t>
        </is>
      </c>
      <c r="F656" s="25" t="inlineStr"/>
      <c r="G656" s="26" t="inlineStr"/>
      <c r="H656" s="26" t="inlineStr"/>
      <c r="I656" s="26" t="inlineStr">
        <is>
          <t>A contacter</t>
        </is>
      </c>
      <c r="J656" s="27" t="n"/>
      <c r="K656" s="26" t="n"/>
      <c r="L656" s="26" t="n">
        <v>1</v>
      </c>
      <c r="M656" s="26" t="n"/>
      <c r="N656" s="26" t="inlineStr"/>
      <c r="O656" s="28">
        <f>IF(OR($J656="",$K656="",$M656=""),"",($J656+IF(AND($L656&gt;=2,$J656=5000),3000,0))*$K656*$M656)</f>
        <v/>
      </c>
      <c r="P656" s="26" t="inlineStr"/>
    </row>
    <row r="657">
      <c r="A657" s="25" t="n">
        <v>2</v>
      </c>
      <c r="B657" s="25" t="inlineStr">
        <is>
          <t>ITES (Institut de Technologies et Specialites)</t>
        </is>
      </c>
      <c r="C657" s="25" t="inlineStr">
        <is>
          <t>Abidjan - Cocody II Plateaux Sanon</t>
        </is>
      </c>
      <c r="D657" s="25" t="inlineStr">
        <is>
          <t>+225 27 22 52 20 84</t>
        </is>
      </c>
      <c r="E657" s="25" t="inlineStr"/>
      <c r="F657" s="25" t="inlineStr"/>
      <c r="G657" s="26" t="inlineStr"/>
      <c r="H657" s="26" t="inlineStr"/>
      <c r="I657" s="26" t="inlineStr">
        <is>
          <t>A contacter</t>
        </is>
      </c>
      <c r="J657" s="27" t="n"/>
      <c r="K657" s="26" t="n"/>
      <c r="L657" s="26" t="n">
        <v>1</v>
      </c>
      <c r="M657" s="26" t="n"/>
      <c r="N657" s="26" t="inlineStr"/>
      <c r="O657" s="28">
        <f>IF(OR($J657="",$K657="",$M657=""),"",($J657+IF(AND($L657&gt;=2,$J657=5000),3000,0))*$K657*$M657)</f>
        <v/>
      </c>
      <c r="P657" s="26" t="inlineStr"/>
    </row>
    <row r="658">
      <c r="A658" s="25" t="n">
        <v>2</v>
      </c>
      <c r="B658" s="25" t="inlineStr">
        <is>
          <t>IUSS Institut Universitaire des Sciences de la Sante de Cote d Ivoire</t>
        </is>
      </c>
      <c r="C658" s="25" t="inlineStr">
        <is>
          <t>Abidjan Cocody</t>
        </is>
      </c>
      <c r="D658" s="25" t="inlineStr">
        <is>
          <t>+225 05 74 74 70 65</t>
        </is>
      </c>
      <c r="E658" s="25" t="inlineStr">
        <is>
          <t>+225 07 07 11 00 48</t>
        </is>
      </c>
      <c r="F658" s="25" t="inlineStr"/>
      <c r="G658" s="26" t="inlineStr"/>
      <c r="H658" s="26" t="inlineStr"/>
      <c r="I658" s="26" t="inlineStr">
        <is>
          <t>A contacter</t>
        </is>
      </c>
      <c r="J658" s="27" t="n"/>
      <c r="K658" s="26" t="n"/>
      <c r="L658" s="26" t="n">
        <v>1</v>
      </c>
      <c r="M658" s="26" t="n"/>
      <c r="N658" s="26" t="inlineStr"/>
      <c r="O658" s="28">
        <f>IF(OR($J658="",$K658="",$M658=""),"",($J658+IF(AND($L658&gt;=2,$J658=5000),3000,0))*$K658*$M658)</f>
        <v/>
      </c>
      <c r="P658" s="26" t="inlineStr"/>
    </row>
    <row r="659">
      <c r="A659" s="25" t="n">
        <v>2</v>
      </c>
      <c r="B659" s="25" t="inlineStr">
        <is>
          <t>OVM – SUP DUEKOUE</t>
        </is>
      </c>
      <c r="C659" s="25" t="inlineStr">
        <is>
          <t>Duekoue</t>
        </is>
      </c>
      <c r="D659" s="25" t="inlineStr">
        <is>
          <t>+225 07 07 47 04 34</t>
        </is>
      </c>
      <c r="E659" s="25" t="inlineStr">
        <is>
          <t>+225 07 07 47 04 34</t>
        </is>
      </c>
      <c r="F659" s="25" t="inlineStr">
        <is>
          <t>ovmsup@gmail.com</t>
        </is>
      </c>
      <c r="G659" s="26" t="inlineStr"/>
      <c r="H659" s="26" t="inlineStr"/>
      <c r="I659" s="26" t="inlineStr">
        <is>
          <t>A contacter</t>
        </is>
      </c>
      <c r="J659" s="27" t="n"/>
      <c r="K659" s="26" t="n"/>
      <c r="L659" s="26" t="n">
        <v>1</v>
      </c>
      <c r="M659" s="26" t="n"/>
      <c r="N659" s="26" t="inlineStr"/>
      <c r="O659" s="28">
        <f>IF(OR($J659="",$K659="",$M659=""),"",($J659+IF(AND($L659&gt;=2,$J659=5000),3000,0))*$K659*$M659)</f>
        <v/>
      </c>
      <c r="P659" s="26" t="inlineStr"/>
    </row>
    <row r="660">
      <c r="A660" s="25" t="n">
        <v>2</v>
      </c>
      <c r="B660" s="25" t="inlineStr">
        <is>
          <t>PIGIER COTE D'IVOIRE YAMOUSSOUKRO (PIGIER CI-YAMOUSSOUKRO)</t>
        </is>
      </c>
      <c r="C660" s="25" t="inlineStr">
        <is>
          <t>Yamoussoukro</t>
        </is>
      </c>
      <c r="D660" s="25" t="inlineStr">
        <is>
          <t>+225 07 87 72 36 66</t>
        </is>
      </c>
      <c r="E660" s="25" t="inlineStr">
        <is>
          <t>+225 07 87 72 36 66</t>
        </is>
      </c>
      <c r="F660" s="25" t="inlineStr">
        <is>
          <t>pigierci@pigierci.com</t>
        </is>
      </c>
      <c r="G660" s="26" t="inlineStr"/>
      <c r="H660" s="26" t="inlineStr"/>
      <c r="I660" s="26" t="inlineStr">
        <is>
          <t>A contacter</t>
        </is>
      </c>
      <c r="J660" s="27" t="n"/>
      <c r="K660" s="26" t="n"/>
      <c r="L660" s="26" t="n">
        <v>1</v>
      </c>
      <c r="M660" s="26" t="n"/>
      <c r="N660" s="26" t="inlineStr"/>
      <c r="O660" s="28">
        <f>IF(OR($J660="",$K660="",$M660=""),"",($J660+IF(AND($L660&gt;=2,$J660=5000),3000,0))*$K660*$M660)</f>
        <v/>
      </c>
      <c r="P660" s="26" t="inlineStr"/>
    </row>
    <row r="661">
      <c r="A661" s="25" t="n">
        <v>2</v>
      </c>
      <c r="B661" s="25" t="inlineStr">
        <is>
          <t>Simplon Cote d'Ivoire</t>
        </is>
      </c>
      <c r="C661" s="25" t="inlineStr">
        <is>
          <t>Abidjan - Cocody</t>
        </is>
      </c>
      <c r="D661" s="25" t="inlineStr">
        <is>
          <t>+225 05 44 03 45 45</t>
        </is>
      </c>
      <c r="E661" s="25" t="inlineStr">
        <is>
          <t>+225 05 03 38 21 55</t>
        </is>
      </c>
      <c r="F661" s="25" t="inlineStr">
        <is>
          <t>simplonci@simplon.co</t>
        </is>
      </c>
      <c r="G661" s="26" t="inlineStr"/>
      <c r="H661" s="26" t="inlineStr"/>
      <c r="I661" s="26" t="inlineStr">
        <is>
          <t>A contacter</t>
        </is>
      </c>
      <c r="J661" s="27" t="n"/>
      <c r="K661" s="26" t="n"/>
      <c r="L661" s="26" t="n">
        <v>1</v>
      </c>
      <c r="M661" s="26" t="n"/>
      <c r="N661" s="26" t="inlineStr"/>
      <c r="O661" s="28">
        <f>IF(OR($J661="",$K661="",$M661=""),"",($J661+IF(AND($L661&gt;=2,$J661=5000),3000,0))*$K661*$M661)</f>
        <v/>
      </c>
      <c r="P661" s="26" t="inlineStr"/>
    </row>
    <row r="662">
      <c r="A662" s="25" t="n">
        <v>2</v>
      </c>
      <c r="B662" s="25" t="inlineStr">
        <is>
          <t>SONGON DIGITAL BRIDGE INSTITUTE (SDBI)</t>
        </is>
      </c>
      <c r="C662" s="25" t="inlineStr">
        <is>
          <t>Songon</t>
        </is>
      </c>
      <c r="D662" s="25" t="inlineStr">
        <is>
          <t>+225 07 77 09 09 40</t>
        </is>
      </c>
      <c r="E662" s="25" t="inlineStr">
        <is>
          <t>+225 07 77 09 09 40</t>
        </is>
      </c>
      <c r="F662" s="25" t="inlineStr"/>
      <c r="G662" s="26" t="inlineStr"/>
      <c r="H662" s="26" t="inlineStr"/>
      <c r="I662" s="26" t="inlineStr">
        <is>
          <t>A contacter</t>
        </is>
      </c>
      <c r="J662" s="27" t="n"/>
      <c r="K662" s="26" t="n"/>
      <c r="L662" s="26" t="n">
        <v>1</v>
      </c>
      <c r="M662" s="26" t="n"/>
      <c r="N662" s="26" t="inlineStr"/>
      <c r="O662" s="28">
        <f>IF(OR($J662="",$K662="",$M662=""),"",($J662+IF(AND($L662&gt;=2,$J662=5000),3000,0))*$K662*$M662)</f>
        <v/>
      </c>
      <c r="P662" s="26" t="inlineStr"/>
    </row>
    <row r="663">
      <c r="A663" s="25" t="n">
        <v>2</v>
      </c>
      <c r="B663" s="25" t="inlineStr">
        <is>
          <t>SUP'INTER DALOA</t>
        </is>
      </c>
      <c r="C663" s="25" t="inlineStr">
        <is>
          <t>Daloa</t>
        </is>
      </c>
      <c r="D663" s="25" t="inlineStr">
        <is>
          <t>+225 07 00 80 52 28</t>
        </is>
      </c>
      <c r="E663" s="25" t="inlineStr">
        <is>
          <t>+225 07 00 80 52 28</t>
        </is>
      </c>
      <c r="F663" s="25" t="inlineStr">
        <is>
          <t>sup.interdaloa19@gmail.com</t>
        </is>
      </c>
      <c r="G663" s="26" t="inlineStr"/>
      <c r="H663" s="26" t="inlineStr"/>
      <c r="I663" s="26" t="inlineStr">
        <is>
          <t>A contacter</t>
        </is>
      </c>
      <c r="J663" s="27" t="n"/>
      <c r="K663" s="26" t="n"/>
      <c r="L663" s="26" t="n">
        <v>1</v>
      </c>
      <c r="M663" s="26" t="n"/>
      <c r="N663" s="26" t="inlineStr"/>
      <c r="O663" s="28">
        <f>IF(OR($J663="",$K663="",$M663=""),"",($J663+IF(AND($L663&gt;=2,$J663=5000),3000,0))*$K663*$M663)</f>
        <v/>
      </c>
      <c r="P663" s="26" t="inlineStr"/>
    </row>
    <row r="664">
      <c r="A664" s="25" t="n">
        <v>2</v>
      </c>
      <c r="B664" s="25" t="inlineStr">
        <is>
          <t>SUP'INTER TIASSALE</t>
        </is>
      </c>
      <c r="C664" s="25" t="inlineStr">
        <is>
          <t>Tiassale</t>
        </is>
      </c>
      <c r="D664" s="25" t="inlineStr">
        <is>
          <t>+225 07 18 59 55 95</t>
        </is>
      </c>
      <c r="E664" s="25" t="inlineStr">
        <is>
          <t>+225 07 18 59 55 95</t>
        </is>
      </c>
      <c r="F664" s="25" t="inlineStr">
        <is>
          <t>sup.intertiassale23@gmail.com</t>
        </is>
      </c>
      <c r="G664" s="26" t="inlineStr"/>
      <c r="H664" s="26" t="inlineStr"/>
      <c r="I664" s="26" t="inlineStr">
        <is>
          <t>A contacter</t>
        </is>
      </c>
      <c r="J664" s="27" t="n"/>
      <c r="K664" s="26" t="n"/>
      <c r="L664" s="26" t="n">
        <v>1</v>
      </c>
      <c r="M664" s="26" t="n"/>
      <c r="N664" s="26" t="inlineStr"/>
      <c r="O664" s="28">
        <f>IF(OR($J664="",$K664="",$M664=""),"",($J664+IF(AND($L664&gt;=2,$J664=5000),3000,0))*$K664*$M664)</f>
        <v/>
      </c>
      <c r="P664" s="26" t="inlineStr"/>
    </row>
    <row r="665">
      <c r="A665" s="25" t="n">
        <v>2</v>
      </c>
      <c r="B665" s="25" t="inlineStr">
        <is>
          <t>Sup'Management Cote d'Ivoire</t>
        </is>
      </c>
      <c r="C665" s="25" t="inlineStr">
        <is>
          <t>Abidjan - Cocody Deux-Plateaux Vallon</t>
        </is>
      </c>
      <c r="D665" s="25" t="inlineStr">
        <is>
          <t>+225 27 22 41 22 67</t>
        </is>
      </c>
      <c r="E665" s="25" t="inlineStr"/>
      <c r="F665" s="25" t="inlineStr">
        <is>
          <t>supmgtcivoire@supmanagement.ma</t>
        </is>
      </c>
      <c r="G665" s="26" t="inlineStr"/>
      <c r="H665" s="26" t="inlineStr"/>
      <c r="I665" s="26" t="inlineStr">
        <is>
          <t>A contacter</t>
        </is>
      </c>
      <c r="J665" s="27" t="n"/>
      <c r="K665" s="26" t="n"/>
      <c r="L665" s="26" t="n">
        <v>1</v>
      </c>
      <c r="M665" s="26" t="n"/>
      <c r="N665" s="26" t="inlineStr"/>
      <c r="O665" s="28">
        <f>IF(OR($J665="",$K665="",$M665=""),"",($J665+IF(AND($L665&gt;=2,$J665=5000),3000,0))*$K665*$M665)</f>
        <v/>
      </c>
      <c r="P665" s="26" t="inlineStr"/>
    </row>
    <row r="666">
      <c r="A666" s="25" t="n">
        <v>2</v>
      </c>
      <c r="B666" s="25" t="inlineStr">
        <is>
          <t>SUPAGRO AFRIQUE</t>
        </is>
      </c>
      <c r="C666" s="25" t="inlineStr">
        <is>
          <t>Yamoussoukro</t>
        </is>
      </c>
      <c r="D666" s="25" t="inlineStr">
        <is>
          <t>+225 27 30 00 28 88</t>
        </is>
      </c>
      <c r="E666" s="25" t="inlineStr">
        <is>
          <t>+225 07 69 69 66 19</t>
        </is>
      </c>
      <c r="F666" s="25" t="inlineStr">
        <is>
          <t>infos@supagro-afrique.com</t>
        </is>
      </c>
      <c r="G666" s="26" t="inlineStr"/>
      <c r="H666" s="26" t="inlineStr"/>
      <c r="I666" s="26" t="inlineStr">
        <is>
          <t>A contacter</t>
        </is>
      </c>
      <c r="J666" s="27" t="n"/>
      <c r="K666" s="26" t="n"/>
      <c r="L666" s="26" t="n">
        <v>1</v>
      </c>
      <c r="M666" s="26" t="n"/>
      <c r="N666" s="26" t="inlineStr"/>
      <c r="O666" s="28">
        <f>IF(OR($J666="",$K666="",$M666=""),"",($J666+IF(AND($L666&gt;=2,$J666=5000),3000,0))*$K666*$M666)</f>
        <v/>
      </c>
      <c r="P666" s="26" t="inlineStr"/>
    </row>
    <row r="667">
      <c r="A667" s="25" t="n">
        <v>2</v>
      </c>
      <c r="B667" s="25" t="inlineStr">
        <is>
          <t>UICI</t>
        </is>
      </c>
      <c r="C667" s="25" t="inlineStr">
        <is>
          <t>Abidjan - Cocody Angre</t>
        </is>
      </c>
      <c r="D667" s="25" t="inlineStr">
        <is>
          <t>+225 27 22 42 10 15</t>
        </is>
      </c>
      <c r="E667" s="25" t="inlineStr">
        <is>
          <t>+225 07 07 31 43 14</t>
        </is>
      </c>
      <c r="F667" s="25" t="inlineStr"/>
      <c r="G667" s="26" t="inlineStr"/>
      <c r="H667" s="26" t="inlineStr"/>
      <c r="I667" s="26" t="inlineStr">
        <is>
          <t>A contacter</t>
        </is>
      </c>
      <c r="J667" s="27" t="n"/>
      <c r="K667" s="26" t="n"/>
      <c r="L667" s="26" t="n">
        <v>1</v>
      </c>
      <c r="M667" s="26" t="n"/>
      <c r="N667" s="26" t="inlineStr"/>
      <c r="O667" s="28">
        <f>IF(OR($J667="",$K667="",$M667=""),"",($J667+IF(AND($L667&gt;=2,$J667=5000),3000,0))*$K667*$M667)</f>
        <v/>
      </c>
      <c r="P667" s="26" t="inlineStr"/>
    </row>
    <row r="668">
      <c r="A668" s="25" t="n">
        <v>2</v>
      </c>
      <c r="B668" s="25" t="inlineStr">
        <is>
          <t>UNIHTEC ACADEMY - UNIVERS DES HAUTES TECHNOLOGIES</t>
        </is>
      </c>
      <c r="C668" s="25" t="inlineStr">
        <is>
          <t>Songon</t>
        </is>
      </c>
      <c r="D668" s="25" t="inlineStr">
        <is>
          <t>+225 07 57 02 49 32</t>
        </is>
      </c>
      <c r="E668" s="25" t="inlineStr">
        <is>
          <t>+225 07 57 02 49 32</t>
        </is>
      </c>
      <c r="F668" s="25" t="inlineStr">
        <is>
          <t>unihtecacademy@gmail.com</t>
        </is>
      </c>
      <c r="G668" s="26" t="inlineStr"/>
      <c r="H668" s="26" t="inlineStr"/>
      <c r="I668" s="26" t="inlineStr">
        <is>
          <t>A contacter</t>
        </is>
      </c>
      <c r="J668" s="27" t="n"/>
      <c r="K668" s="26" t="n"/>
      <c r="L668" s="26" t="n">
        <v>1</v>
      </c>
      <c r="M668" s="26" t="n"/>
      <c r="N668" s="26" t="inlineStr"/>
      <c r="O668" s="28">
        <f>IF(OR($J668="",$K668="",$M668=""),"",($J668+IF(AND($L668&gt;=2,$J668=5000),3000,0))*$K668*$M668)</f>
        <v/>
      </c>
      <c r="P668" s="26" t="inlineStr"/>
    </row>
    <row r="669">
      <c r="A669" s="25" t="n">
        <v>2</v>
      </c>
      <c r="B669" s="25" t="inlineStr">
        <is>
          <t>Universite Charles Louis de Montesquieu (UCLM)</t>
        </is>
      </c>
      <c r="C669" s="25" t="inlineStr">
        <is>
          <t>Abidjan Cocody</t>
        </is>
      </c>
      <c r="D669" s="25" t="inlineStr">
        <is>
          <t>+225 07 07 87 25 41</t>
        </is>
      </c>
      <c r="E669" s="25" t="inlineStr">
        <is>
          <t>+225 01 42 97 21 65</t>
        </is>
      </c>
      <c r="F669" s="25" t="inlineStr"/>
      <c r="G669" s="26" t="inlineStr"/>
      <c r="H669" s="26" t="inlineStr"/>
      <c r="I669" s="26" t="inlineStr">
        <is>
          <t>A contacter</t>
        </is>
      </c>
      <c r="J669" s="27" t="n"/>
      <c r="K669" s="26" t="n"/>
      <c r="L669" s="26" t="n">
        <v>1</v>
      </c>
      <c r="M669" s="26" t="n"/>
      <c r="N669" s="26" t="inlineStr"/>
      <c r="O669" s="28">
        <f>IF(OR($J669="",$K669="",$M669=""),"",($J669+IF(AND($L669&gt;=2,$J669=5000),3000,0))*$K669*$M669)</f>
        <v/>
      </c>
      <c r="P669" s="26" t="inlineStr"/>
    </row>
    <row r="670">
      <c r="A670" s="25" t="n">
        <v>2</v>
      </c>
      <c r="B670" s="25" t="inlineStr">
        <is>
          <t>Universite de l'Atlantique</t>
        </is>
      </c>
      <c r="C670" s="25" t="inlineStr">
        <is>
          <t>Abidjan - Cocody Rue des Jardins</t>
        </is>
      </c>
      <c r="D670" s="25" t="inlineStr">
        <is>
          <t>+225 01 40 06 92 92</t>
        </is>
      </c>
      <c r="E670" s="25" t="inlineStr">
        <is>
          <t>+225 01 40 06 93 93</t>
        </is>
      </c>
      <c r="F670" s="25" t="inlineStr">
        <is>
          <t>uatl@aviso.ci</t>
        </is>
      </c>
      <c r="G670" s="26" t="inlineStr"/>
      <c r="H670" s="26" t="inlineStr"/>
      <c r="I670" s="26" t="inlineStr">
        <is>
          <t>A contacter</t>
        </is>
      </c>
      <c r="J670" s="27" t="n"/>
      <c r="K670" s="26" t="n"/>
      <c r="L670" s="26" t="n">
        <v>1</v>
      </c>
      <c r="M670" s="26" t="n"/>
      <c r="N670" s="26" t="inlineStr"/>
      <c r="O670" s="28">
        <f>IF(OR($J670="",$K670="",$M670=""),"",($J670+IF(AND($L670&gt;=2,$J670=5000),3000,0))*$K670*$M670)</f>
        <v/>
      </c>
      <c r="P670" s="26" t="inlineStr"/>
    </row>
    <row r="671">
      <c r="A671" s="25" t="n">
        <v>2</v>
      </c>
      <c r="B671" s="25" t="inlineStr">
        <is>
          <t>Universite Internationale de Grand-Bassam (UIGB/IUGB)</t>
        </is>
      </c>
      <c r="C671" s="25" t="inlineStr">
        <is>
          <t>Grand-Bassam (+ bureau Abidjan Deux Plateaux)</t>
        </is>
      </c>
      <c r="D671" s="25" t="inlineStr">
        <is>
          <t>+225 27 21 30 34 57</t>
        </is>
      </c>
      <c r="E671" s="25" t="inlineStr">
        <is>
          <t>+225 27 22 41 30 41</t>
        </is>
      </c>
      <c r="F671" s="25" t="inlineStr">
        <is>
          <t>admissions@iugb.edu.ci</t>
        </is>
      </c>
      <c r="G671" s="26" t="inlineStr"/>
      <c r="H671" s="26" t="inlineStr"/>
      <c r="I671" s="26" t="inlineStr">
        <is>
          <t>A contacter</t>
        </is>
      </c>
      <c r="J671" s="27" t="n"/>
      <c r="K671" s="26" t="n"/>
      <c r="L671" s="26" t="n">
        <v>1</v>
      </c>
      <c r="M671" s="26" t="n"/>
      <c r="N671" s="26" t="inlineStr"/>
      <c r="O671" s="28">
        <f>IF(OR($J671="",$K671="",$M671=""),"",($J671+IF(AND($L671&gt;=2,$J671=5000),3000,0))*$K671*$M671)</f>
        <v/>
      </c>
      <c r="P671" s="26" t="inlineStr"/>
    </row>
    <row r="672">
      <c r="A672" s="25" t="n">
        <v>2</v>
      </c>
      <c r="B672" s="25" t="inlineStr">
        <is>
          <t>UNIVERSITE POLYTECHNIQUE HAMBOL (UPH)</t>
        </is>
      </c>
      <c r="C672" s="25" t="inlineStr">
        <is>
          <t>Katiola</t>
        </is>
      </c>
      <c r="D672" s="25" t="inlineStr">
        <is>
          <t>+225 07 49 60 88 15</t>
        </is>
      </c>
      <c r="E672" s="25" t="inlineStr">
        <is>
          <t>+225 07 49 60 88 15</t>
        </is>
      </c>
      <c r="F672" s="25" t="inlineStr"/>
      <c r="G672" s="26" t="inlineStr"/>
      <c r="H672" s="26" t="inlineStr"/>
      <c r="I672" s="26" t="inlineStr">
        <is>
          <t>A contacter</t>
        </is>
      </c>
      <c r="J672" s="27" t="n"/>
      <c r="K672" s="26" t="n"/>
      <c r="L672" s="26" t="n">
        <v>1</v>
      </c>
      <c r="M672" s="26" t="n"/>
      <c r="N672" s="26" t="inlineStr"/>
      <c r="O672" s="28">
        <f>IF(OR($J672="",$K672="",$M672=""),"",($J672+IF(AND($L672&gt;=2,$J672=5000),3000,0))*$K672*$M672)</f>
        <v/>
      </c>
      <c r="P672" s="26" t="inlineStr"/>
    </row>
    <row r="673">
      <c r="A673" s="25" t="n">
        <v>3</v>
      </c>
      <c r="B673" s="25" t="inlineStr">
        <is>
          <t>AGEFOP - Agence Nationale de la Formation Professionnelle</t>
        </is>
      </c>
      <c r="C673" s="25" t="inlineStr">
        <is>
          <t>Abidjan Marcory Zone 4</t>
        </is>
      </c>
      <c r="D673" s="25" t="inlineStr">
        <is>
          <t>+225 07 77 74 93 80</t>
        </is>
      </c>
      <c r="E673" s="25" t="inlineStr"/>
      <c r="F673" s="25" t="inlineStr"/>
      <c r="G673" s="26" t="inlineStr"/>
      <c r="H673" s="26" t="inlineStr"/>
      <c r="I673" s="26" t="inlineStr">
        <is>
          <t>A contacter</t>
        </is>
      </c>
      <c r="J673" s="27" t="n"/>
      <c r="K673" s="26" t="n"/>
      <c r="L673" s="26" t="n">
        <v>1</v>
      </c>
      <c r="M673" s="26" t="n"/>
      <c r="N673" s="26" t="inlineStr"/>
      <c r="O673" s="28">
        <f>IF(OR($J673="",$K673="",$M673=""),"",($J673+IF(AND($L673&gt;=2,$J673=5000),3000,0))*$K673*$M673)</f>
        <v/>
      </c>
      <c r="P673" s="26" t="inlineStr"/>
    </row>
    <row r="674">
      <c r="A674" s="25" t="n">
        <v>3</v>
      </c>
      <c r="B674" s="25" t="inlineStr">
        <is>
          <t>ARSTM Academie Regionale des Sciences et Techniques de la Mer</t>
        </is>
      </c>
      <c r="C674" s="25" t="inlineStr">
        <is>
          <t>Abidjan Yopougon</t>
        </is>
      </c>
      <c r="D674" s="25" t="inlineStr">
        <is>
          <t>+225 27 23 46 08 08</t>
        </is>
      </c>
      <c r="E674" s="25" t="inlineStr">
        <is>
          <t>+225 01 01 08 08 02</t>
        </is>
      </c>
      <c r="F674" s="25" t="inlineStr">
        <is>
          <t>arstminfo@arstm.net</t>
        </is>
      </c>
      <c r="G674" s="26" t="inlineStr"/>
      <c r="H674" s="26" t="inlineStr"/>
      <c r="I674" s="26" t="inlineStr">
        <is>
          <t>A contacter</t>
        </is>
      </c>
      <c r="J674" s="27" t="n"/>
      <c r="K674" s="26" t="n"/>
      <c r="L674" s="26" t="n">
        <v>1</v>
      </c>
      <c r="M674" s="26" t="n"/>
      <c r="N674" s="26" t="inlineStr"/>
      <c r="O674" s="28">
        <f>IF(OR($J674="",$K674="",$M674=""),"",($J674+IF(AND($L674&gt;=2,$J674=5000),3000,0))*$K674*$M674)</f>
        <v/>
      </c>
      <c r="P674" s="26" t="inlineStr"/>
    </row>
    <row r="675">
      <c r="A675" s="25" t="n">
        <v>3</v>
      </c>
      <c r="B675" s="25" t="inlineStr">
        <is>
          <t>ESATIC (Ecole Superieure Africaine des TIC)</t>
        </is>
      </c>
      <c r="C675" s="25" t="inlineStr">
        <is>
          <t>Abidjan - Treichville</t>
        </is>
      </c>
      <c r="D675" s="25" t="inlineStr">
        <is>
          <t>+225 27 21 21 81 00</t>
        </is>
      </c>
      <c r="E675" s="25" t="inlineStr">
        <is>
          <t>+225 01 03 10 81 81</t>
        </is>
      </c>
      <c r="F675" s="25" t="inlineStr"/>
      <c r="G675" s="26" t="inlineStr"/>
      <c r="H675" s="26" t="inlineStr"/>
      <c r="I675" s="26" t="inlineStr">
        <is>
          <t>A contacter</t>
        </is>
      </c>
      <c r="J675" s="27" t="n"/>
      <c r="K675" s="26" t="n"/>
      <c r="L675" s="26" t="n">
        <v>1</v>
      </c>
      <c r="M675" s="26" t="n"/>
      <c r="N675" s="26" t="inlineStr"/>
      <c r="O675" s="28">
        <f>IF(OR($J675="",$K675="",$M675=""),"",($J675+IF(AND($L675&gt;=2,$J675=5000),3000,0))*$K675*$M675)</f>
        <v/>
      </c>
      <c r="P675" s="26" t="inlineStr"/>
    </row>
    <row r="676">
      <c r="A676" s="25" t="n">
        <v>3</v>
      </c>
      <c r="B676" s="25" t="inlineStr">
        <is>
          <t>INFAS Institut National de Formation des Agents de Sante</t>
        </is>
      </c>
      <c r="C676" s="25" t="inlineStr">
        <is>
          <t>Abidjan</t>
        </is>
      </c>
      <c r="D676" s="25" t="inlineStr">
        <is>
          <t>+225 07 87 88 99 02</t>
        </is>
      </c>
      <c r="E676" s="25" t="inlineStr">
        <is>
          <t>+225 05 64 87 80 70</t>
        </is>
      </c>
      <c r="F676" s="25" t="inlineStr"/>
      <c r="G676" s="26" t="inlineStr"/>
      <c r="H676" s="26" t="inlineStr"/>
      <c r="I676" s="26" t="inlineStr">
        <is>
          <t>A contacter</t>
        </is>
      </c>
      <c r="J676" s="27" t="n"/>
      <c r="K676" s="26" t="n"/>
      <c r="L676" s="26" t="n">
        <v>1</v>
      </c>
      <c r="M676" s="26" t="n"/>
      <c r="N676" s="26" t="inlineStr"/>
      <c r="O676" s="28">
        <f>IF(OR($J676="",$K676="",$M676=""),"",($J676+IF(AND($L676&gt;=2,$J676=5000),3000,0))*$K676*$M676)</f>
        <v/>
      </c>
      <c r="P676" s="26" t="inlineStr"/>
    </row>
    <row r="677">
      <c r="A677" s="25" t="n">
        <v>3</v>
      </c>
      <c r="B677" s="25" t="inlineStr">
        <is>
          <t>INP-HB (Institut National Polytechnique Felix Houphouet-Boigny)</t>
        </is>
      </c>
      <c r="C677" s="25" t="inlineStr">
        <is>
          <t>Yamoussoukro (+ antenne Abidjan)</t>
        </is>
      </c>
      <c r="D677" s="25" t="inlineStr">
        <is>
          <t>+225 27 30 64 66 61</t>
        </is>
      </c>
      <c r="E677" s="25" t="inlineStr">
        <is>
          <t>+225 05 01 80 00 19</t>
        </is>
      </c>
      <c r="F677" s="25" t="inlineStr">
        <is>
          <t>secretariatdg@inphb.ci</t>
        </is>
      </c>
      <c r="G677" s="26" t="inlineStr"/>
      <c r="H677" s="26" t="inlineStr"/>
      <c r="I677" s="26" t="inlineStr">
        <is>
          <t>A contacter</t>
        </is>
      </c>
      <c r="J677" s="27" t="n"/>
      <c r="K677" s="26" t="n"/>
      <c r="L677" s="26" t="n">
        <v>1</v>
      </c>
      <c r="M677" s="26" t="n"/>
      <c r="N677" s="26" t="inlineStr"/>
      <c r="O677" s="28">
        <f>IF(OR($J677="",$K677="",$M677=""),"",($J677+IF(AND($L677&gt;=2,$J677=5000),3000,0))*$K677*$M677)</f>
        <v/>
      </c>
      <c r="P677" s="26" t="inlineStr"/>
    </row>
    <row r="678">
      <c r="A678" s="25" t="n">
        <v>3</v>
      </c>
      <c r="B678" s="25" t="inlineStr">
        <is>
          <t>INSAAC (Institut National Superieur des Arts et de l'Action Culturelle)</t>
        </is>
      </c>
      <c r="C678" s="25" t="inlineStr">
        <is>
          <t>Abidjan - Cocody</t>
        </is>
      </c>
      <c r="D678" s="25" t="inlineStr">
        <is>
          <t>+225 27 22 44 26 73</t>
        </is>
      </c>
      <c r="E678" s="25" t="inlineStr"/>
      <c r="F678" s="25" t="inlineStr">
        <is>
          <t>contact@insaac.edu.ci</t>
        </is>
      </c>
      <c r="G678" s="26" t="inlineStr"/>
      <c r="H678" s="26" t="inlineStr"/>
      <c r="I678" s="26" t="inlineStr">
        <is>
          <t>A contacter</t>
        </is>
      </c>
      <c r="J678" s="27" t="n"/>
      <c r="K678" s="26" t="n"/>
      <c r="L678" s="26" t="n">
        <v>1</v>
      </c>
      <c r="M678" s="26" t="n"/>
      <c r="N678" s="26" t="inlineStr"/>
      <c r="O678" s="28">
        <f>IF(OR($J678="",$K678="",$M678=""),"",($J678+IF(AND($L678&gt;=2,$J678=5000),3000,0))*$K678*$M678)</f>
        <v/>
      </c>
      <c r="P678" s="26" t="inlineStr"/>
    </row>
    <row r="679">
      <c r="A679" s="25" t="n">
        <v>3</v>
      </c>
      <c r="B679" s="25" t="inlineStr">
        <is>
          <t>INSTITUT NATIONAL D'INTELLIGENCE NUMERIQUE ECONOMIQUE ET COMMERCIALE (INEC)</t>
        </is>
      </c>
      <c r="C679" s="25" t="inlineStr">
        <is>
          <t>Daloa</t>
        </is>
      </c>
      <c r="D679" s="25" t="inlineStr">
        <is>
          <t>+225 07 89 98 00 00</t>
        </is>
      </c>
      <c r="E679" s="25" t="inlineStr">
        <is>
          <t>+225 07 89 98 00 00</t>
        </is>
      </c>
      <c r="F679" s="25" t="inlineStr">
        <is>
          <t>inecsadaloa@gmail.com</t>
        </is>
      </c>
      <c r="G679" s="26" t="inlineStr"/>
      <c r="H679" s="26" t="inlineStr"/>
      <c r="I679" s="26" t="inlineStr">
        <is>
          <t>A contacter</t>
        </is>
      </c>
      <c r="J679" s="27" t="n"/>
      <c r="K679" s="26" t="n"/>
      <c r="L679" s="26" t="n">
        <v>1</v>
      </c>
      <c r="M679" s="26" t="n"/>
      <c r="N679" s="26" t="inlineStr"/>
      <c r="O679" s="28">
        <f>IF(OR($J679="",$K679="",$M679=""),"",($J679+IF(AND($L679&gt;=2,$J679=5000),3000,0))*$K679*$M679)</f>
        <v/>
      </c>
      <c r="P679" s="26" t="inlineStr"/>
    </row>
    <row r="680">
      <c r="A680" s="25" t="n">
        <v>3</v>
      </c>
      <c r="B680" s="25" t="inlineStr">
        <is>
          <t>IPNETP (Institut Pedagogique National de l'Enseignement Technique et Professionnel)</t>
        </is>
      </c>
      <c r="C680" s="25" t="inlineStr">
        <is>
          <t>Abidjan - Cocody</t>
        </is>
      </c>
      <c r="D680" s="25" t="inlineStr">
        <is>
          <t>+225 27 22 44 67 69</t>
        </is>
      </c>
      <c r="E680" s="25" t="inlineStr">
        <is>
          <t>+225 27 22 48 50 35</t>
        </is>
      </c>
      <c r="F680" s="25" t="inlineStr">
        <is>
          <t>infos@ipnetp.ci</t>
        </is>
      </c>
      <c r="G680" s="26" t="inlineStr"/>
      <c r="H680" s="26" t="inlineStr"/>
      <c r="I680" s="26" t="inlineStr">
        <is>
          <t>A contacter</t>
        </is>
      </c>
      <c r="J680" s="27" t="n"/>
      <c r="K680" s="26" t="n"/>
      <c r="L680" s="26" t="n">
        <v>1</v>
      </c>
      <c r="M680" s="26" t="n"/>
      <c r="N680" s="26" t="inlineStr"/>
      <c r="O680" s="28">
        <f>IF(OR($J680="",$K680="",$M680=""),"",($J680+IF(AND($L680&gt;=2,$J680=5000),3000,0))*$K680*$M680)</f>
        <v/>
      </c>
      <c r="P680" s="26" t="inlineStr"/>
    </row>
    <row r="681">
      <c r="A681" s="25" t="n">
        <v>3</v>
      </c>
      <c r="B681" s="25" t="inlineStr">
        <is>
          <t>ISTC Polytechnique</t>
        </is>
      </c>
      <c r="C681" s="25" t="inlineStr">
        <is>
          <t>Abidjan - Cocody</t>
        </is>
      </c>
      <c r="D681" s="25" t="inlineStr">
        <is>
          <t>+225 27 22 44 88 58</t>
        </is>
      </c>
      <c r="E681" s="25" t="inlineStr">
        <is>
          <t>+225 27 22 44 84 33</t>
        </is>
      </c>
      <c r="F681" s="25" t="inlineStr">
        <is>
          <t>istc@istcpolytechnique.ci</t>
        </is>
      </c>
      <c r="G681" s="26" t="inlineStr"/>
      <c r="H681" s="26" t="inlineStr"/>
      <c r="I681" s="26" t="inlineStr">
        <is>
          <t>A contacter</t>
        </is>
      </c>
      <c r="J681" s="27" t="n"/>
      <c r="K681" s="26" t="n"/>
      <c r="L681" s="26" t="n">
        <v>1</v>
      </c>
      <c r="M681" s="26" t="n"/>
      <c r="N681" s="26" t="inlineStr"/>
      <c r="O681" s="28">
        <f>IF(OR($J681="",$K681="",$M681=""),"",($J681+IF(AND($L681&gt;=2,$J681=5000),3000,0))*$K681*$M681)</f>
        <v/>
      </c>
      <c r="P681" s="26" t="inlineStr"/>
    </row>
    <row r="682">
      <c r="A682" s="25" t="n">
        <v>3</v>
      </c>
      <c r="B682" s="25" t="inlineStr">
        <is>
          <t>Lycee Municipal d'Abobo</t>
        </is>
      </c>
      <c r="C682" s="25" t="inlineStr">
        <is>
          <t>Abidjan Abobo</t>
        </is>
      </c>
      <c r="D682" s="25" t="inlineStr">
        <is>
          <t>+225 05 06 80 53 60</t>
        </is>
      </c>
      <c r="E682" s="25" t="inlineStr"/>
      <c r="F682" s="25" t="inlineStr"/>
      <c r="G682" s="26" t="inlineStr"/>
      <c r="H682" s="26" t="inlineStr"/>
      <c r="I682" s="26" t="inlineStr">
        <is>
          <t>A contacter</t>
        </is>
      </c>
      <c r="J682" s="27" t="n"/>
      <c r="K682" s="26" t="n"/>
      <c r="L682" s="26" t="n">
        <v>1</v>
      </c>
      <c r="M682" s="26" t="n"/>
      <c r="N682" s="26" t="inlineStr"/>
      <c r="O682" s="28">
        <f>IF(OR($J682="",$K682="",$M682=""),"",($J682+IF(AND($L682&gt;=2,$J682=5000),3000,0))*$K682*$M682)</f>
        <v/>
      </c>
      <c r="P682" s="26" t="inlineStr"/>
    </row>
    <row r="683">
      <c r="A683" s="25" t="n">
        <v>3</v>
      </c>
      <c r="B683" s="25" t="inlineStr">
        <is>
          <t>Lycee Professionnel Commercial de Yopougon (LPCY)</t>
        </is>
      </c>
      <c r="C683" s="25" t="inlineStr">
        <is>
          <t>Abidjan Yopougon</t>
        </is>
      </c>
      <c r="D683" s="25" t="inlineStr">
        <is>
          <t>+225 01 73 56 01 01</t>
        </is>
      </c>
      <c r="E683" s="25" t="inlineStr"/>
      <c r="F683" s="25" t="inlineStr">
        <is>
          <t>lpcyop@gmail.com</t>
        </is>
      </c>
      <c r="G683" s="26" t="inlineStr"/>
      <c r="H683" s="26" t="inlineStr"/>
      <c r="I683" s="26" t="inlineStr">
        <is>
          <t>A contacter</t>
        </is>
      </c>
      <c r="J683" s="27" t="n"/>
      <c r="K683" s="26" t="n"/>
      <c r="L683" s="26" t="n">
        <v>1</v>
      </c>
      <c r="M683" s="26" t="n"/>
      <c r="N683" s="26" t="inlineStr"/>
      <c r="O683" s="28">
        <f>IF(OR($J683="",$K683="",$M683=""),"",($J683+IF(AND($L683&gt;=2,$J683=5000),3000,0))*$K683*$M683)</f>
        <v/>
      </c>
      <c r="P683" s="26" t="inlineStr"/>
    </row>
    <row r="684">
      <c r="A684" s="25" t="n">
        <v>3</v>
      </c>
      <c r="B684" s="25" t="inlineStr">
        <is>
          <t>Lycee Professionnel Hotelier d'Abidjan (LPHA Riviera)</t>
        </is>
      </c>
      <c r="C684" s="25" t="inlineStr">
        <is>
          <t>Abidjan Cocody Riviera Golf</t>
        </is>
      </c>
      <c r="D684" s="25" t="inlineStr">
        <is>
          <t>+225 27 22 43 00 73</t>
        </is>
      </c>
      <c r="E684" s="25" t="inlineStr">
        <is>
          <t>+225 27 22 43 25 88</t>
        </is>
      </c>
      <c r="F684" s="25" t="inlineStr">
        <is>
          <t>lyceeprofhotelier@yahoo.fr</t>
        </is>
      </c>
      <c r="G684" s="26" t="inlineStr"/>
      <c r="H684" s="26" t="inlineStr"/>
      <c r="I684" s="26" t="inlineStr">
        <is>
          <t>A contacter</t>
        </is>
      </c>
      <c r="J684" s="27" t="n"/>
      <c r="K684" s="26" t="n"/>
      <c r="L684" s="26" t="n">
        <v>1</v>
      </c>
      <c r="M684" s="26" t="n"/>
      <c r="N684" s="26" t="inlineStr"/>
      <c r="O684" s="28">
        <f>IF(OR($J684="",$K684="",$M684=""),"",($J684+IF(AND($L684&gt;=2,$J684=5000),3000,0))*$K684*$M684)</f>
        <v/>
      </c>
      <c r="P684" s="26" t="inlineStr"/>
    </row>
    <row r="685">
      <c r="A685" s="25" t="n">
        <v>3</v>
      </c>
      <c r="B685" s="25" t="inlineStr">
        <is>
          <t>Lycee Scientifique de Yamoussoukro</t>
        </is>
      </c>
      <c r="C685" s="25" t="inlineStr">
        <is>
          <t>Yamoussoukro</t>
        </is>
      </c>
      <c r="D685" s="25" t="inlineStr">
        <is>
          <t>+225 27 30 64 07 88</t>
        </is>
      </c>
      <c r="E685" s="25" t="inlineStr"/>
      <c r="F685" s="25" t="inlineStr">
        <is>
          <t>lyceescientifiqueyakro@gmail.com</t>
        </is>
      </c>
      <c r="G685" s="26" t="inlineStr"/>
      <c r="H685" s="26" t="inlineStr"/>
      <c r="I685" s="26" t="inlineStr">
        <is>
          <t>A contacter</t>
        </is>
      </c>
      <c r="J685" s="27" t="n"/>
      <c r="K685" s="26" t="n"/>
      <c r="L685" s="26" t="n">
        <v>1</v>
      </c>
      <c r="M685" s="26" t="n"/>
      <c r="N685" s="26" t="inlineStr"/>
      <c r="O685" s="28">
        <f>IF(OR($J685="",$K685="",$M685=""),"",($J685+IF(AND($L685&gt;=2,$J685=5000),3000,0))*$K685*$M685)</f>
        <v/>
      </c>
      <c r="P685" s="26" t="inlineStr"/>
    </row>
    <row r="686">
      <c r="A686" s="25" t="n">
        <v>3</v>
      </c>
      <c r="B686" s="25" t="inlineStr">
        <is>
          <t>Lycee Technique d'Abidjan (LTA Cocody)</t>
        </is>
      </c>
      <c r="C686" s="25" t="inlineStr">
        <is>
          <t>Abidjan Cocody</t>
        </is>
      </c>
      <c r="D686" s="25" t="inlineStr">
        <is>
          <t>+225 27 22 40 60 87</t>
        </is>
      </c>
      <c r="E686" s="25" t="inlineStr"/>
      <c r="F686" s="25" t="inlineStr"/>
      <c r="G686" s="26" t="inlineStr"/>
      <c r="H686" s="26" t="inlineStr"/>
      <c r="I686" s="26" t="inlineStr">
        <is>
          <t>A contacter</t>
        </is>
      </c>
      <c r="J686" s="27" t="n"/>
      <c r="K686" s="26" t="n"/>
      <c r="L686" s="26" t="n">
        <v>1</v>
      </c>
      <c r="M686" s="26" t="n"/>
      <c r="N686" s="26" t="inlineStr"/>
      <c r="O686" s="28">
        <f>IF(OR($J686="",$K686="",$M686=""),"",($J686+IF(AND($L686&gt;=2,$J686=5000),3000,0))*$K686*$M686)</f>
        <v/>
      </c>
      <c r="P686" s="26" t="inlineStr"/>
    </row>
    <row r="687">
      <c r="A687" s="25" t="n">
        <v>3</v>
      </c>
      <c r="B687" s="25" t="inlineStr">
        <is>
          <t>Universite Alassane Ouattara (UAO)</t>
        </is>
      </c>
      <c r="C687" s="25" t="inlineStr">
        <is>
          <t>Bouake</t>
        </is>
      </c>
      <c r="D687" s="25" t="inlineStr">
        <is>
          <t>+225 27 31 60 50 24</t>
        </is>
      </c>
      <c r="E687" s="25" t="inlineStr"/>
      <c r="F687" s="25" t="inlineStr">
        <is>
          <t>infoline@uao.edu.ci</t>
        </is>
      </c>
      <c r="G687" s="26" t="inlineStr"/>
      <c r="H687" s="26" t="inlineStr"/>
      <c r="I687" s="26" t="inlineStr">
        <is>
          <t>A contacter</t>
        </is>
      </c>
      <c r="J687" s="27" t="n"/>
      <c r="K687" s="26" t="n"/>
      <c r="L687" s="26" t="n">
        <v>1</v>
      </c>
      <c r="M687" s="26" t="n"/>
      <c r="N687" s="26" t="inlineStr"/>
      <c r="O687" s="28">
        <f>IF(OR($J687="",$K687="",$M687=""),"",($J687+IF(AND($L687&gt;=2,$J687=5000),3000,0))*$K687*$M687)</f>
        <v/>
      </c>
      <c r="P687" s="26" t="inlineStr"/>
    </row>
    <row r="688">
      <c r="A688" s="25" t="n">
        <v>3</v>
      </c>
      <c r="B688" s="25" t="inlineStr">
        <is>
          <t>Universite Jean Lorougnon Guede (UJLoG)</t>
        </is>
      </c>
      <c r="C688" s="25" t="inlineStr">
        <is>
          <t>Daloa</t>
        </is>
      </c>
      <c r="D688" s="25" t="inlineStr">
        <is>
          <t>+225 27 32 78 75 83</t>
        </is>
      </c>
      <c r="E688" s="25" t="inlineStr"/>
      <c r="F688" s="25" t="inlineStr">
        <is>
          <t>sercom@ujlg.edu.ci</t>
        </is>
      </c>
      <c r="G688" s="26" t="inlineStr"/>
      <c r="H688" s="26" t="inlineStr"/>
      <c r="I688" s="26" t="inlineStr">
        <is>
          <t>A contacter</t>
        </is>
      </c>
      <c r="J688" s="27" t="n"/>
      <c r="K688" s="26" t="n"/>
      <c r="L688" s="26" t="n">
        <v>1</v>
      </c>
      <c r="M688" s="26" t="n"/>
      <c r="N688" s="26" t="inlineStr"/>
      <c r="O688" s="28">
        <f>IF(OR($J688="",$K688="",$M688=""),"",($J688+IF(AND($L688&gt;=2,$J688=5000),3000,0))*$K688*$M688)</f>
        <v/>
      </c>
      <c r="P688" s="26" t="inlineStr"/>
    </row>
    <row r="689">
      <c r="A689" s="25" t="n">
        <v>3</v>
      </c>
      <c r="B689" s="25" t="inlineStr">
        <is>
          <t>Universite Nangui Abrogoua (UNA)</t>
        </is>
      </c>
      <c r="C689" s="25" t="inlineStr">
        <is>
          <t>Abidjan Abobo-Adjame</t>
        </is>
      </c>
      <c r="D689" s="25" t="inlineStr">
        <is>
          <t>+225 05 85 07 58 05</t>
        </is>
      </c>
      <c r="E689" s="25" t="inlineStr"/>
      <c r="F689" s="25" t="inlineStr">
        <is>
          <t>info@univ-na.ci</t>
        </is>
      </c>
      <c r="G689" s="26" t="inlineStr"/>
      <c r="H689" s="26" t="inlineStr"/>
      <c r="I689" s="26" t="inlineStr">
        <is>
          <t>A contacter</t>
        </is>
      </c>
      <c r="J689" s="27" t="n"/>
      <c r="K689" s="26" t="n"/>
      <c r="L689" s="26" t="n">
        <v>1</v>
      </c>
      <c r="M689" s="26" t="n"/>
      <c r="N689" s="26" t="inlineStr"/>
      <c r="O689" s="28">
        <f>IF(OR($J689="",$K689="",$M689=""),"",($J689+IF(AND($L689&gt;=2,$J689=5000),3000,0))*$K689*$M689)</f>
        <v/>
      </c>
      <c r="P689" s="26" t="inlineStr"/>
    </row>
    <row r="690">
      <c r="A690" s="25" t="n">
        <v>3</v>
      </c>
      <c r="B690" s="25" t="inlineStr">
        <is>
          <t>Universite Peleforo Gon Coulibaly (UPGC)</t>
        </is>
      </c>
      <c r="C690" s="25" t="inlineStr">
        <is>
          <t>Korhogo</t>
        </is>
      </c>
      <c r="D690" s="25" t="inlineStr">
        <is>
          <t>+225 07 48 61 71 14</t>
        </is>
      </c>
      <c r="E690" s="25" t="inlineStr">
        <is>
          <t>+225 01 51 21 56 05</t>
        </is>
      </c>
      <c r="F690" s="25" t="inlineStr"/>
      <c r="G690" s="26" t="inlineStr"/>
      <c r="H690" s="26" t="inlineStr"/>
      <c r="I690" s="26" t="inlineStr">
        <is>
          <t>A contacter</t>
        </is>
      </c>
      <c r="J690" s="27" t="n"/>
      <c r="K690" s="26" t="n"/>
      <c r="L690" s="26" t="n">
        <v>1</v>
      </c>
      <c r="M690" s="26" t="n"/>
      <c r="N690" s="26" t="inlineStr"/>
      <c r="O690" s="28">
        <f>IF(OR($J690="",$K690="",$M690=""),"",($J690+IF(AND($L690&gt;=2,$J690=5000),3000,0))*$K690*$M690)</f>
        <v/>
      </c>
      <c r="P690" s="26" t="inlineStr"/>
    </row>
    <row r="691">
      <c r="A691" s="25" t="n">
        <v>3</v>
      </c>
      <c r="B691" s="25" t="inlineStr">
        <is>
          <t>Universite Polytechnique de San-Pedro (USP)</t>
        </is>
      </c>
      <c r="C691" s="25" t="inlineStr">
        <is>
          <t>San-Pedro</t>
        </is>
      </c>
      <c r="D691" s="25" t="inlineStr">
        <is>
          <t>+225 05 06 88 56 46</t>
        </is>
      </c>
      <c r="E691" s="25" t="inlineStr">
        <is>
          <t>+225 27 34 70 12 84</t>
        </is>
      </c>
      <c r="F691" s="25" t="inlineStr">
        <is>
          <t>informations@usp.edu.ci</t>
        </is>
      </c>
      <c r="G691" s="26" t="inlineStr"/>
      <c r="H691" s="26" t="inlineStr"/>
      <c r="I691" s="26" t="inlineStr">
        <is>
          <t>A contacter</t>
        </is>
      </c>
      <c r="J691" s="27" t="n"/>
      <c r="K691" s="26" t="n"/>
      <c r="L691" s="26" t="n">
        <v>1</v>
      </c>
      <c r="M691" s="26" t="n"/>
      <c r="N691" s="26" t="inlineStr"/>
      <c r="O691" s="28">
        <f>IF(OR($J691="",$K691="",$M691=""),"",($J691+IF(AND($L691&gt;=2,$J691=5000),3000,0))*$K691*$M691)</f>
        <v/>
      </c>
      <c r="P691" s="26" t="inlineStr"/>
    </row>
    <row r="692">
      <c r="A692" s="25" t="n">
        <v>3</v>
      </c>
      <c r="B692" s="25" t="inlineStr">
        <is>
          <t>Universite Virtuelle de Cote d'Ivoire (UVCI)</t>
        </is>
      </c>
      <c r="C692" s="25" t="inlineStr">
        <is>
          <t>Abidjan Cocody</t>
        </is>
      </c>
      <c r="D692" s="25" t="inlineStr"/>
      <c r="E692" s="25" t="inlineStr"/>
      <c r="F692" s="25" t="inlineStr">
        <is>
          <t>secretariat@uvci.edu.ci</t>
        </is>
      </c>
      <c r="G692" s="26" t="inlineStr"/>
      <c r="H692" s="26" t="inlineStr"/>
      <c r="I692" s="26" t="inlineStr">
        <is>
          <t>A contacter</t>
        </is>
      </c>
      <c r="J692" s="27" t="n"/>
      <c r="K692" s="26" t="n"/>
      <c r="L692" s="26" t="n">
        <v>1</v>
      </c>
      <c r="M692" s="26" t="n"/>
      <c r="N692" s="26" t="inlineStr"/>
      <c r="O692" s="28">
        <f>IF(OR($J692="",$K692="",$M692=""),"",($J692+IF(AND($L692&gt;=2,$J692=5000),3000,0))*$K692*$M692)</f>
        <v/>
      </c>
      <c r="P692" s="26" t="inlineStr"/>
    </row>
  </sheetData>
  <autoFilter ref="A1:P692"/>
  <dataValidations count="3">
    <dataValidation sqref="I2:I692" showDropDown="0" showInputMessage="0" showErrorMessage="0" allowBlank="1" type="list">
      <formula1>"A contacter,Contacte,Relance,RDV fixe,En negociation,Signe,Refuse,Injoignable"</formula1>
    </dataValidation>
    <dataValidation sqref="J2:J692" showDropDown="0" showInputMessage="0" showErrorMessage="0" allowBlank="1" type="list">
      <formula1>"5000,10000"</formula1>
    </dataValidation>
    <dataValidation sqref="L2:L692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18" customWidth="1" min="3" max="3"/>
    <col width="30" customWidth="1" min="4" max="4"/>
    <col width="56" customWidth="1" min="5" max="5"/>
    <col width="19" customWidth="1" min="6" max="6"/>
    <col width="19" customWidth="1" min="7" max="7"/>
    <col width="19" customWidth="1" min="8" max="8"/>
    <col width="30" customWidth="1" min="9" max="9"/>
    <col width="28" customWidth="1" min="10" max="10"/>
    <col width="32" customWidth="1" min="11" max="11"/>
    <col width="11" customWidth="1" min="12" max="12"/>
    <col width="32" customWidth="1" min="13" max="13"/>
    <col width="15" customWidth="1" min="14" max="14"/>
    <col width="13" customWidth="1" min="15" max="15"/>
    <col width="14" customWidth="1" min="16" max="16"/>
  </cols>
  <sheetData>
    <row r="1" ht="30" customHeight="1">
      <c r="A1" s="20" t="inlineStr">
        <is>
          <t>Ecole</t>
        </is>
      </c>
      <c r="B1" s="20" t="inlineStr">
        <is>
          <t>Type</t>
        </is>
      </c>
      <c r="C1" s="20" t="inlineStr">
        <is>
          <t>Statut</t>
        </is>
      </c>
      <c r="D1" s="20" t="inlineStr">
        <is>
          <t>Ville / Commune</t>
        </is>
      </c>
      <c r="E1" s="20" t="inlineStr">
        <is>
          <t>Adresse</t>
        </is>
      </c>
      <c r="F1" s="20" t="inlineStr">
        <is>
          <t>Telephone 1</t>
        </is>
      </c>
      <c r="G1" s="20" t="inlineStr">
        <is>
          <t>Telephone 2</t>
        </is>
      </c>
      <c r="H1" s="20" t="inlineStr">
        <is>
          <t>WhatsApp</t>
        </is>
      </c>
      <c r="I1" s="20" t="inlineStr">
        <is>
          <t>Email</t>
        </is>
      </c>
      <c r="J1" s="20" t="inlineStr">
        <is>
          <t>Site web</t>
        </is>
      </c>
      <c r="K1" s="20" t="inlineStr">
        <is>
          <t>Interlocuteur cible</t>
        </is>
      </c>
      <c r="L1" s="20" t="inlineStr">
        <is>
          <t>Fiabilite</t>
        </is>
      </c>
      <c r="M1" s="20" t="inlineStr">
        <is>
          <t>Source</t>
        </is>
      </c>
      <c r="N1" s="20" t="inlineStr">
        <is>
          <t>Type email</t>
        </is>
      </c>
      <c r="O1" s="20" t="inlineStr">
        <is>
          <t>Etat email</t>
        </is>
      </c>
      <c r="P1" s="20" t="inlineStr">
        <is>
          <t>Segment</t>
        </is>
      </c>
    </row>
    <row r="2">
      <c r="A2" s="29" t="inlineStr">
        <is>
          <t>ECOFORP-A INTERNATIONALE</t>
        </is>
      </c>
      <c r="B2" s="29" t="inlineStr">
        <is>
          <t>Grande ecole BTS - agriculture tropicale, finances comptabilite, gestion commerciale</t>
        </is>
      </c>
      <c r="C2" s="29" t="inlineStr">
        <is>
          <t>Prive</t>
        </is>
      </c>
      <c r="D2" s="29" t="inlineStr">
        <is>
          <t>Abengourou</t>
        </is>
      </c>
      <c r="E2" s="29" t="inlineStr">
        <is>
          <t>QUARTIER PLATEAU, ANCIEN LOCAUX DE L ONUCI PRES DE LA PREFECTURE DE POLICE</t>
        </is>
      </c>
      <c r="F2" s="29" t="inlineStr">
        <is>
          <t>+225 07 09 22 47 24</t>
        </is>
      </c>
      <c r="G2" s="29" t="inlineStr">
        <is>
          <t>+225 01 72 25 39 82</t>
        </is>
      </c>
      <c r="H2" s="29" t="inlineStr">
        <is>
          <t>+225 07 09 22 47 24</t>
        </is>
      </c>
      <c r="I2" s="29" t="inlineStr">
        <is>
          <t>ecoforp@gmail.com</t>
        </is>
      </c>
      <c r="J2" s="29" t="inlineStr">
        <is>
          <t>https://ecoforp.com</t>
        </is>
      </c>
      <c r="K2" s="29" t="inlineStr">
        <is>
          <t>Directeur des Etudes</t>
        </is>
      </c>
      <c r="L2" s="30" t="inlineStr">
        <is>
          <t>Haute</t>
        </is>
      </c>
      <c r="M2" s="29" t="inlineStr">
        <is>
          <t>MESRS - liste officielle grandes ecoles</t>
        </is>
      </c>
      <c r="N2" s="29" t="inlineStr">
        <is>
          <t>gratuite</t>
        </is>
      </c>
      <c r="O2" s="14" t="inlineStr">
        <is>
          <t>a verifier</t>
        </is>
      </c>
      <c r="P2" s="29" t="inlineStr">
        <is>
          <t>commerce</t>
        </is>
      </c>
    </row>
    <row r="3">
      <c r="A3" s="29" t="inlineStr">
        <is>
          <t>ECOLE SUPERIEURE DE COMMERCE D'ABENGOUROU (ESC ABENGOUROU)</t>
        </is>
      </c>
      <c r="B3" s="29" t="inlineStr">
        <is>
          <t>Grande ecole BTS - assistanat de direction, agriculture tropicale, finances comptabilite</t>
        </is>
      </c>
      <c r="C3" s="29" t="inlineStr">
        <is>
          <t>Prive</t>
        </is>
      </c>
      <c r="D3" s="29" t="inlineStr">
        <is>
          <t>Abengourou</t>
        </is>
      </c>
      <c r="E3" s="29" t="inlineStr">
        <is>
          <t>ABENGOUROU, QUARTIER PLATEAU, RUE BCEAO</t>
        </is>
      </c>
      <c r="F3" s="29" t="inlineStr">
        <is>
          <t>+225 27 35 91 43 82</t>
        </is>
      </c>
      <c r="G3" s="29" t="inlineStr"/>
      <c r="H3" s="29" t="inlineStr"/>
      <c r="I3" s="29" t="inlineStr">
        <is>
          <t>malkom01@yahoo.fr</t>
        </is>
      </c>
      <c r="J3" s="29" t="inlineStr"/>
      <c r="K3" s="29" t="inlineStr">
        <is>
          <t>Directeur des Etudes</t>
        </is>
      </c>
      <c r="L3" s="30" t="inlineStr">
        <is>
          <t>Haute</t>
        </is>
      </c>
      <c r="M3" s="29" t="inlineStr">
        <is>
          <t>MESRS - liste officielle grandes ecoles</t>
        </is>
      </c>
      <c r="N3" s="29" t="inlineStr">
        <is>
          <t>gratuite</t>
        </is>
      </c>
      <c r="O3" s="14" t="inlineStr">
        <is>
          <t>a verifier</t>
        </is>
      </c>
      <c r="P3" s="29" t="inlineStr">
        <is>
          <t>commerce</t>
        </is>
      </c>
    </row>
    <row r="4">
      <c r="A4" s="29" t="inlineStr">
        <is>
          <t>GROUPE ONYX EXCELLENCE ABENOUROU (GOEA)</t>
        </is>
      </c>
      <c r="B4" s="29" t="inlineStr">
        <is>
          <t>Grande ecole BTS - assistanat de direction, finances comptabilite, gestion commerciale</t>
        </is>
      </c>
      <c r="C4" s="29" t="inlineStr">
        <is>
          <t>Prive</t>
        </is>
      </c>
      <c r="D4" s="29" t="inlineStr">
        <is>
          <t>Abengourou</t>
        </is>
      </c>
      <c r="E4" s="29" t="inlineStr"/>
      <c r="F4" s="29" t="inlineStr">
        <is>
          <t>+225 07 07 31 36 17</t>
        </is>
      </c>
      <c r="G4" s="29" t="inlineStr"/>
      <c r="H4" s="29" t="inlineStr">
        <is>
          <t>+225 07 07 31 36 17</t>
        </is>
      </c>
      <c r="I4" s="29" t="inlineStr"/>
      <c r="J4" s="29" t="inlineStr"/>
      <c r="K4" s="29" t="inlineStr">
        <is>
          <t>Directeur des Etudes</t>
        </is>
      </c>
      <c r="L4" s="30" t="inlineStr">
        <is>
          <t>Haute</t>
        </is>
      </c>
      <c r="M4" s="29" t="inlineStr">
        <is>
          <t>MESRS - liste officielle grandes ecoles</t>
        </is>
      </c>
      <c r="N4" s="29" t="inlineStr"/>
      <c r="O4" s="31" t="inlineStr">
        <is>
          <t>sans email</t>
        </is>
      </c>
      <c r="P4" s="29" t="inlineStr">
        <is>
          <t>commerce</t>
        </is>
      </c>
    </row>
    <row r="5">
      <c r="A5" s="29" t="inlineStr">
        <is>
          <t>IESTP ABENGOUROU</t>
        </is>
      </c>
      <c r="B5" s="29" t="inlineStr">
        <is>
          <t>Grande ecole BTS - assistanat de direction, agriculture tropicale, finances comptabilite</t>
        </is>
      </c>
      <c r="C5" s="29" t="inlineStr">
        <is>
          <t>Prive</t>
        </is>
      </c>
      <c r="D5" s="29" t="inlineStr">
        <is>
          <t>Abengourou</t>
        </is>
      </c>
      <c r="E5" s="29" t="inlineStr">
        <is>
          <t>ABENGOUROU PRES DU COLLEGE REINE NOUFAN</t>
        </is>
      </c>
      <c r="F5" s="29" t="inlineStr">
        <is>
          <t>+225 01 03 36 01 10</t>
        </is>
      </c>
      <c r="G5" s="29" t="inlineStr">
        <is>
          <t>+225 07 07 89 73 78</t>
        </is>
      </c>
      <c r="H5" s="29" t="inlineStr">
        <is>
          <t>+225 01 03 36 01 10</t>
        </is>
      </c>
      <c r="I5" s="29" t="inlineStr">
        <is>
          <t>abengiestpa@gmail.com</t>
        </is>
      </c>
      <c r="J5" s="29" t="inlineStr">
        <is>
          <t>https://htps://www.iestpabengourou.net</t>
        </is>
      </c>
      <c r="K5" s="29" t="inlineStr">
        <is>
          <t>Directeur des Etudes</t>
        </is>
      </c>
      <c r="L5" s="30" t="inlineStr">
        <is>
          <t>Haute</t>
        </is>
      </c>
      <c r="M5" s="29" t="inlineStr">
        <is>
          <t>MESRS - liste officielle grandes ecoles</t>
        </is>
      </c>
      <c r="N5" s="29" t="inlineStr">
        <is>
          <t>gratuite</t>
        </is>
      </c>
      <c r="O5" s="14" t="inlineStr">
        <is>
          <t>a verifier</t>
        </is>
      </c>
      <c r="P5" s="29" t="inlineStr">
        <is>
          <t>commerce</t>
        </is>
      </c>
    </row>
    <row r="6">
      <c r="A6" s="29" t="inlineStr">
        <is>
          <t>ESTEAI - Ecole Superieure des Techniques Electroniques Audiovisuelles et Informatiques</t>
        </is>
      </c>
      <c r="B6" s="29" t="inlineStr">
        <is>
          <t>Ecole superieure - electronique et informatique</t>
        </is>
      </c>
      <c r="C6" s="29" t="inlineStr">
        <is>
          <t>Prive</t>
        </is>
      </c>
      <c r="D6" s="29" t="inlineStr">
        <is>
          <t>Abidjan</t>
        </is>
      </c>
      <c r="E6" s="29" t="inlineStr">
        <is>
          <t>Abidjan</t>
        </is>
      </c>
      <c r="F6" s="29" t="inlineStr">
        <is>
          <t>+225 05 75 26 03 53</t>
        </is>
      </c>
      <c r="G6" s="29" t="inlineStr"/>
      <c r="H6" s="29" t="inlineStr"/>
      <c r="I6" s="29" t="inlineStr">
        <is>
          <t>info@esteai.com</t>
        </is>
      </c>
      <c r="J6" s="29" t="inlineStr">
        <is>
          <t>https://www.esteai.com</t>
        </is>
      </c>
      <c r="K6" s="29" t="inlineStr">
        <is>
          <t>Directeur des Etudes</t>
        </is>
      </c>
      <c r="L6" s="30" t="inlineStr">
        <is>
          <t>Haute</t>
        </is>
      </c>
      <c r="M6" s="29" t="inlineStr">
        <is>
          <t>AnnuaireCI + MESRS</t>
        </is>
      </c>
      <c r="N6" s="29" t="inlineStr">
        <is>
          <t>domaine propre</t>
        </is>
      </c>
      <c r="O6" s="14" t="inlineStr">
        <is>
          <t>a verifier</t>
        </is>
      </c>
      <c r="P6" s="29" t="inlineStr">
        <is>
          <t>numerique</t>
        </is>
      </c>
    </row>
    <row r="7">
      <c r="A7" s="29" t="inlineStr">
        <is>
          <t>INFAS Institut National de Formation des Agents de Sante</t>
        </is>
      </c>
      <c r="B7" s="29" t="inlineStr">
        <is>
          <t>Institut national - sante paramedical infirmiers sages-femmes</t>
        </is>
      </c>
      <c r="C7" s="29" t="inlineStr">
        <is>
          <t>Public</t>
        </is>
      </c>
      <c r="D7" s="29" t="inlineStr">
        <is>
          <t>Abidjan</t>
        </is>
      </c>
      <c r="E7" s="29" t="inlineStr"/>
      <c r="F7" s="29" t="inlineStr">
        <is>
          <t>+225 07 87 88 99 02</t>
        </is>
      </c>
      <c r="G7" s="29" t="inlineStr">
        <is>
          <t>+225 05 64 87 80 70</t>
        </is>
      </c>
      <c r="H7" s="29" t="inlineStr"/>
      <c r="I7" s="29" t="inlineStr"/>
      <c r="J7" s="29" t="inlineStr">
        <is>
          <t>https://infas.ci</t>
        </is>
      </c>
      <c r="K7" s="29" t="inlineStr">
        <is>
          <t>Directeur des Etudes</t>
        </is>
      </c>
      <c r="L7" s="29" t="inlineStr">
        <is>
          <t>Moyenne</t>
        </is>
      </c>
      <c r="M7" s="29" t="inlineStr">
        <is>
          <t>edukiya.com</t>
        </is>
      </c>
      <c r="N7" s="29" t="inlineStr"/>
      <c r="O7" s="31" t="inlineStr">
        <is>
          <t>sans email</t>
        </is>
      </c>
      <c r="P7" s="29" t="inlineStr">
        <is>
          <t>sante</t>
        </is>
      </c>
    </row>
    <row r="8">
      <c r="A8" s="29" t="inlineStr">
        <is>
          <t>ECOLE DE FORMATION EN GESTION ET EN TECHNOLOGIE (EFGT ABIDJAN)</t>
        </is>
      </c>
      <c r="B8" s="29" t="inlineStr">
        <is>
          <t>Grande ecole BTS - assistanat de direction, communication visuelle, finances comptabilite</t>
        </is>
      </c>
      <c r="C8" s="29" t="inlineStr">
        <is>
          <t>Prive</t>
        </is>
      </c>
      <c r="D8" s="29" t="inlineStr">
        <is>
          <t>Abidjan - Abobo</t>
        </is>
      </c>
      <c r="E8" s="29" t="inlineStr"/>
      <c r="F8" s="29" t="inlineStr">
        <is>
          <t>+225 27 24 52 00 14</t>
        </is>
      </c>
      <c r="G8" s="29" t="inlineStr">
        <is>
          <t>+225 05 05 35 25 29</t>
        </is>
      </c>
      <c r="H8" s="29" t="inlineStr">
        <is>
          <t>+225 05 05 35 25 29</t>
        </is>
      </c>
      <c r="I8" s="29" t="inlineStr">
        <is>
          <t>efgt.info@gmail.com</t>
        </is>
      </c>
      <c r="J8" s="29" t="inlineStr"/>
      <c r="K8" s="29" t="inlineStr">
        <is>
          <t>Directeur des Etudes</t>
        </is>
      </c>
      <c r="L8" s="30" t="inlineStr">
        <is>
          <t>Haute</t>
        </is>
      </c>
      <c r="M8" s="29" t="inlineStr">
        <is>
          <t>MESRS - liste officielle grandes ecoles</t>
        </is>
      </c>
      <c r="N8" s="29" t="inlineStr">
        <is>
          <t>gratuite</t>
        </is>
      </c>
      <c r="O8" s="14" t="inlineStr">
        <is>
          <t>a verifier</t>
        </is>
      </c>
      <c r="P8" s="29" t="inlineStr">
        <is>
          <t>numerique</t>
        </is>
      </c>
    </row>
    <row r="9">
      <c r="A9" s="29" t="inlineStr">
        <is>
          <t>ECOLE DES NUMERIQUES, DE L'ADMINISTRATION ET DE TELECOMMUNICATION ABOBO (ENATEL)</t>
        </is>
      </c>
      <c r="B9" s="29" t="inlineStr">
        <is>
          <t>Grande ecole BTS - electrotechnique, finances comptabilite, genie civil</t>
        </is>
      </c>
      <c r="C9" s="29" t="inlineStr">
        <is>
          <t>Prive</t>
        </is>
      </c>
      <c r="D9" s="29" t="inlineStr">
        <is>
          <t>Abidjan - Abobo</t>
        </is>
      </c>
      <c r="E9" s="29" t="inlineStr">
        <is>
          <t>EBIMPE, non loin Stade Olympique , Dans la cité Olympe</t>
        </is>
      </c>
      <c r="F9" s="29" t="inlineStr">
        <is>
          <t>+225 07 08 41 53 42</t>
        </is>
      </c>
      <c r="G9" s="29" t="inlineStr">
        <is>
          <t>+225 07 48 77 48 77</t>
        </is>
      </c>
      <c r="H9" s="29" t="inlineStr">
        <is>
          <t>+225 07 08 41 53 42</t>
        </is>
      </c>
      <c r="I9" s="29" t="inlineStr">
        <is>
          <t>enatel2022@gmail.com</t>
        </is>
      </c>
      <c r="J9" s="29" t="inlineStr"/>
      <c r="K9" s="29" t="inlineStr">
        <is>
          <t>Directeur des Etudes</t>
        </is>
      </c>
      <c r="L9" s="30" t="inlineStr">
        <is>
          <t>Haute</t>
        </is>
      </c>
      <c r="M9" s="29" t="inlineStr">
        <is>
          <t>MESRS - liste officielle grandes ecoles</t>
        </is>
      </c>
      <c r="N9" s="29" t="inlineStr">
        <is>
          <t>gratuite</t>
        </is>
      </c>
      <c r="O9" s="14" t="inlineStr">
        <is>
          <t>a verifier</t>
        </is>
      </c>
      <c r="P9" s="29" t="inlineStr">
        <is>
          <t>communication</t>
        </is>
      </c>
    </row>
    <row r="10">
      <c r="A10" s="29" t="inlineStr">
        <is>
          <t>ECOLE SUPERIEURE INTERNATIONALE POLYTECHNIQUE ADAMA SANOGO (ESIAS)</t>
        </is>
      </c>
      <c r="B10" s="29" t="inlineStr">
        <is>
          <t>Grande ecole BTS - assistanat de direction, communication visuelle, electrotechnique</t>
        </is>
      </c>
      <c r="C10" s="29" t="inlineStr">
        <is>
          <t>Prive</t>
        </is>
      </c>
      <c r="D10" s="29" t="inlineStr">
        <is>
          <t>Abidjan - Abobo</t>
        </is>
      </c>
      <c r="E10" s="29" t="inlineStr">
        <is>
          <t>PLATEAU DOKUI</t>
        </is>
      </c>
      <c r="F10" s="29" t="inlineStr">
        <is>
          <t>+225 07 47 00 00 49</t>
        </is>
      </c>
      <c r="G10" s="29" t="inlineStr">
        <is>
          <t>+225 07 07 88 78 04</t>
        </is>
      </c>
      <c r="H10" s="29" t="inlineStr">
        <is>
          <t>+225 07 47 00 00 49</t>
        </is>
      </c>
      <c r="I10" s="29" t="inlineStr">
        <is>
          <t>tchomba@hotmail.fr</t>
        </is>
      </c>
      <c r="J10" s="29" t="inlineStr">
        <is>
          <t>http:/www.groupeadamasanogo.com</t>
        </is>
      </c>
      <c r="K10" s="29" t="inlineStr">
        <is>
          <t>Directeur des Etudes</t>
        </is>
      </c>
      <c r="L10" s="30" t="inlineStr">
        <is>
          <t>Haute</t>
        </is>
      </c>
      <c r="M10" s="29" t="inlineStr">
        <is>
          <t>MESRS - liste officielle grandes ecoles</t>
        </is>
      </c>
      <c r="N10" s="29" t="inlineStr">
        <is>
          <t>gratuite</t>
        </is>
      </c>
      <c r="O10" s="14" t="inlineStr">
        <is>
          <t>a verifier</t>
        </is>
      </c>
      <c r="P10" s="29" t="inlineStr">
        <is>
          <t>ingenieur</t>
        </is>
      </c>
    </row>
    <row r="11">
      <c r="A11" s="29" t="inlineStr">
        <is>
          <t>ECOLE SUPERIEURE LE PETIT CHAMPION (ESPC)</t>
        </is>
      </c>
      <c r="B11" s="29" t="inlineStr">
        <is>
          <t>Grande ecole BTS - assistanat de direction, finances comptabilite, genie civil</t>
        </is>
      </c>
      <c r="C11" s="29" t="inlineStr">
        <is>
          <t>Prive</t>
        </is>
      </c>
      <c r="D11" s="29" t="inlineStr">
        <is>
          <t>Abidjan - Abobo</t>
        </is>
      </c>
      <c r="E11" s="29" t="inlineStr">
        <is>
          <t>ABOBO QUARTIER SAGBE DERRIERE RAIL</t>
        </is>
      </c>
      <c r="F11" s="29" t="inlineStr">
        <is>
          <t>+225 07 07 04 73 11</t>
        </is>
      </c>
      <c r="G11" s="29" t="inlineStr"/>
      <c r="H11" s="29" t="inlineStr">
        <is>
          <t>+225 07 07 04 73 11</t>
        </is>
      </c>
      <c r="I11" s="29" t="inlineStr">
        <is>
          <t>ecolesup.lepetitchampion@gmail.com</t>
        </is>
      </c>
      <c r="J11" s="29" t="inlineStr"/>
      <c r="K11" s="29" t="inlineStr">
        <is>
          <t>Directeur des Etudes</t>
        </is>
      </c>
      <c r="L11" s="30" t="inlineStr">
        <is>
          <t>Haute</t>
        </is>
      </c>
      <c r="M11" s="29" t="inlineStr">
        <is>
          <t>MESRS - liste officielle grandes ecoles</t>
        </is>
      </c>
      <c r="N11" s="29" t="inlineStr">
        <is>
          <t>gratuite</t>
        </is>
      </c>
      <c r="O11" s="14" t="inlineStr">
        <is>
          <t>a verifier</t>
        </is>
      </c>
      <c r="P11" s="29" t="inlineStr">
        <is>
          <t>commerce</t>
        </is>
      </c>
    </row>
    <row r="12">
      <c r="A12" s="29" t="inlineStr">
        <is>
          <t>ECOLE TECHNIQUE INFORMATIQUE ET COMMERCIALE ABOBO (ETIC ABOBO)</t>
        </is>
      </c>
      <c r="B12" s="29" t="inlineStr">
        <is>
          <t>Grande ecole BTS - assistanat de direction, agriculture tropicale, communication visuelle</t>
        </is>
      </c>
      <c r="C12" s="29" t="inlineStr">
        <is>
          <t>Prive</t>
        </is>
      </c>
      <c r="D12" s="29" t="inlineStr">
        <is>
          <t>Abidjan - Abobo</t>
        </is>
      </c>
      <c r="E12" s="29" t="inlineStr"/>
      <c r="F12" s="29" t="inlineStr">
        <is>
          <t>+225 27 22 41 54 06</t>
        </is>
      </c>
      <c r="G12" s="29" t="inlineStr">
        <is>
          <t>+225 05 05 79 02 20</t>
        </is>
      </c>
      <c r="H12" s="29" t="inlineStr">
        <is>
          <t>+225 05 05 79 02 20</t>
        </is>
      </c>
      <c r="I12" s="29" t="inlineStr"/>
      <c r="J12" s="29" t="inlineStr"/>
      <c r="K12" s="29" t="inlineStr">
        <is>
          <t>Directeur des Etudes</t>
        </is>
      </c>
      <c r="L12" s="30" t="inlineStr">
        <is>
          <t>Haute</t>
        </is>
      </c>
      <c r="M12" s="29" t="inlineStr">
        <is>
          <t>MESRS - liste officielle grandes ecoles</t>
        </is>
      </c>
      <c r="N12" s="29" t="inlineStr"/>
      <c r="O12" s="31" t="inlineStr">
        <is>
          <t>sans email</t>
        </is>
      </c>
      <c r="P12" s="29" t="inlineStr">
        <is>
          <t>numerique</t>
        </is>
      </c>
    </row>
    <row r="13">
      <c r="A13" s="29" t="inlineStr">
        <is>
          <t>ETEP Abobo - Ecole Technique et Professionnelle</t>
        </is>
      </c>
      <c r="B13" s="29" t="inlineStr">
        <is>
          <t>Grande ecole - BTS tertiaire et industriel</t>
        </is>
      </c>
      <c r="C13" s="29" t="inlineStr">
        <is>
          <t>Prive</t>
        </is>
      </c>
      <c r="D13" s="29" t="inlineStr">
        <is>
          <t>Abidjan - Abobo</t>
        </is>
      </c>
      <c r="E13" s="29" t="inlineStr">
        <is>
          <t>Autoroute Banco entre la Coopec et le College Saint Joseph Abobo</t>
        </is>
      </c>
      <c r="F13" s="29" t="inlineStr">
        <is>
          <t>+225 27 20 21 35 23</t>
        </is>
      </c>
      <c r="G13" s="29" t="inlineStr">
        <is>
          <t>+225 01 02 20 59 34</t>
        </is>
      </c>
      <c r="H13" s="29" t="inlineStr">
        <is>
          <t>+225 01 40 89 06 61</t>
        </is>
      </c>
      <c r="I13" s="29" t="inlineStr">
        <is>
          <t>etep01abobo@gmail.com</t>
        </is>
      </c>
      <c r="J13" s="29" t="inlineStr">
        <is>
          <t>https://www.groupetep.org/</t>
        </is>
      </c>
      <c r="K13" s="29" t="inlineStr">
        <is>
          <t>Directeur des Etudes (par campus)</t>
        </is>
      </c>
      <c r="L13" s="30" t="inlineStr">
        <is>
          <t>Haute</t>
        </is>
      </c>
      <c r="M13" s="29" t="inlineStr">
        <is>
          <t>UPESUP + MESRS</t>
        </is>
      </c>
      <c r="N13" s="29" t="inlineStr">
        <is>
          <t>gratuite</t>
        </is>
      </c>
      <c r="O13" s="14" t="inlineStr">
        <is>
          <t>a verifier</t>
        </is>
      </c>
      <c r="P13" s="29" t="inlineStr">
        <is>
          <t>ingenieur</t>
        </is>
      </c>
    </row>
    <row r="14">
      <c r="A14" s="29" t="inlineStr">
        <is>
          <t>ETIC Abobo - Ecole Technique Informatique et Commerciale</t>
        </is>
      </c>
      <c r="B14" s="29" t="inlineStr">
        <is>
          <t>Ecole superieure technique - informatique et commerce</t>
        </is>
      </c>
      <c r="C14" s="29" t="inlineStr">
        <is>
          <t>Prive</t>
        </is>
      </c>
      <c r="D14" s="29" t="inlineStr">
        <is>
          <t>Abidjan - Abobo</t>
        </is>
      </c>
      <c r="E14" s="29" t="inlineStr"/>
      <c r="F14" s="29" t="inlineStr">
        <is>
          <t>+225 07 07 24 63 15</t>
        </is>
      </c>
      <c r="G14" s="29" t="inlineStr"/>
      <c r="H14" s="29" t="inlineStr">
        <is>
          <t>+225 07 07 24 63 15</t>
        </is>
      </c>
      <c r="I14" s="29" t="inlineStr"/>
      <c r="J14" s="29" t="inlineStr">
        <is>
          <t>eticecole.com</t>
        </is>
      </c>
      <c r="K14" s="29" t="inlineStr">
        <is>
          <t>Directeur des Etudes (par campus)</t>
        </is>
      </c>
      <c r="L14" s="29" t="inlineStr">
        <is>
          <t>Moyenne</t>
        </is>
      </c>
      <c r="M14" s="29" t="inlineStr">
        <is>
          <t>Le Grand Frere</t>
        </is>
      </c>
      <c r="N14" s="29" t="inlineStr"/>
      <c r="O14" s="31" t="inlineStr">
        <is>
          <t>sans email</t>
        </is>
      </c>
      <c r="P14" s="29" t="inlineStr">
        <is>
          <t>numerique</t>
        </is>
      </c>
    </row>
    <row r="15">
      <c r="A15" s="29" t="inlineStr">
        <is>
          <t>GESTPCI - Groupe d'Enseignement Superieur Technique et Professionnel de Cote d'Ivoire</t>
        </is>
      </c>
      <c r="B15" s="29" t="inlineStr">
        <is>
          <t>Grande ecole - tertiaire et industriel</t>
        </is>
      </c>
      <c r="C15" s="29" t="inlineStr">
        <is>
          <t>Prive</t>
        </is>
      </c>
      <c r="D15" s="29" t="inlineStr">
        <is>
          <t>Abidjan - Abobo</t>
        </is>
      </c>
      <c r="E15" s="29" t="inlineStr">
        <is>
          <t>Abobo-Anador Cocoteraie</t>
        </is>
      </c>
      <c r="F15" s="29" t="inlineStr">
        <is>
          <t>+225 07 59 74 39 10</t>
        </is>
      </c>
      <c r="G15" s="29" t="inlineStr">
        <is>
          <t>+225 07 08 34 14 67</t>
        </is>
      </c>
      <c r="H15" s="29" t="inlineStr">
        <is>
          <t>+225 07 59 74 39 10</t>
        </is>
      </c>
      <c r="I15" s="29" t="inlineStr">
        <is>
          <t>infos24gestpci@gmail.com</t>
        </is>
      </c>
      <c r="J15" s="29" t="inlineStr">
        <is>
          <t>gestpci.com</t>
        </is>
      </c>
      <c r="K15" s="29" t="inlineStr">
        <is>
          <t>Directeur des Etudes</t>
        </is>
      </c>
      <c r="L15" s="30" t="inlineStr">
        <is>
          <t>Haute</t>
        </is>
      </c>
      <c r="M15" s="29" t="inlineStr">
        <is>
          <t>Site officiel gestpci.com + MESRS</t>
        </is>
      </c>
      <c r="N15" s="29" t="inlineStr">
        <is>
          <t>gratuite</t>
        </is>
      </c>
      <c r="O15" s="14" t="inlineStr">
        <is>
          <t>a verifier</t>
        </is>
      </c>
      <c r="P15" s="29" t="inlineStr">
        <is>
          <t>ingenieur</t>
        </is>
      </c>
    </row>
    <row r="16">
      <c r="A16" s="29" t="inlineStr">
        <is>
          <t>GROUPE CONCORDET N'DOTRE (ESGTC N'DOTRE)</t>
        </is>
      </c>
      <c r="B16" s="29" t="inlineStr">
        <is>
          <t>Grande ecole BTS - finances comptabilite, genie civil, gestion commerciale</t>
        </is>
      </c>
      <c r="C16" s="29" t="inlineStr">
        <is>
          <t>Prive</t>
        </is>
      </c>
      <c r="D16" s="29" t="inlineStr">
        <is>
          <t>Abidjan - Abobo</t>
        </is>
      </c>
      <c r="E16" s="29" t="inlineStr"/>
      <c r="F16" s="29" t="inlineStr"/>
      <c r="G16" s="29" t="inlineStr"/>
      <c r="H16" s="29" t="inlineStr"/>
      <c r="I16" s="29" t="inlineStr"/>
      <c r="J16" s="29" t="inlineStr"/>
      <c r="K16" s="29" t="inlineStr">
        <is>
          <t>Directeur des Etudes</t>
        </is>
      </c>
      <c r="L16" s="30" t="inlineStr">
        <is>
          <t>Haute</t>
        </is>
      </c>
      <c r="M16" s="29" t="inlineStr">
        <is>
          <t>MESRS - liste officielle grandes ecoles</t>
        </is>
      </c>
      <c r="N16" s="29" t="inlineStr"/>
      <c r="O16" s="31" t="inlineStr">
        <is>
          <t>sans email</t>
        </is>
      </c>
      <c r="P16" s="29" t="inlineStr">
        <is>
          <t>commerce</t>
        </is>
      </c>
    </row>
    <row r="17">
      <c r="A17" s="29" t="inlineStr">
        <is>
          <t>GROUPE D ENSEIGNEMENT SUPERIEUR ET PROFESSIONNEL D AGBE (GESSP)</t>
        </is>
      </c>
      <c r="B17" s="29" t="inlineStr">
        <is>
          <t>Grande ecole BTS - finances comptabilite, gestion commerciale, informatique developpeur d'applications</t>
        </is>
      </c>
      <c r="C17" s="29" t="inlineStr">
        <is>
          <t>Prive</t>
        </is>
      </c>
      <c r="D17" s="29" t="inlineStr">
        <is>
          <t>Abidjan - Abobo</t>
        </is>
      </c>
      <c r="E17" s="29" t="inlineStr">
        <is>
          <t>ABOBO PK18</t>
        </is>
      </c>
      <c r="F17" s="29" t="inlineStr">
        <is>
          <t>+225 01 01 05 35 63</t>
        </is>
      </c>
      <c r="G17" s="29" t="inlineStr">
        <is>
          <t>+225 07 07 83 78 76</t>
        </is>
      </c>
      <c r="H17" s="29" t="inlineStr">
        <is>
          <t>+225 01 01 05 35 63</t>
        </is>
      </c>
      <c r="I17" s="29" t="inlineStr">
        <is>
          <t>gesspci2020@gmail.com</t>
        </is>
      </c>
      <c r="J17" s="29" t="inlineStr"/>
      <c r="K17" s="29" t="inlineStr">
        <is>
          <t>Directeur des Etudes</t>
        </is>
      </c>
      <c r="L17" s="30" t="inlineStr">
        <is>
          <t>Haute</t>
        </is>
      </c>
      <c r="M17" s="29" t="inlineStr">
        <is>
          <t>MESRS - liste officielle grandes ecoles</t>
        </is>
      </c>
      <c r="N17" s="29" t="inlineStr">
        <is>
          <t>gratuite</t>
        </is>
      </c>
      <c r="O17" s="14" t="inlineStr">
        <is>
          <t>a verifier</t>
        </is>
      </c>
      <c r="P17" s="29" t="inlineStr">
        <is>
          <t>commerce</t>
        </is>
      </c>
    </row>
    <row r="18">
      <c r="A18" s="29" t="inlineStr">
        <is>
          <t>HETEC ABOBO (HETEC ABIDJAN)</t>
        </is>
      </c>
      <c r="B18" s="29" t="inlineStr">
        <is>
          <t>Grande ecole BTS - assistanat de direction, electrotechnique, finances comptabilite</t>
        </is>
      </c>
      <c r="C18" s="29" t="inlineStr">
        <is>
          <t>Prive</t>
        </is>
      </c>
      <c r="D18" s="29" t="inlineStr">
        <is>
          <t>Abidjan - Abobo</t>
        </is>
      </c>
      <c r="E18" s="29" t="inlineStr">
        <is>
          <t>ABOBO, PLATEAU DOKUI, 1er arrêt Dokui, derrière la Cité Forest</t>
        </is>
      </c>
      <c r="F18" s="29" t="inlineStr">
        <is>
          <t>+225 27 24 01 00 82</t>
        </is>
      </c>
      <c r="G18" s="29" t="inlineStr"/>
      <c r="H18" s="29" t="inlineStr"/>
      <c r="I18" s="29" t="inlineStr">
        <is>
          <t>info@groupehetec.com</t>
        </is>
      </c>
      <c r="J18" s="29" t="inlineStr">
        <is>
          <t>http://www.groupehetec.net</t>
        </is>
      </c>
      <c r="K18" s="29" t="inlineStr">
        <is>
          <t>Directeur des Etudes</t>
        </is>
      </c>
      <c r="L18" s="30" t="inlineStr">
        <is>
          <t>Haute</t>
        </is>
      </c>
      <c r="M18" s="29" t="inlineStr">
        <is>
          <t>MESRS - liste officielle grandes ecoles</t>
        </is>
      </c>
      <c r="N18" s="29" t="inlineStr">
        <is>
          <t>domaine propre</t>
        </is>
      </c>
      <c r="O18" s="14" t="inlineStr">
        <is>
          <t>a verifier</t>
        </is>
      </c>
      <c r="P18" s="29" t="inlineStr">
        <is>
          <t>commerce</t>
        </is>
      </c>
    </row>
    <row r="19">
      <c r="A19" s="29" t="inlineStr">
        <is>
          <t>I2SMA</t>
        </is>
      </c>
      <c r="B19" s="29" t="inlineStr">
        <is>
          <t>Grande ecole BTS - assistanat de direction, finances comptabilite, gestion commerciale</t>
        </is>
      </c>
      <c r="C19" s="29" t="inlineStr">
        <is>
          <t>Prive</t>
        </is>
      </c>
      <c r="D19" s="29" t="inlineStr">
        <is>
          <t>Abidjan - Abobo</t>
        </is>
      </c>
      <c r="E19" s="29" t="inlineStr">
        <is>
          <t>ANYAMA QUARTIER ZOSSONKOI</t>
        </is>
      </c>
      <c r="F19" s="29" t="inlineStr">
        <is>
          <t>+225 27 23 55 93 45</t>
        </is>
      </c>
      <c r="G19" s="29" t="inlineStr"/>
      <c r="H19" s="29" t="inlineStr"/>
      <c r="I19" s="29" t="inlineStr"/>
      <c r="J19" s="29" t="inlineStr"/>
      <c r="K19" s="29" t="inlineStr">
        <is>
          <t>Directeur des Etudes</t>
        </is>
      </c>
      <c r="L19" s="30" t="inlineStr">
        <is>
          <t>Haute</t>
        </is>
      </c>
      <c r="M19" s="29" t="inlineStr">
        <is>
          <t>MESRS - liste officielle grandes ecoles</t>
        </is>
      </c>
      <c r="N19" s="29" t="inlineStr"/>
      <c r="O19" s="31" t="inlineStr">
        <is>
          <t>sans email</t>
        </is>
      </c>
      <c r="P19" s="29" t="inlineStr">
        <is>
          <t>commerce</t>
        </is>
      </c>
    </row>
    <row r="20">
      <c r="A20" s="29" t="inlineStr">
        <is>
          <t>INSTITUT DE FORMATION SAINTE MARIE ABOBO BAOULE (IFSM ABOBO BAOULE)</t>
        </is>
      </c>
      <c r="B20" s="29" t="inlineStr">
        <is>
          <t>Grande ecole BTS - electrotechnique, finances comptabilite, gestion commerciale</t>
        </is>
      </c>
      <c r="C20" s="29" t="inlineStr">
        <is>
          <t>Prive</t>
        </is>
      </c>
      <c r="D20" s="29" t="inlineStr">
        <is>
          <t>Abidjan - Abobo</t>
        </is>
      </c>
      <c r="E20" s="29" t="inlineStr">
        <is>
          <t>ABOBO BAOULE carrefour garage fofana route belleville</t>
        </is>
      </c>
      <c r="F20" s="29" t="inlineStr">
        <is>
          <t>+225 25 20 00 16 71</t>
        </is>
      </c>
      <c r="G20" s="29" t="inlineStr">
        <is>
          <t>+225 05 94 55 09 17</t>
        </is>
      </c>
      <c r="H20" s="29" t="inlineStr">
        <is>
          <t>+225 05 94 55 09 17</t>
        </is>
      </c>
      <c r="I20" s="29" t="inlineStr"/>
      <c r="J20" s="29" t="inlineStr"/>
      <c r="K20" s="29" t="inlineStr">
        <is>
          <t>Directeur des Etudes</t>
        </is>
      </c>
      <c r="L20" s="30" t="inlineStr">
        <is>
          <t>Haute</t>
        </is>
      </c>
      <c r="M20" s="29" t="inlineStr">
        <is>
          <t>MESRS - liste officielle grandes ecoles</t>
        </is>
      </c>
      <c r="N20" s="29" t="inlineStr"/>
      <c r="O20" s="31" t="inlineStr">
        <is>
          <t>sans email</t>
        </is>
      </c>
      <c r="P20" s="29" t="inlineStr">
        <is>
          <t>commerce</t>
        </is>
      </c>
    </row>
    <row r="21">
      <c r="A21" s="29" t="inlineStr">
        <is>
          <t>INSTITUT DE FORMATION SAINTE MARIE ABOBO CAMP COMMANDO (IFSM ABOBO CAMP COMMANDO)</t>
        </is>
      </c>
      <c r="B21" s="29" t="inlineStr">
        <is>
          <t>Grande ecole BTS - assistanat de direction, communication visuelle, finances comptabilite</t>
        </is>
      </c>
      <c r="C21" s="29" t="inlineStr">
        <is>
          <t>Prive</t>
        </is>
      </c>
      <c r="D21" s="29" t="inlineStr">
        <is>
          <t>Abidjan - Abobo</t>
        </is>
      </c>
      <c r="E21" s="29" t="inlineStr">
        <is>
          <t>ABOBO Route Camp Commando Après l'école primaire 3 chatons</t>
        </is>
      </c>
      <c r="F21" s="29" t="inlineStr">
        <is>
          <t>+225 25 21 00 55 66</t>
        </is>
      </c>
      <c r="G21" s="29" t="inlineStr">
        <is>
          <t>+225 05 94 55 09 17</t>
        </is>
      </c>
      <c r="H21" s="29" t="inlineStr">
        <is>
          <t>+225 05 94 55 09 17</t>
        </is>
      </c>
      <c r="I21" s="29" t="inlineStr">
        <is>
          <t>ifsmabobo@yahoo.fr</t>
        </is>
      </c>
      <c r="J21" s="29" t="inlineStr">
        <is>
          <t>http://www.ifsm.ci</t>
        </is>
      </c>
      <c r="K21" s="29" t="inlineStr">
        <is>
          <t>Directeur des Etudes</t>
        </is>
      </c>
      <c r="L21" s="30" t="inlineStr">
        <is>
          <t>Haute</t>
        </is>
      </c>
      <c r="M21" s="29" t="inlineStr">
        <is>
          <t>MESRS - liste officielle grandes ecoles</t>
        </is>
      </c>
      <c r="N21" s="29" t="inlineStr">
        <is>
          <t>gratuite</t>
        </is>
      </c>
      <c r="O21" s="14" t="inlineStr">
        <is>
          <t>a verifier</t>
        </is>
      </c>
      <c r="P21" s="29" t="inlineStr">
        <is>
          <t>commerce</t>
        </is>
      </c>
    </row>
    <row r="22">
      <c r="A22" s="29" t="inlineStr">
        <is>
          <t>INSTITUT DE FORMATION SAINTE MARIE ABOBO MARAHOUE (IFSM ABOBO MARAHOUE)</t>
        </is>
      </c>
      <c r="B22" s="29" t="inlineStr">
        <is>
          <t>Grande ecole BTS - agriculture tropicale, electrotechnique, finances comptabilite</t>
        </is>
      </c>
      <c r="C22" s="29" t="inlineStr">
        <is>
          <t>Prive</t>
        </is>
      </c>
      <c r="D22" s="29" t="inlineStr">
        <is>
          <t>Abidjan - Abobo</t>
        </is>
      </c>
      <c r="E22" s="29" t="inlineStr">
        <is>
          <t>ABOBO AVOCATIER</t>
        </is>
      </c>
      <c r="F22" s="29" t="inlineStr">
        <is>
          <t>+225 25 24 00 05 95</t>
        </is>
      </c>
      <c r="G22" s="29" t="inlineStr">
        <is>
          <t>+225 05 94 55 09 17</t>
        </is>
      </c>
      <c r="H22" s="29" t="inlineStr">
        <is>
          <t>+225 05 94 55 09 17</t>
        </is>
      </c>
      <c r="I22" s="29" t="inlineStr"/>
      <c r="J22" s="29" t="inlineStr"/>
      <c r="K22" s="29" t="inlineStr">
        <is>
          <t>Directeur des Etudes</t>
        </is>
      </c>
      <c r="L22" s="30" t="inlineStr">
        <is>
          <t>Haute</t>
        </is>
      </c>
      <c r="M22" s="29" t="inlineStr">
        <is>
          <t>MESRS - liste officielle grandes ecoles</t>
        </is>
      </c>
      <c r="N22" s="29" t="inlineStr"/>
      <c r="O22" s="31" t="inlineStr">
        <is>
          <t>sans email</t>
        </is>
      </c>
      <c r="P22" s="29" t="inlineStr">
        <is>
          <t>commerce</t>
        </is>
      </c>
    </row>
    <row r="23">
      <c r="A23" s="29" t="inlineStr">
        <is>
          <t>INSTITUT DE TECHNOLOGIE AURELS (IT AURELS)</t>
        </is>
      </c>
      <c r="B23" s="29" t="inlineStr">
        <is>
          <t>Grande ecole BTS - assistanat de direction, electrotechnique, finances comptabilite</t>
        </is>
      </c>
      <c r="C23" s="29" t="inlineStr">
        <is>
          <t>Prive</t>
        </is>
      </c>
      <c r="D23" s="29" t="inlineStr">
        <is>
          <t>Abidjan - Abobo</t>
        </is>
      </c>
      <c r="E23" s="29" t="inlineStr">
        <is>
          <t>Abobo PK 18 Cité Concorde</t>
        </is>
      </c>
      <c r="F23" s="29" t="inlineStr">
        <is>
          <t>+225 05 75 86 83 83</t>
        </is>
      </c>
      <c r="G23" s="29" t="inlineStr">
        <is>
          <t>+225 07 48 58 85 31</t>
        </is>
      </c>
      <c r="H23" s="29" t="inlineStr">
        <is>
          <t>+225 05 75 86 83 83</t>
        </is>
      </c>
      <c r="I23" s="29" t="inlineStr">
        <is>
          <t>direction@aurels.org</t>
        </is>
      </c>
      <c r="J23" s="29" t="inlineStr">
        <is>
          <t>https://www.aurels.org</t>
        </is>
      </c>
      <c r="K23" s="29" t="inlineStr">
        <is>
          <t>Directeur des Etudes</t>
        </is>
      </c>
      <c r="L23" s="30" t="inlineStr">
        <is>
          <t>Haute</t>
        </is>
      </c>
      <c r="M23" s="29" t="inlineStr">
        <is>
          <t>MESRS - liste officielle grandes ecoles</t>
        </is>
      </c>
      <c r="N23" s="29" t="inlineStr">
        <is>
          <t>domaine propre</t>
        </is>
      </c>
      <c r="O23" s="14" t="inlineStr">
        <is>
          <t>a verifier</t>
        </is>
      </c>
      <c r="P23" s="29" t="inlineStr">
        <is>
          <t>numerique</t>
        </is>
      </c>
    </row>
    <row r="24">
      <c r="A24" s="29" t="inlineStr">
        <is>
          <t>INSTITUT DES TECHNOLOGIES D'ABIDJAN (ITA ABOBO)</t>
        </is>
      </c>
      <c r="B24" s="29" t="inlineStr">
        <is>
          <t>Grande ecole BTS - finances comptabilite, gestion commerciale, informatique developpeur d'applications</t>
        </is>
      </c>
      <c r="C24" s="29" t="inlineStr">
        <is>
          <t>Prive</t>
        </is>
      </c>
      <c r="D24" s="29" t="inlineStr">
        <is>
          <t>Abidjan - Abobo</t>
        </is>
      </c>
      <c r="E24" s="29" t="inlineStr"/>
      <c r="F24" s="29" t="inlineStr"/>
      <c r="G24" s="29" t="inlineStr"/>
      <c r="H24" s="29" t="inlineStr"/>
      <c r="I24" s="29" t="inlineStr"/>
      <c r="J24" s="29" t="inlineStr"/>
      <c r="K24" s="29" t="inlineStr">
        <is>
          <t>Directeur des Etudes</t>
        </is>
      </c>
      <c r="L24" s="30" t="inlineStr">
        <is>
          <t>Haute</t>
        </is>
      </c>
      <c r="M24" s="29" t="inlineStr">
        <is>
          <t>MESRS - liste officielle grandes ecoles</t>
        </is>
      </c>
      <c r="N24" s="29" t="inlineStr"/>
      <c r="O24" s="31" t="inlineStr">
        <is>
          <t>sans email</t>
        </is>
      </c>
      <c r="P24" s="29" t="inlineStr">
        <is>
          <t>numerique</t>
        </is>
      </c>
    </row>
    <row r="25">
      <c r="A25" s="29" t="inlineStr">
        <is>
          <t>INSTITUT INTERNATIONAL POLYTECHNIQUE DES ELITES D'ABIDJAN (IIPEA ABOBO)</t>
        </is>
      </c>
      <c r="B25" s="29" t="inlineStr">
        <is>
          <t>Grande ecole BTS - assistanat de direction, finances comptabilite, gestion commerciale</t>
        </is>
      </c>
      <c r="C25" s="29" t="inlineStr">
        <is>
          <t>Prive</t>
        </is>
      </c>
      <c r="D25" s="29" t="inlineStr">
        <is>
          <t>Abidjan - Abobo</t>
        </is>
      </c>
      <c r="E25" s="29" t="inlineStr">
        <is>
          <t>Abobo Carrefour Mairie non loin de la Gare</t>
        </is>
      </c>
      <c r="F25" s="29" t="inlineStr">
        <is>
          <t>+225 07 01 88 58 16</t>
        </is>
      </c>
      <c r="G25" s="29" t="inlineStr">
        <is>
          <t>+225 07 01 58 78 28</t>
        </is>
      </c>
      <c r="H25" s="29" t="inlineStr">
        <is>
          <t>+225 07 01 88 58 16</t>
        </is>
      </c>
      <c r="I25" s="29" t="inlineStr">
        <is>
          <t>secretariat@iipea.com</t>
        </is>
      </c>
      <c r="J25" s="29" t="inlineStr">
        <is>
          <t>https://www.iipea.com</t>
        </is>
      </c>
      <c r="K25" s="29" t="inlineStr">
        <is>
          <t>Directeur des Etudes</t>
        </is>
      </c>
      <c r="L25" s="30" t="inlineStr">
        <is>
          <t>Haute</t>
        </is>
      </c>
      <c r="M25" s="29" t="inlineStr">
        <is>
          <t>MESRS - liste officielle grandes ecoles</t>
        </is>
      </c>
      <c r="N25" s="29" t="inlineStr">
        <is>
          <t>domaine propre</t>
        </is>
      </c>
      <c r="O25" s="14" t="inlineStr">
        <is>
          <t>a verifier</t>
        </is>
      </c>
      <c r="P25" s="29" t="inlineStr">
        <is>
          <t>ingenieur</t>
        </is>
      </c>
    </row>
    <row r="26">
      <c r="A26" s="29" t="inlineStr">
        <is>
          <t>INSTITUT SUPERIEUR DE COMMERCE ET DE MANAGEMENT MAERIFA (ISCM MAERIFA)</t>
        </is>
      </c>
      <c r="B26" s="29" t="inlineStr">
        <is>
          <t>Grande ecole BTS - assistanat de direction, agriculture tropicale, communication visuelle</t>
        </is>
      </c>
      <c r="C26" s="29" t="inlineStr">
        <is>
          <t>Prive</t>
        </is>
      </c>
      <c r="D26" s="29" t="inlineStr">
        <is>
          <t>Abidjan - Abobo</t>
        </is>
      </c>
      <c r="E26" s="29" t="inlineStr">
        <is>
          <t>ABOBO DOKUI EXTENSION, CARREFOUR SODEPLAM (ANADER)</t>
        </is>
      </c>
      <c r="F26" s="29" t="inlineStr">
        <is>
          <t>+225 05 05 04 02 24</t>
        </is>
      </c>
      <c r="G26" s="29" t="inlineStr"/>
      <c r="H26" s="29" t="inlineStr">
        <is>
          <t>+225 05 05 04 02 24</t>
        </is>
      </c>
      <c r="I26" s="29" t="inlineStr">
        <is>
          <t>dkoumba2009@yahoo.fr</t>
        </is>
      </c>
      <c r="J26" s="29" t="inlineStr"/>
      <c r="K26" s="29" t="inlineStr">
        <is>
          <t>Directeur des Etudes</t>
        </is>
      </c>
      <c r="L26" s="30" t="inlineStr">
        <is>
          <t>Haute</t>
        </is>
      </c>
      <c r="M26" s="29" t="inlineStr">
        <is>
          <t>MESRS - liste officielle grandes ecoles</t>
        </is>
      </c>
      <c r="N26" s="29" t="inlineStr">
        <is>
          <t>gratuite</t>
        </is>
      </c>
      <c r="O26" s="14" t="inlineStr">
        <is>
          <t>a verifier</t>
        </is>
      </c>
      <c r="P26" s="29" t="inlineStr">
        <is>
          <t>commerce</t>
        </is>
      </c>
    </row>
    <row r="27">
      <c r="A27" s="29" t="inlineStr">
        <is>
          <t>INSTITUT SUPERIEUR DE FORMATION APPLIQUEE (ISFA)</t>
        </is>
      </c>
      <c r="B27" s="29" t="inlineStr">
        <is>
          <t>Grande ecole BTS - assistanat de direction, agriculture tropicale, finances comptabilite</t>
        </is>
      </c>
      <c r="C27" s="29" t="inlineStr">
        <is>
          <t>Prive</t>
        </is>
      </c>
      <c r="D27" s="29" t="inlineStr">
        <is>
          <t>Abidjan - Abobo</t>
        </is>
      </c>
      <c r="E27" s="29" t="inlineStr">
        <is>
          <t>ABOBO Avocatier prêt du 32ième arrondissement</t>
        </is>
      </c>
      <c r="F27" s="29" t="inlineStr">
        <is>
          <t>+225 07 57 13 68 00</t>
        </is>
      </c>
      <c r="G27" s="29" t="inlineStr">
        <is>
          <t>+225 07 13 23 64 19</t>
        </is>
      </c>
      <c r="H27" s="29" t="inlineStr">
        <is>
          <t>+225 07 57 13 68 00</t>
        </is>
      </c>
      <c r="I27" s="29" t="inlineStr">
        <is>
          <t>isfa.institutsuperieur@gmail.com</t>
        </is>
      </c>
      <c r="J27" s="29" t="inlineStr"/>
      <c r="K27" s="29" t="inlineStr">
        <is>
          <t>Directeur des Etudes</t>
        </is>
      </c>
      <c r="L27" s="30" t="inlineStr">
        <is>
          <t>Haute</t>
        </is>
      </c>
      <c r="M27" s="29" t="inlineStr">
        <is>
          <t>MESRS - liste officielle grandes ecoles</t>
        </is>
      </c>
      <c r="N27" s="29" t="inlineStr">
        <is>
          <t>gratuite</t>
        </is>
      </c>
      <c r="O27" s="14" t="inlineStr">
        <is>
          <t>a verifier</t>
        </is>
      </c>
      <c r="P27" s="29" t="inlineStr">
        <is>
          <t>commerce</t>
        </is>
      </c>
    </row>
    <row r="28">
      <c r="A28" s="29" t="inlineStr">
        <is>
          <t>INSTITUT SUPERIEUR DE FORMATION POUR LE DEVELOPPEMENT DES COMPETENCES (ISDEC)</t>
        </is>
      </c>
      <c r="B28" s="29" t="inlineStr">
        <is>
          <t>Grande ecole BTS - assistanat de direction, electrotechnique, finances comptabilite</t>
        </is>
      </c>
      <c r="C28" s="29" t="inlineStr">
        <is>
          <t>Prive</t>
        </is>
      </c>
      <c r="D28" s="29" t="inlineStr">
        <is>
          <t>Abidjan - Abobo</t>
        </is>
      </c>
      <c r="E28" s="29" t="inlineStr">
        <is>
          <t>ABOBO SOGEFIA EN FACE DU CAMP COMMANDO</t>
        </is>
      </c>
      <c r="F28" s="29" t="inlineStr">
        <is>
          <t>+225 07 58 16 42 16</t>
        </is>
      </c>
      <c r="G28" s="29" t="inlineStr">
        <is>
          <t>+225 07 07 21 51 59</t>
        </is>
      </c>
      <c r="H28" s="29" t="inlineStr">
        <is>
          <t>+225 07 58 16 42 16</t>
        </is>
      </c>
      <c r="I28" s="29" t="inlineStr">
        <is>
          <t>isdecabobo@gmail.com</t>
        </is>
      </c>
      <c r="J28" s="29" t="inlineStr"/>
      <c r="K28" s="29" t="inlineStr">
        <is>
          <t>Directeur des Etudes</t>
        </is>
      </c>
      <c r="L28" s="30" t="inlineStr">
        <is>
          <t>Haute</t>
        </is>
      </c>
      <c r="M28" s="29" t="inlineStr">
        <is>
          <t>MESRS - liste officielle grandes ecoles</t>
        </is>
      </c>
      <c r="N28" s="29" t="inlineStr">
        <is>
          <t>gratuite</t>
        </is>
      </c>
      <c r="O28" s="14" t="inlineStr">
        <is>
          <t>a verifier</t>
        </is>
      </c>
      <c r="P28" s="29" t="inlineStr">
        <is>
          <t>commerce</t>
        </is>
      </c>
    </row>
    <row r="29">
      <c r="A29" s="29" t="inlineStr">
        <is>
          <t>INSTITUT SUPERIEUR EZ (IS- EZ)</t>
        </is>
      </c>
      <c r="B29" s="29" t="inlineStr">
        <is>
          <t>Grande ecole BTS - finances comptabilite, gestion commerciale, informatique developpeur d'applications</t>
        </is>
      </c>
      <c r="C29" s="29" t="inlineStr">
        <is>
          <t>Prive</t>
        </is>
      </c>
      <c r="D29" s="29" t="inlineStr">
        <is>
          <t>Abidjan - Abobo</t>
        </is>
      </c>
      <c r="E29" s="29" t="inlineStr">
        <is>
          <t>Abobo, entre la Pharmacie Maténé et le Camp Commando</t>
        </is>
      </c>
      <c r="F29" s="29" t="inlineStr">
        <is>
          <t>+225 27 22 41 73 90</t>
        </is>
      </c>
      <c r="G29" s="29" t="inlineStr"/>
      <c r="H29" s="29" t="inlineStr"/>
      <c r="I29" s="29" t="inlineStr">
        <is>
          <t>institutsup2ez@gmail.com</t>
        </is>
      </c>
      <c r="J29" s="29" t="inlineStr"/>
      <c r="K29" s="29" t="inlineStr">
        <is>
          <t>Directeur des Etudes</t>
        </is>
      </c>
      <c r="L29" s="30" t="inlineStr">
        <is>
          <t>Haute</t>
        </is>
      </c>
      <c r="M29" s="29" t="inlineStr">
        <is>
          <t>MESRS - liste officielle grandes ecoles</t>
        </is>
      </c>
      <c r="N29" s="29" t="inlineStr">
        <is>
          <t>gratuite</t>
        </is>
      </c>
      <c r="O29" s="14" t="inlineStr">
        <is>
          <t>a verifier</t>
        </is>
      </c>
      <c r="P29" s="29" t="inlineStr">
        <is>
          <t>commerce</t>
        </is>
      </c>
    </row>
    <row r="30">
      <c r="A30" s="29" t="inlineStr">
        <is>
          <t>INSTITUT SUPERIEUR POLYTECHNIQUE ROOSEVELT (ISPR)</t>
        </is>
      </c>
      <c r="B30" s="29" t="inlineStr">
        <is>
          <t>Grande ecole BTS - assistanat de direction, finances comptabilite, genie civil</t>
        </is>
      </c>
      <c r="C30" s="29" t="inlineStr">
        <is>
          <t>Prive</t>
        </is>
      </c>
      <c r="D30" s="29" t="inlineStr">
        <is>
          <t>Abidjan - Abobo</t>
        </is>
      </c>
      <c r="E30" s="29" t="inlineStr">
        <is>
          <t>ABOBO AKEKOI, NON LOIN DE L EGLISE CATHOLIQUE SAINT MARC</t>
        </is>
      </c>
      <c r="F30" s="29" t="inlineStr">
        <is>
          <t>+225 07 08 19 23 82</t>
        </is>
      </c>
      <c r="G30" s="29" t="inlineStr">
        <is>
          <t>+225 05 56 56 59 75</t>
        </is>
      </c>
      <c r="H30" s="29" t="inlineStr">
        <is>
          <t>+225 07 08 19 23 82</t>
        </is>
      </c>
      <c r="I30" s="29" t="inlineStr">
        <is>
          <t>institut.ispr@gmail.com</t>
        </is>
      </c>
      <c r="J30" s="29" t="inlineStr">
        <is>
          <t>https://www.institutroosevelt.com</t>
        </is>
      </c>
      <c r="K30" s="29" t="inlineStr">
        <is>
          <t>Directeur des Etudes</t>
        </is>
      </c>
      <c r="L30" s="30" t="inlineStr">
        <is>
          <t>Haute</t>
        </is>
      </c>
      <c r="M30" s="29" t="inlineStr">
        <is>
          <t>MESRS - liste officielle grandes ecoles</t>
        </is>
      </c>
      <c r="N30" s="29" t="inlineStr">
        <is>
          <t>gratuite</t>
        </is>
      </c>
      <c r="O30" s="14" t="inlineStr">
        <is>
          <t>a verifier</t>
        </is>
      </c>
      <c r="P30" s="29" t="inlineStr">
        <is>
          <t>ingenieur</t>
        </is>
      </c>
    </row>
    <row r="31">
      <c r="A31" s="29" t="inlineStr">
        <is>
          <t>INSTITUT SUPERIEUR PROFESSIONNEL (ISP)</t>
        </is>
      </c>
      <c r="B31" s="29" t="inlineStr">
        <is>
          <t>Grande ecole BTS - assistanat de direction, agriculture tropicale, electrotechnique</t>
        </is>
      </c>
      <c r="C31" s="29" t="inlineStr">
        <is>
          <t>Prive</t>
        </is>
      </c>
      <c r="D31" s="29" t="inlineStr">
        <is>
          <t>Abidjan - Abobo</t>
        </is>
      </c>
      <c r="E31" s="29" t="inlineStr">
        <is>
          <t>ABOBO COLATIER EN FACE DE LA CITE UNIVERSITAIRE ABOBO 1</t>
        </is>
      </c>
      <c r="F31" s="29" t="inlineStr">
        <is>
          <t>+225 07 77 77 45 43</t>
        </is>
      </c>
      <c r="G31" s="29" t="inlineStr"/>
      <c r="H31" s="29" t="inlineStr">
        <is>
          <t>+225 07 77 77 45 43</t>
        </is>
      </c>
      <c r="I31" s="29" t="inlineStr"/>
      <c r="J31" s="29" t="inlineStr"/>
      <c r="K31" s="29" t="inlineStr">
        <is>
          <t>Directeur des Etudes</t>
        </is>
      </c>
      <c r="L31" s="30" t="inlineStr">
        <is>
          <t>Haute</t>
        </is>
      </c>
      <c r="M31" s="29" t="inlineStr">
        <is>
          <t>MESRS - liste officielle grandes ecoles</t>
        </is>
      </c>
      <c r="N31" s="29" t="inlineStr"/>
      <c r="O31" s="31" t="inlineStr">
        <is>
          <t>sans email</t>
        </is>
      </c>
      <c r="P31" s="29" t="inlineStr">
        <is>
          <t>commerce</t>
        </is>
      </c>
    </row>
    <row r="32">
      <c r="A32" s="29" t="inlineStr">
        <is>
          <t>INSTITUT SUPERIEUR SAINT CYRILLE (I2SC ABOBO)</t>
        </is>
      </c>
      <c r="B32" s="29" t="inlineStr">
        <is>
          <t>Grande ecole BTS - assistanat de direction, finances comptabilite, gestion commerciale</t>
        </is>
      </c>
      <c r="C32" s="29" t="inlineStr">
        <is>
          <t>Prive</t>
        </is>
      </c>
      <c r="D32" s="29" t="inlineStr">
        <is>
          <t>Abidjan - Abobo</t>
        </is>
      </c>
      <c r="E32" s="29" t="inlineStr">
        <is>
          <t>N’DOTRE A LA BOUTIQUE</t>
        </is>
      </c>
      <c r="F32" s="29" t="inlineStr">
        <is>
          <t>+225 05 00 98 69 92</t>
        </is>
      </c>
      <c r="G32" s="29" t="inlineStr"/>
      <c r="H32" s="29" t="inlineStr">
        <is>
          <t>+225 05 00 98 69 92</t>
        </is>
      </c>
      <c r="I32" s="29" t="inlineStr">
        <is>
          <t>isscsup@gmail.com</t>
        </is>
      </c>
      <c r="J32" s="29" t="inlineStr"/>
      <c r="K32" s="29" t="inlineStr">
        <is>
          <t>Directeur des Etudes</t>
        </is>
      </c>
      <c r="L32" s="30" t="inlineStr">
        <is>
          <t>Haute</t>
        </is>
      </c>
      <c r="M32" s="29" t="inlineStr">
        <is>
          <t>MESRS - liste officielle grandes ecoles</t>
        </is>
      </c>
      <c r="N32" s="29" t="inlineStr">
        <is>
          <t>gratuite</t>
        </is>
      </c>
      <c r="O32" s="14" t="inlineStr">
        <is>
          <t>a verifier</t>
        </is>
      </c>
      <c r="P32" s="29" t="inlineStr">
        <is>
          <t>commerce</t>
        </is>
      </c>
    </row>
    <row r="33">
      <c r="A33" s="29" t="inlineStr">
        <is>
          <t>INSTITUT SUPERIEUR SAINT JAURES (IS2J)</t>
        </is>
      </c>
      <c r="B33" s="29" t="inlineStr">
        <is>
          <t>Grande ecole BTS - finances comptabilite, gestion commerciale, ressources humaines</t>
        </is>
      </c>
      <c r="C33" s="29" t="inlineStr">
        <is>
          <t>Prive</t>
        </is>
      </c>
      <c r="D33" s="29" t="inlineStr">
        <is>
          <t>Abidjan - Abobo</t>
        </is>
      </c>
      <c r="E33" s="29" t="inlineStr">
        <is>
          <t>ABOBO ROUTE DU ZOO, CARREFOUR MAURITANIEN PRES DU CENTRE DE GESTION INTEGRE (CGI)POUR LES PERMIS DE CONDUIRE.</t>
        </is>
      </c>
      <c r="F33" s="29" t="inlineStr">
        <is>
          <t>+225 05 76 72 50 50</t>
        </is>
      </c>
      <c r="G33" s="29" t="inlineStr">
        <is>
          <t>+225 01 40 45 09 77</t>
        </is>
      </c>
      <c r="H33" s="29" t="inlineStr">
        <is>
          <t>+225 05 76 72 50 50</t>
        </is>
      </c>
      <c r="I33" s="29" t="inlineStr">
        <is>
          <t>isjeanjaures@gmail.com</t>
        </is>
      </c>
      <c r="J33" s="29" t="inlineStr">
        <is>
          <t>https://is2j.ci</t>
        </is>
      </c>
      <c r="K33" s="29" t="inlineStr">
        <is>
          <t>Directeur des Etudes</t>
        </is>
      </c>
      <c r="L33" s="30" t="inlineStr">
        <is>
          <t>Haute</t>
        </is>
      </c>
      <c r="M33" s="29" t="inlineStr">
        <is>
          <t>MESRS - liste officielle grandes ecoles</t>
        </is>
      </c>
      <c r="N33" s="29" t="inlineStr">
        <is>
          <t>gratuite</t>
        </is>
      </c>
      <c r="O33" s="14" t="inlineStr">
        <is>
          <t>a verifier</t>
        </is>
      </c>
      <c r="P33" s="29" t="inlineStr">
        <is>
          <t>commerce</t>
        </is>
      </c>
    </row>
    <row r="34">
      <c r="A34" s="29" t="inlineStr">
        <is>
          <t>INSTITUT SUPERIEUR SAINTE FOI ABIDJAN (ISSF ABIDJAN)</t>
        </is>
      </c>
      <c r="B34" s="29" t="inlineStr">
        <is>
          <t>Grande ecole BTS - assistanat de direction, finances comptabilite, gestion commerciale</t>
        </is>
      </c>
      <c r="C34" s="29" t="inlineStr">
        <is>
          <t>Prive</t>
        </is>
      </c>
      <c r="D34" s="29" t="inlineStr">
        <is>
          <t>Abidjan - Abobo</t>
        </is>
      </c>
      <c r="E34" s="29" t="inlineStr">
        <is>
          <t>ABOBO AVOCATIER</t>
        </is>
      </c>
      <c r="F34" s="29" t="inlineStr">
        <is>
          <t>+225 27 24 39 27 41</t>
        </is>
      </c>
      <c r="G34" s="29" t="inlineStr"/>
      <c r="H34" s="29" t="inlineStr"/>
      <c r="I34" s="29" t="inlineStr">
        <is>
          <t>groupesaintefoi@gmail.com</t>
        </is>
      </c>
      <c r="J34" s="29" t="inlineStr"/>
      <c r="K34" s="29" t="inlineStr">
        <is>
          <t>Directeur des Etudes</t>
        </is>
      </c>
      <c r="L34" s="30" t="inlineStr">
        <is>
          <t>Haute</t>
        </is>
      </c>
      <c r="M34" s="29" t="inlineStr">
        <is>
          <t>MESRS - liste officielle grandes ecoles</t>
        </is>
      </c>
      <c r="N34" s="29" t="inlineStr">
        <is>
          <t>gratuite</t>
        </is>
      </c>
      <c r="O34" s="14" t="inlineStr">
        <is>
          <t>a verifier</t>
        </is>
      </c>
      <c r="P34" s="29" t="inlineStr">
        <is>
          <t>commerce</t>
        </is>
      </c>
    </row>
    <row r="35">
      <c r="A35" s="29" t="inlineStr">
        <is>
          <t>INSTITUT SUPÉRIEUR ADAM MARSHALL ABOBO (ISAM ANNEXE ABOBO)</t>
        </is>
      </c>
      <c r="B35" s="29" t="inlineStr">
        <is>
          <t>Grande ecole BTS - assistanat de direction, finances comptabilite, gestion commerciale</t>
        </is>
      </c>
      <c r="C35" s="29" t="inlineStr">
        <is>
          <t>Prive</t>
        </is>
      </c>
      <c r="D35" s="29" t="inlineStr">
        <is>
          <t>Abidjan - Abobo</t>
        </is>
      </c>
      <c r="E35" s="29" t="inlineStr">
        <is>
          <t>ABOBO , route de B.C, Après le camp commando, près de la direction générale des impôt</t>
        </is>
      </c>
      <c r="F35" s="29" t="inlineStr">
        <is>
          <t>+225 27 20 22 68 91</t>
        </is>
      </c>
      <c r="G35" s="29" t="inlineStr"/>
      <c r="H35" s="29" t="inlineStr"/>
      <c r="I35" s="29" t="inlineStr">
        <is>
          <t>infoadammarshall@gmail.com</t>
        </is>
      </c>
      <c r="J35" s="29" t="inlineStr">
        <is>
          <t>https:www.iam-isam.net</t>
        </is>
      </c>
      <c r="K35" s="29" t="inlineStr">
        <is>
          <t>Directeur des Etudes</t>
        </is>
      </c>
      <c r="L35" s="30" t="inlineStr">
        <is>
          <t>Haute</t>
        </is>
      </c>
      <c r="M35" s="29" t="inlineStr">
        <is>
          <t>MESRS - liste officielle grandes ecoles</t>
        </is>
      </c>
      <c r="N35" s="29" t="inlineStr">
        <is>
          <t>gratuite</t>
        </is>
      </c>
      <c r="O35" s="14" t="inlineStr">
        <is>
          <t>a verifier</t>
        </is>
      </c>
      <c r="P35" s="29" t="inlineStr">
        <is>
          <t>commerce</t>
        </is>
      </c>
    </row>
    <row r="36">
      <c r="A36" s="29" t="inlineStr">
        <is>
          <t>ITP CERIN DOKUI</t>
        </is>
      </c>
      <c r="B36" s="29" t="inlineStr">
        <is>
          <t>Grande ecole BTS - finances comptabilite, gestion commerciale, informatique developpeur d'applications</t>
        </is>
      </c>
      <c r="C36" s="29" t="inlineStr">
        <is>
          <t>Prive</t>
        </is>
      </c>
      <c r="D36" s="29" t="inlineStr">
        <is>
          <t>Abidjan - Abobo</t>
        </is>
      </c>
      <c r="E36" s="29" t="inlineStr"/>
      <c r="F36" s="29" t="inlineStr">
        <is>
          <t>+225 01 02 55 55 50</t>
        </is>
      </c>
      <c r="G36" s="29" t="inlineStr"/>
      <c r="H36" s="29" t="inlineStr">
        <is>
          <t>+225 01 02 55 55 50</t>
        </is>
      </c>
      <c r="I36" s="29" t="inlineStr"/>
      <c r="J36" s="29" t="inlineStr"/>
      <c r="K36" s="29" t="inlineStr">
        <is>
          <t>Directeur des Etudes</t>
        </is>
      </c>
      <c r="L36" s="30" t="inlineStr">
        <is>
          <t>Haute</t>
        </is>
      </c>
      <c r="M36" s="29" t="inlineStr">
        <is>
          <t>MESRS - liste officielle grandes ecoles</t>
        </is>
      </c>
      <c r="N36" s="29" t="inlineStr"/>
      <c r="O36" s="31" t="inlineStr">
        <is>
          <t>sans email</t>
        </is>
      </c>
      <c r="P36" s="29" t="inlineStr">
        <is>
          <t>commerce</t>
        </is>
      </c>
    </row>
    <row r="37">
      <c r="A37" s="29" t="inlineStr">
        <is>
          <t>LEGACY INSTITUTE</t>
        </is>
      </c>
      <c r="B37" s="29" t="inlineStr">
        <is>
          <t>Grande ecole BTS - finances comptabilite, genie civil, gestion commerciale</t>
        </is>
      </c>
      <c r="C37" s="29" t="inlineStr">
        <is>
          <t>Prive</t>
        </is>
      </c>
      <c r="D37" s="29" t="inlineStr">
        <is>
          <t>Abidjan - Abobo</t>
        </is>
      </c>
      <c r="E37" s="29" t="inlineStr">
        <is>
          <t>PLATEAU DOKOUI FACE AU BUREAU DE LA SODECI</t>
        </is>
      </c>
      <c r="F37" s="29" t="inlineStr">
        <is>
          <t>+225 27 20 21 54 13</t>
        </is>
      </c>
      <c r="G37" s="29" t="inlineStr">
        <is>
          <t>+225 27 20 22 95 47</t>
        </is>
      </c>
      <c r="H37" s="29" t="inlineStr">
        <is>
          <t>+225 07 07 52 27 43</t>
        </is>
      </c>
      <c r="I37" s="29" t="inlineStr"/>
      <c r="J37" s="29" t="inlineStr"/>
      <c r="K37" s="29" t="inlineStr">
        <is>
          <t>Directeur des Etudes</t>
        </is>
      </c>
      <c r="L37" s="30" t="inlineStr">
        <is>
          <t>Haute</t>
        </is>
      </c>
      <c r="M37" s="29" t="inlineStr">
        <is>
          <t>MESRS - liste officielle grandes ecoles</t>
        </is>
      </c>
      <c r="N37" s="29" t="inlineStr"/>
      <c r="O37" s="31" t="inlineStr">
        <is>
          <t>sans email</t>
        </is>
      </c>
      <c r="P37" s="29" t="inlineStr">
        <is>
          <t>commerce</t>
        </is>
      </c>
    </row>
    <row r="38">
      <c r="A38" s="29" t="inlineStr">
        <is>
          <t>Groupe HETEC</t>
        </is>
      </c>
      <c r="B38" s="29" t="inlineStr">
        <is>
          <t>Grande ecole - technologie / commerce</t>
        </is>
      </c>
      <c r="C38" s="29" t="inlineStr">
        <is>
          <t>Prive</t>
        </is>
      </c>
      <c r="D38" s="29" t="inlineStr">
        <is>
          <t>Abidjan - Abobo Plateau Dokui</t>
        </is>
      </c>
      <c r="E38" s="29" t="inlineStr">
        <is>
          <t>01 BP 4389 Abidjan 01, derriere la Cite Forest</t>
        </is>
      </c>
      <c r="F38" s="29" t="inlineStr">
        <is>
          <t>+225 25 24 01 00 82</t>
        </is>
      </c>
      <c r="G38" s="29" t="inlineStr">
        <is>
          <t>+225 07 48 55 43 36</t>
        </is>
      </c>
      <c r="H38" s="29" t="inlineStr">
        <is>
          <t>+225 01 03 51 70 89</t>
        </is>
      </c>
      <c r="I38" s="29" t="inlineStr">
        <is>
          <t>info@groupehetec.net</t>
        </is>
      </c>
      <c r="J38" s="29" t="inlineStr">
        <is>
          <t>www.hetec.ci</t>
        </is>
      </c>
      <c r="K38" s="29" t="inlineStr">
        <is>
          <t>Directeur des Etudes</t>
        </is>
      </c>
      <c r="L38" s="29" t="inlineStr">
        <is>
          <t>Moyenne</t>
        </is>
      </c>
      <c r="M38" s="29" t="inlineStr">
        <is>
          <t>Le Grand Frere + Annuaire Pratik | email : Le Grand Frere + Edukiya - domaine .net en service</t>
        </is>
      </c>
      <c r="N38" s="29" t="inlineStr">
        <is>
          <t>domaine propre</t>
        </is>
      </c>
      <c r="O38" s="14" t="inlineStr">
        <is>
          <t>a verifier</t>
        </is>
      </c>
      <c r="P38" s="29" t="inlineStr">
        <is>
          <t>numerique</t>
        </is>
      </c>
    </row>
    <row r="39">
      <c r="A39" s="29" t="inlineStr">
        <is>
          <t>CENTRE D'ENSEIGNEMENT TECHNIQUE PROFESSIONNEL DES METIERS ET DE L'ENERGIE RENOUVELABLES (CETPMER)</t>
        </is>
      </c>
      <c r="B39" s="29" t="inlineStr">
        <is>
          <t>Grande ecole BTS - agriculture tropicale, finances comptabilite, genie civil</t>
        </is>
      </c>
      <c r="C39" s="29" t="inlineStr">
        <is>
          <t>Prive</t>
        </is>
      </c>
      <c r="D39" s="29" t="inlineStr">
        <is>
          <t>Abidjan - Adjame</t>
        </is>
      </c>
      <c r="E39" s="29" t="inlineStr"/>
      <c r="F39" s="29" t="inlineStr">
        <is>
          <t>+225 27 20 21 81 21</t>
        </is>
      </c>
      <c r="G39" s="29" t="inlineStr">
        <is>
          <t>+225 01 01 05 11 42</t>
        </is>
      </c>
      <c r="H39" s="29" t="inlineStr">
        <is>
          <t>+225 01 01 05 11 42</t>
        </is>
      </c>
      <c r="I39" s="29" t="inlineStr"/>
      <c r="J39" s="29" t="inlineStr"/>
      <c r="K39" s="29" t="inlineStr">
        <is>
          <t>Directeur des Etudes</t>
        </is>
      </c>
      <c r="L39" s="30" t="inlineStr">
        <is>
          <t>Haute</t>
        </is>
      </c>
      <c r="M39" s="29" t="inlineStr">
        <is>
          <t>MESRS - liste officielle grandes ecoles</t>
        </is>
      </c>
      <c r="N39" s="29" t="inlineStr"/>
      <c r="O39" s="31" t="inlineStr">
        <is>
          <t>sans email</t>
        </is>
      </c>
      <c r="P39" s="29" t="inlineStr">
        <is>
          <t>commerce</t>
        </is>
      </c>
    </row>
    <row r="40">
      <c r="A40" s="29" t="inlineStr">
        <is>
          <t>HOREB BUSINESS AND FINANCE ET INSTITUT VICTOR HUGO D ABIDJAN (IVHA)</t>
        </is>
      </c>
      <c r="B40" s="29" t="inlineStr">
        <is>
          <t>Grande ecole BTS - finances comptabilite, gestion commerciale, informatique developpeur d'applications</t>
        </is>
      </c>
      <c r="C40" s="29" t="inlineStr">
        <is>
          <t>Prive</t>
        </is>
      </c>
      <c r="D40" s="29" t="inlineStr">
        <is>
          <t>Abidjan - Adjame</t>
        </is>
      </c>
      <c r="E40" s="29" t="inlineStr">
        <is>
          <t>ADJAME EXTENSION RUE N ZIKLI</t>
        </is>
      </c>
      <c r="F40" s="29" t="inlineStr">
        <is>
          <t>+225 07 59 86 41 54</t>
        </is>
      </c>
      <c r="G40" s="29" t="inlineStr">
        <is>
          <t>+225 27 20 37 01 25</t>
        </is>
      </c>
      <c r="H40" s="29" t="inlineStr">
        <is>
          <t>+225 07 59 86 41 54</t>
        </is>
      </c>
      <c r="I40" s="29" t="inlineStr"/>
      <c r="J40" s="29" t="inlineStr"/>
      <c r="K40" s="29" t="inlineStr">
        <is>
          <t>Directeur des Etudes</t>
        </is>
      </c>
      <c r="L40" s="30" t="inlineStr">
        <is>
          <t>Haute</t>
        </is>
      </c>
      <c r="M40" s="29" t="inlineStr">
        <is>
          <t>MESRS - liste officielle grandes ecoles</t>
        </is>
      </c>
      <c r="N40" s="29" t="inlineStr"/>
      <c r="O40" s="31" t="inlineStr">
        <is>
          <t>sans email</t>
        </is>
      </c>
      <c r="P40" s="29" t="inlineStr">
        <is>
          <t>commerce</t>
        </is>
      </c>
    </row>
    <row r="41">
      <c r="A41" s="29" t="inlineStr">
        <is>
          <t>IFIT ADJAME ABIDJAN</t>
        </is>
      </c>
      <c r="B41" s="29" t="inlineStr">
        <is>
          <t>Grande ecole BTS - electrotechnique, finances comptabilite, genie civil</t>
        </is>
      </c>
      <c r="C41" s="29" t="inlineStr">
        <is>
          <t>Prive</t>
        </is>
      </c>
      <c r="D41" s="29" t="inlineStr">
        <is>
          <t>Abidjan - Adjame</t>
        </is>
      </c>
      <c r="E41" s="29" t="inlineStr">
        <is>
          <t>ADJAME DALLAS MISSION LIBANAISE</t>
        </is>
      </c>
      <c r="F41" s="29" t="inlineStr">
        <is>
          <t>+225 01 40 23 85 69</t>
        </is>
      </c>
      <c r="G41" s="29" t="inlineStr"/>
      <c r="H41" s="29" t="inlineStr">
        <is>
          <t>+225 01 40 23 85 69</t>
        </is>
      </c>
      <c r="I41" s="29" t="inlineStr">
        <is>
          <t>etep01ifit@gmail.com</t>
        </is>
      </c>
      <c r="J41" s="29" t="inlineStr">
        <is>
          <t>https://www.groupetep.org</t>
        </is>
      </c>
      <c r="K41" s="29" t="inlineStr">
        <is>
          <t>Directeur des Etudes</t>
        </is>
      </c>
      <c r="L41" s="30" t="inlineStr">
        <is>
          <t>Haute</t>
        </is>
      </c>
      <c r="M41" s="29" t="inlineStr">
        <is>
          <t>MESRS - liste officielle grandes ecoles</t>
        </is>
      </c>
      <c r="N41" s="29" t="inlineStr">
        <is>
          <t>gratuite</t>
        </is>
      </c>
      <c r="O41" s="14" t="inlineStr">
        <is>
          <t>a verifier</t>
        </is>
      </c>
      <c r="P41" s="29" t="inlineStr">
        <is>
          <t>commerce</t>
        </is>
      </c>
    </row>
    <row r="42">
      <c r="A42" s="29" t="inlineStr">
        <is>
          <t>INSTITUT DE FORMATION SAINTE MARIE ADJAME (IFSM ADJAME)</t>
        </is>
      </c>
      <c r="B42" s="29" t="inlineStr">
        <is>
          <t>Grande ecole BTS - agriculture tropicale, electrotechnique, finances comptabilite</t>
        </is>
      </c>
      <c r="C42" s="29" t="inlineStr">
        <is>
          <t>Prive</t>
        </is>
      </c>
      <c r="D42" s="29" t="inlineStr">
        <is>
          <t>Abidjan - Adjame</t>
        </is>
      </c>
      <c r="E42" s="29" t="inlineStr"/>
      <c r="F42" s="29" t="inlineStr"/>
      <c r="G42" s="29" t="inlineStr"/>
      <c r="H42" s="29" t="inlineStr"/>
      <c r="I42" s="29" t="inlineStr"/>
      <c r="J42" s="29" t="inlineStr"/>
      <c r="K42" s="29" t="inlineStr">
        <is>
          <t>Directeur des Etudes</t>
        </is>
      </c>
      <c r="L42" s="30" t="inlineStr">
        <is>
          <t>Haute</t>
        </is>
      </c>
      <c r="M42" s="29" t="inlineStr">
        <is>
          <t>MESRS - liste officielle grandes ecoles</t>
        </is>
      </c>
      <c r="N42" s="29" t="inlineStr"/>
      <c r="O42" s="31" t="inlineStr">
        <is>
          <t>sans email</t>
        </is>
      </c>
      <c r="P42" s="29" t="inlineStr">
        <is>
          <t>commerce</t>
        </is>
      </c>
    </row>
    <row r="43">
      <c r="A43" s="29" t="inlineStr">
        <is>
          <t>ISFCG - Institut Superieur de Formation en Commerce et Gestion d'Abidjan</t>
        </is>
      </c>
      <c r="B43" s="29" t="inlineStr">
        <is>
          <t>Institut superieur - commerce et gestion</t>
        </is>
      </c>
      <c r="C43" s="29" t="inlineStr">
        <is>
          <t>Prive</t>
        </is>
      </c>
      <c r="D43" s="29" t="inlineStr">
        <is>
          <t>Abidjan - Adjame</t>
        </is>
      </c>
      <c r="E43" s="29" t="inlineStr">
        <is>
          <t>Adjame quartier Saint-Michel</t>
        </is>
      </c>
      <c r="F43" s="29" t="inlineStr">
        <is>
          <t>+225 27 22 52 49 48</t>
        </is>
      </c>
      <c r="G43" s="29" t="inlineStr">
        <is>
          <t>+225 07 48 36 37 22</t>
        </is>
      </c>
      <c r="H43" s="29" t="inlineStr"/>
      <c r="I43" s="29" t="inlineStr"/>
      <c r="J43" s="29" t="inlineStr"/>
      <c r="K43" s="29" t="inlineStr">
        <is>
          <t>Directeur des Etudes</t>
        </is>
      </c>
      <c r="L43" s="29" t="inlineStr">
        <is>
          <t>Moyenne</t>
        </is>
      </c>
      <c r="M43" s="29" t="inlineStr">
        <is>
          <t>CiTrade</t>
        </is>
      </c>
      <c r="N43" s="29" t="inlineStr"/>
      <c r="O43" s="31" t="inlineStr">
        <is>
          <t>sans email</t>
        </is>
      </c>
      <c r="P43" s="29" t="inlineStr">
        <is>
          <t>commerce</t>
        </is>
      </c>
    </row>
    <row r="44">
      <c r="A44" s="29" t="inlineStr">
        <is>
          <t>ISP-HOREB ADJAME</t>
        </is>
      </c>
      <c r="B44" s="29" t="inlineStr">
        <is>
          <t>Grande ecole BTS - assistanat de direction, finances comptabilite, logistique</t>
        </is>
      </c>
      <c r="C44" s="29" t="inlineStr">
        <is>
          <t>Prive</t>
        </is>
      </c>
      <c r="D44" s="29" t="inlineStr">
        <is>
          <t>Abidjan - Adjame</t>
        </is>
      </c>
      <c r="E44" s="29" t="inlineStr"/>
      <c r="F44" s="29" t="inlineStr">
        <is>
          <t>+225 27 20 00 03 02</t>
        </is>
      </c>
      <c r="G44" s="29" t="inlineStr"/>
      <c r="H44" s="29" t="inlineStr"/>
      <c r="I44" s="29" t="inlineStr">
        <is>
          <t>asbamba78@yahoo.fr</t>
        </is>
      </c>
      <c r="J44" s="29" t="inlineStr"/>
      <c r="K44" s="29" t="inlineStr">
        <is>
          <t>Directeur des Etudes</t>
        </is>
      </c>
      <c r="L44" s="30" t="inlineStr">
        <is>
          <t>Haute</t>
        </is>
      </c>
      <c r="M44" s="29" t="inlineStr">
        <is>
          <t>MESRS - liste officielle grandes ecoles</t>
        </is>
      </c>
      <c r="N44" s="29" t="inlineStr">
        <is>
          <t>gratuite</t>
        </is>
      </c>
      <c r="O44" s="14" t="inlineStr">
        <is>
          <t>a verifier</t>
        </is>
      </c>
      <c r="P44" s="29" t="inlineStr">
        <is>
          <t>commerce</t>
        </is>
      </c>
    </row>
    <row r="45">
      <c r="A45" s="29" t="inlineStr">
        <is>
          <t>ISFMI - Institut Superieur de Formation aux Metiers de l'Informatique</t>
        </is>
      </c>
      <c r="B45" s="29" t="inlineStr">
        <is>
          <t>Institut informatique - BTS et Licence pro</t>
        </is>
      </c>
      <c r="C45" s="29" t="inlineStr">
        <is>
          <t>Prive</t>
        </is>
      </c>
      <c r="D45" s="29" t="inlineStr">
        <is>
          <t>Abidjan - Adjame Roxy</t>
        </is>
      </c>
      <c r="E45" s="29" t="inlineStr">
        <is>
          <t>Rue du Commerce Immeuble Kissimala face SIDAM - 20 BP 647 Abidjan 20</t>
        </is>
      </c>
      <c r="F45" s="29" t="inlineStr">
        <is>
          <t>+225 27 20 32 83 39</t>
        </is>
      </c>
      <c r="G45" s="29" t="inlineStr">
        <is>
          <t>+225 07 58 01 69 01</t>
        </is>
      </c>
      <c r="H45" s="29" t="inlineStr"/>
      <c r="I45" s="29" t="inlineStr">
        <is>
          <t>isfmiisfmi@yahoo.fr</t>
        </is>
      </c>
      <c r="J45" s="29" t="inlineStr">
        <is>
          <t>isfmi.net</t>
        </is>
      </c>
      <c r="K45" s="29" t="inlineStr">
        <is>
          <t>Directeur des Etudes</t>
        </is>
      </c>
      <c r="L45" s="30" t="inlineStr">
        <is>
          <t>Haute</t>
        </is>
      </c>
      <c r="M45" s="29" t="inlineStr">
        <is>
          <t>Site officiel isfmi.net | email : etudes.ci + Le Grand Frere</t>
        </is>
      </c>
      <c r="N45" s="29" t="inlineStr">
        <is>
          <t>gratuite</t>
        </is>
      </c>
      <c r="O45" s="14" t="inlineStr">
        <is>
          <t>a verifier</t>
        </is>
      </c>
      <c r="P45" s="29" t="inlineStr">
        <is>
          <t>numerique</t>
        </is>
      </c>
    </row>
    <row r="46">
      <c r="A46" s="29" t="inlineStr">
        <is>
          <t>ECOLE SUPERIEURE DE TECHNOLOGIE DE COMMERCE ET DE MANAGEMENT ANYAMA (ESTCOM)</t>
        </is>
      </c>
      <c r="B46" s="29" t="inlineStr">
        <is>
          <t>Grande ecole BTS - assistanat de direction, agriculture tropicale, finances comptabilite</t>
        </is>
      </c>
      <c r="C46" s="29" t="inlineStr">
        <is>
          <t>Prive</t>
        </is>
      </c>
      <c r="D46" s="29" t="inlineStr">
        <is>
          <t>Abidjan - Anyama</t>
        </is>
      </c>
      <c r="E46" s="29" t="inlineStr">
        <is>
          <t>ANYAMA QUARTIER RESIDENTIEL</t>
        </is>
      </c>
      <c r="F46" s="29" t="inlineStr">
        <is>
          <t>+225 07 07 70 73 54</t>
        </is>
      </c>
      <c r="G46" s="29" t="inlineStr">
        <is>
          <t>+225 07 08 99 08 96</t>
        </is>
      </c>
      <c r="H46" s="29" t="inlineStr">
        <is>
          <t>+225 07 07 70 73 54</t>
        </is>
      </c>
      <c r="I46" s="29" t="inlineStr">
        <is>
          <t>estcom.anyama@gmail.com</t>
        </is>
      </c>
      <c r="J46" s="29" t="inlineStr"/>
      <c r="K46" s="29" t="inlineStr">
        <is>
          <t>Directeur des Etudes</t>
        </is>
      </c>
      <c r="L46" s="30" t="inlineStr">
        <is>
          <t>Haute</t>
        </is>
      </c>
      <c r="M46" s="29" t="inlineStr">
        <is>
          <t>MESRS - liste officielle grandes ecoles</t>
        </is>
      </c>
      <c r="N46" s="29" t="inlineStr">
        <is>
          <t>gratuite</t>
        </is>
      </c>
      <c r="O46" s="14" t="inlineStr">
        <is>
          <t>a verifier</t>
        </is>
      </c>
      <c r="P46" s="29" t="inlineStr">
        <is>
          <t>numerique</t>
        </is>
      </c>
    </row>
    <row r="47">
      <c r="A47" s="29" t="inlineStr">
        <is>
          <t>ECOLE SUPERIEURE KINDALL (ESK)</t>
        </is>
      </c>
      <c r="B47" s="29" t="inlineStr">
        <is>
          <t>Grande ecole BTS - agriculture tropicale, finances comptabilite, genie civil</t>
        </is>
      </c>
      <c r="C47" s="29" t="inlineStr">
        <is>
          <t>Prive</t>
        </is>
      </c>
      <c r="D47" s="29" t="inlineStr">
        <is>
          <t>Abidjan - Anyama</t>
        </is>
      </c>
      <c r="E47" s="29" t="inlineStr"/>
      <c r="F47" s="29" t="inlineStr">
        <is>
          <t>+225 07 09 56 50 09</t>
        </is>
      </c>
      <c r="G47" s="29" t="inlineStr">
        <is>
          <t>+225 07 08 72 65 20</t>
        </is>
      </c>
      <c r="H47" s="29" t="inlineStr">
        <is>
          <t>+225 07 09 56 50 09</t>
        </is>
      </c>
      <c r="I47" s="29" t="inlineStr"/>
      <c r="J47" s="29" t="inlineStr"/>
      <c r="K47" s="29" t="inlineStr">
        <is>
          <t>Directeur des Etudes</t>
        </is>
      </c>
      <c r="L47" s="30" t="inlineStr">
        <is>
          <t>Haute</t>
        </is>
      </c>
      <c r="M47" s="29" t="inlineStr">
        <is>
          <t>MESRS - liste officielle grandes ecoles</t>
        </is>
      </c>
      <c r="N47" s="29" t="inlineStr"/>
      <c r="O47" s="31" t="inlineStr">
        <is>
          <t>sans email</t>
        </is>
      </c>
      <c r="P47" s="29" t="inlineStr">
        <is>
          <t>commerce</t>
        </is>
      </c>
    </row>
    <row r="48">
      <c r="A48" s="29" t="inlineStr">
        <is>
          <t>Ecole Supérieure de Management La Perruche (ESM LA PERRUCHE)</t>
        </is>
      </c>
      <c r="B48" s="29" t="inlineStr">
        <is>
          <t>Grande ecole BTS - assistanat de direction, finances comptabilite, gestion commerciale</t>
        </is>
      </c>
      <c r="C48" s="29" t="inlineStr">
        <is>
          <t>Prive</t>
        </is>
      </c>
      <c r="D48" s="29" t="inlineStr">
        <is>
          <t>Abidjan - Anyama</t>
        </is>
      </c>
      <c r="E48" s="29" t="inlineStr"/>
      <c r="F48" s="29" t="inlineStr"/>
      <c r="G48" s="29" t="inlineStr"/>
      <c r="H48" s="29" t="inlineStr"/>
      <c r="I48" s="29" t="inlineStr"/>
      <c r="J48" s="29" t="inlineStr"/>
      <c r="K48" s="29" t="inlineStr">
        <is>
          <t>Directeur des Etudes</t>
        </is>
      </c>
      <c r="L48" s="30" t="inlineStr">
        <is>
          <t>Haute</t>
        </is>
      </c>
      <c r="M48" s="29" t="inlineStr">
        <is>
          <t>MESRS - liste officielle grandes ecoles</t>
        </is>
      </c>
      <c r="N48" s="29" t="inlineStr"/>
      <c r="O48" s="31" t="inlineStr">
        <is>
          <t>sans email</t>
        </is>
      </c>
      <c r="P48" s="29" t="inlineStr">
        <is>
          <t>commerce</t>
        </is>
      </c>
    </row>
    <row r="49">
      <c r="A49" s="29" t="inlineStr">
        <is>
          <t>GROUPE INTELLECT FORMATION D'ANYAMA (GIFS)</t>
        </is>
      </c>
      <c r="B49" s="29" t="inlineStr">
        <is>
          <t>Grande ecole BTS - finances comptabilite, gestion commerciale, informatique developpeur d'applications</t>
        </is>
      </c>
      <c r="C49" s="29" t="inlineStr">
        <is>
          <t>Prive</t>
        </is>
      </c>
      <c r="D49" s="29" t="inlineStr">
        <is>
          <t>Abidjan - Anyama</t>
        </is>
      </c>
      <c r="E49" s="29" t="inlineStr">
        <is>
          <t>Allokoi KM23 en face de la station de pesage</t>
        </is>
      </c>
      <c r="F49" s="29" t="inlineStr">
        <is>
          <t>+225 25 23 00 00 00</t>
        </is>
      </c>
      <c r="G49" s="29" t="inlineStr">
        <is>
          <t>+225 05 85 35 89 89</t>
        </is>
      </c>
      <c r="H49" s="29" t="inlineStr">
        <is>
          <t>+225 05 85 35 89 89</t>
        </is>
      </c>
      <c r="I49" s="29" t="inlineStr">
        <is>
          <t>allianceabidjan@gmail.com</t>
        </is>
      </c>
      <c r="J49" s="29" t="inlineStr"/>
      <c r="K49" s="29" t="inlineStr">
        <is>
          <t>Directeur des Etudes</t>
        </is>
      </c>
      <c r="L49" s="30" t="inlineStr">
        <is>
          <t>Haute</t>
        </is>
      </c>
      <c r="M49" s="29" t="inlineStr">
        <is>
          <t>MESRS - liste officielle grandes ecoles</t>
        </is>
      </c>
      <c r="N49" s="29" t="inlineStr">
        <is>
          <t>gratuite</t>
        </is>
      </c>
      <c r="O49" s="14" t="inlineStr">
        <is>
          <t>a verifier</t>
        </is>
      </c>
      <c r="P49" s="29" t="inlineStr">
        <is>
          <t>commerce</t>
        </is>
      </c>
    </row>
    <row r="50">
      <c r="A50" s="29" t="inlineStr">
        <is>
          <t>INSTITUT DE FORMATION SAINTE MARIE ANYAMA (IFSM ANYAMA)</t>
        </is>
      </c>
      <c r="B50" s="29" t="inlineStr">
        <is>
          <t>Grande ecole BTS - moteur, agriculture tropicale, electrotechnique</t>
        </is>
      </c>
      <c r="C50" s="29" t="inlineStr">
        <is>
          <t>Prive</t>
        </is>
      </c>
      <c r="D50" s="29" t="inlineStr">
        <is>
          <t>Abidjan - Anyama</t>
        </is>
      </c>
      <c r="E50" s="29" t="inlineStr">
        <is>
          <t>ANYAMA BOSSIA BVD MOHAMED VI, APRÈS CARREFOUR ANCIENNE GENDARMERIE, VENANT D'ABOBOANYAMA Bossia FW8W+258, A.</t>
        </is>
      </c>
      <c r="F50" s="29" t="inlineStr">
        <is>
          <t>+225 27 23 28 22 91</t>
        </is>
      </c>
      <c r="G50" s="29" t="inlineStr"/>
      <c r="H50" s="29" t="inlineStr"/>
      <c r="I50" s="29" t="inlineStr">
        <is>
          <t>infos@ifsm.ci</t>
        </is>
      </c>
      <c r="J50" s="29" t="inlineStr">
        <is>
          <t>http://www.ifsm.ci</t>
        </is>
      </c>
      <c r="K50" s="29" t="inlineStr">
        <is>
          <t>Directeur des Etudes</t>
        </is>
      </c>
      <c r="L50" s="30" t="inlineStr">
        <is>
          <t>Haute</t>
        </is>
      </c>
      <c r="M50" s="29" t="inlineStr">
        <is>
          <t>MESRS - liste officielle grandes ecoles</t>
        </is>
      </c>
      <c r="N50" s="29" t="inlineStr">
        <is>
          <t>domaine propre</t>
        </is>
      </c>
      <c r="O50" s="14" t="inlineStr">
        <is>
          <t>a verifier</t>
        </is>
      </c>
      <c r="P50" s="29" t="inlineStr">
        <is>
          <t>commerce</t>
        </is>
      </c>
    </row>
    <row r="51">
      <c r="A51" s="29" t="inlineStr">
        <is>
          <t>INSTITUT DE FORMATIONS PROFESSIONNELLES KADI'S RAOUDA (IFP KADI'S RAOUDA ANYAMA)</t>
        </is>
      </c>
      <c r="B51" s="29" t="inlineStr">
        <is>
          <t>Grande ecole BTS - finances comptabilite, genie civil, gestion commerciale</t>
        </is>
      </c>
      <c r="C51" s="29" t="inlineStr">
        <is>
          <t>Prive</t>
        </is>
      </c>
      <c r="D51" s="29" t="inlineStr">
        <is>
          <t>Abidjan - Anyama</t>
        </is>
      </c>
      <c r="E51" s="29" t="inlineStr">
        <is>
          <t>ABOBO Débarcadère / Sur la route d'Alépé</t>
        </is>
      </c>
      <c r="F51" s="29" t="inlineStr">
        <is>
          <t>+225 05 04 14 35 20</t>
        </is>
      </c>
      <c r="G51" s="29" t="inlineStr">
        <is>
          <t>+225 05 55 19 96 10</t>
        </is>
      </c>
      <c r="H51" s="29" t="inlineStr">
        <is>
          <t>+225 05 04 14 35 20</t>
        </is>
      </c>
      <c r="I51" s="29" t="inlineStr">
        <is>
          <t>kadisraouda@gmail.com</t>
        </is>
      </c>
      <c r="J51" s="29" t="inlineStr">
        <is>
          <t>http://www.kadisraouda.com</t>
        </is>
      </c>
      <c r="K51" s="29" t="inlineStr">
        <is>
          <t>Directeur des Etudes</t>
        </is>
      </c>
      <c r="L51" s="30" t="inlineStr">
        <is>
          <t>Haute</t>
        </is>
      </c>
      <c r="M51" s="29" t="inlineStr">
        <is>
          <t>MESRS - liste officielle grandes ecoles</t>
        </is>
      </c>
      <c r="N51" s="29" t="inlineStr">
        <is>
          <t>gratuite</t>
        </is>
      </c>
      <c r="O51" s="14" t="inlineStr">
        <is>
          <t>a verifier</t>
        </is>
      </c>
      <c r="P51" s="29" t="inlineStr">
        <is>
          <t>commerce</t>
        </is>
      </c>
    </row>
    <row r="52">
      <c r="A52" s="29" t="inlineStr">
        <is>
          <t>INSTITUT SUPERIEUR SAINT MICHEL ANYAMA</t>
        </is>
      </c>
      <c r="B52" s="29" t="inlineStr">
        <is>
          <t>Grande ecole BTS - gestion commerciale, ressources humaines</t>
        </is>
      </c>
      <c r="C52" s="29" t="inlineStr">
        <is>
          <t>Prive</t>
        </is>
      </c>
      <c r="D52" s="29" t="inlineStr">
        <is>
          <t>Abidjan - Anyama</t>
        </is>
      </c>
      <c r="E52" s="29" t="inlineStr"/>
      <c r="F52" s="29" t="inlineStr"/>
      <c r="G52" s="29" t="inlineStr"/>
      <c r="H52" s="29" t="inlineStr"/>
      <c r="I52" s="29" t="inlineStr"/>
      <c r="J52" s="29" t="inlineStr"/>
      <c r="K52" s="29" t="inlineStr">
        <is>
          <t>Directeur des Etudes</t>
        </is>
      </c>
      <c r="L52" s="30" t="inlineStr">
        <is>
          <t>Haute</t>
        </is>
      </c>
      <c r="M52" s="29" t="inlineStr">
        <is>
          <t>MESRS - liste officielle grandes ecoles</t>
        </is>
      </c>
      <c r="N52" s="29" t="inlineStr"/>
      <c r="O52" s="31" t="inlineStr">
        <is>
          <t>sans email</t>
        </is>
      </c>
      <c r="P52" s="29" t="inlineStr">
        <is>
          <t>commerce</t>
        </is>
      </c>
    </row>
    <row r="53">
      <c r="A53" s="29" t="inlineStr">
        <is>
          <t>ECOLE SUPERIEURE DE MANAGEMENT ET DE COMMUNICATION (ESMC)</t>
        </is>
      </c>
      <c r="B53" s="29" t="inlineStr">
        <is>
          <t>Grande ecole BTS - assistanat de direction, electrotechnique, finances comptabilite</t>
        </is>
      </c>
      <c r="C53" s="29" t="inlineStr">
        <is>
          <t>Prive</t>
        </is>
      </c>
      <c r="D53" s="29" t="inlineStr">
        <is>
          <t>Abidjan - Bingerville</t>
        </is>
      </c>
      <c r="E53" s="29" t="inlineStr">
        <is>
          <t>BINGERVILLE ABATTA VILLAGE</t>
        </is>
      </c>
      <c r="F53" s="29" t="inlineStr">
        <is>
          <t>+225 07 58 89 39 88</t>
        </is>
      </c>
      <c r="G53" s="29" t="inlineStr">
        <is>
          <t>+225 07 78 28 53 25</t>
        </is>
      </c>
      <c r="H53" s="29" t="inlineStr">
        <is>
          <t>+225 07 58 89 39 88</t>
        </is>
      </c>
      <c r="I53" s="29" t="inlineStr">
        <is>
          <t>informationesmc@gmail.com</t>
        </is>
      </c>
      <c r="J53" s="29" t="inlineStr"/>
      <c r="K53" s="29" t="inlineStr">
        <is>
          <t>Directeur des Etudes</t>
        </is>
      </c>
      <c r="L53" s="30" t="inlineStr">
        <is>
          <t>Haute</t>
        </is>
      </c>
      <c r="M53" s="29" t="inlineStr">
        <is>
          <t>MESRS - liste officielle grandes ecoles</t>
        </is>
      </c>
      <c r="N53" s="29" t="inlineStr">
        <is>
          <t>gratuite</t>
        </is>
      </c>
      <c r="O53" s="14" t="inlineStr">
        <is>
          <t>a verifier</t>
        </is>
      </c>
      <c r="P53" s="29" t="inlineStr">
        <is>
          <t>communication</t>
        </is>
      </c>
    </row>
    <row r="54">
      <c r="A54" s="29" t="inlineStr">
        <is>
          <t>INSTITUT SUPERIEUR BLAISE PASCAL BINGERVILLE (ISBP)</t>
        </is>
      </c>
      <c r="B54" s="29" t="inlineStr">
        <is>
          <t>Grande ecole BTS - assistanat de direction, finances comptabilite, genie civil</t>
        </is>
      </c>
      <c r="C54" s="29" t="inlineStr">
        <is>
          <t>Prive</t>
        </is>
      </c>
      <c r="D54" s="29" t="inlineStr">
        <is>
          <t>Abidjan - Bingerville</t>
        </is>
      </c>
      <c r="E54" s="29" t="inlineStr">
        <is>
          <t>Bingerville Paris village</t>
        </is>
      </c>
      <c r="F54" s="29" t="inlineStr">
        <is>
          <t>+225 27 22 34 26 48</t>
        </is>
      </c>
      <c r="G54" s="29" t="inlineStr">
        <is>
          <t>+225 05 54 43 22 22</t>
        </is>
      </c>
      <c r="H54" s="29" t="inlineStr">
        <is>
          <t>+225 05 54 43 22 22</t>
        </is>
      </c>
      <c r="I54" s="29" t="inlineStr">
        <is>
          <t>isbp.dir@gmail.com</t>
        </is>
      </c>
      <c r="J54" s="29" t="inlineStr">
        <is>
          <t>http://www.isbp-ci.com</t>
        </is>
      </c>
      <c r="K54" s="29" t="inlineStr">
        <is>
          <t>Directeur des Etudes</t>
        </is>
      </c>
      <c r="L54" s="30" t="inlineStr">
        <is>
          <t>Haute</t>
        </is>
      </c>
      <c r="M54" s="29" t="inlineStr">
        <is>
          <t>MESRS - liste officielle grandes ecoles</t>
        </is>
      </c>
      <c r="N54" s="29" t="inlineStr">
        <is>
          <t>gratuite</t>
        </is>
      </c>
      <c r="O54" s="14" t="inlineStr">
        <is>
          <t>a verifier</t>
        </is>
      </c>
      <c r="P54" s="29" t="inlineStr">
        <is>
          <t>commerce</t>
        </is>
      </c>
    </row>
    <row r="55">
      <c r="A55" s="29" t="inlineStr">
        <is>
          <t>INSTITUT SUPERIEUR DJEKAT IGNACE DE LOYOLA (ISDIL)</t>
        </is>
      </c>
      <c r="B55" s="29" t="inlineStr">
        <is>
          <t>Grande ecole BTS - assistanat de direction, finances comptabilite, genie civil</t>
        </is>
      </c>
      <c r="C55" s="29" t="inlineStr">
        <is>
          <t>Prive</t>
        </is>
      </c>
      <c r="D55" s="29" t="inlineStr">
        <is>
          <t>Abidjan - Bingerville</t>
        </is>
      </c>
      <c r="E55" s="29" t="inlineStr">
        <is>
          <t>BINGERVILLE</t>
        </is>
      </c>
      <c r="F55" s="29" t="inlineStr">
        <is>
          <t>+225 27 22 40 30 67</t>
        </is>
      </c>
      <c r="G55" s="29" t="inlineStr">
        <is>
          <t>+225 07 07 62 14 90</t>
        </is>
      </c>
      <c r="H55" s="29" t="inlineStr">
        <is>
          <t>+225 07 07 62 14 90</t>
        </is>
      </c>
      <c r="I55" s="29" t="inlineStr"/>
      <c r="J55" s="29" t="inlineStr"/>
      <c r="K55" s="29" t="inlineStr">
        <is>
          <t>Directeur des Etudes</t>
        </is>
      </c>
      <c r="L55" s="30" t="inlineStr">
        <is>
          <t>Haute</t>
        </is>
      </c>
      <c r="M55" s="29" t="inlineStr">
        <is>
          <t>MESRS - liste officielle grandes ecoles</t>
        </is>
      </c>
      <c r="N55" s="29" t="inlineStr"/>
      <c r="O55" s="31" t="inlineStr">
        <is>
          <t>sans email</t>
        </is>
      </c>
      <c r="P55" s="29" t="inlineStr">
        <is>
          <t>commerce</t>
        </is>
      </c>
    </row>
    <row r="56">
      <c r="A56" s="29" t="inlineStr">
        <is>
          <t>INSTITUT UNIVERSITAIRE DES SCIENCES DE LA SANTE ET DE L ENVIRONNEMENT (IUSSE-AT)</t>
        </is>
      </c>
      <c r="B56" s="29" t="inlineStr">
        <is>
          <t>Grande ecole BTS/Licence - assistanat de direction, agriculture tropicale, finances comptabilite</t>
        </is>
      </c>
      <c r="C56" s="29" t="inlineStr">
        <is>
          <t>Prive</t>
        </is>
      </c>
      <c r="D56" s="29" t="inlineStr">
        <is>
          <t>Abidjan - Bingerville</t>
        </is>
      </c>
      <c r="E56" s="29" t="inlineStr">
        <is>
          <t>BINGERVILLE AKANDJE à 300M de la PHARMACIE AKANDJE</t>
        </is>
      </c>
      <c r="F56" s="29" t="inlineStr">
        <is>
          <t>+225 07 57 83 30 83</t>
        </is>
      </c>
      <c r="G56" s="29" t="inlineStr">
        <is>
          <t>+225 01 41 73 88 88</t>
        </is>
      </c>
      <c r="H56" s="29" t="inlineStr">
        <is>
          <t>+225 07 57 83 30 83</t>
        </is>
      </c>
      <c r="I56" s="29" t="inlineStr">
        <is>
          <t>iusseat@gmail.com</t>
        </is>
      </c>
      <c r="J56" s="29" t="inlineStr"/>
      <c r="K56" s="29" t="inlineStr">
        <is>
          <t>Directeur des Etudes</t>
        </is>
      </c>
      <c r="L56" s="30" t="inlineStr">
        <is>
          <t>Haute</t>
        </is>
      </c>
      <c r="M56" s="29" t="inlineStr">
        <is>
          <t>MESRS - liste officielle grandes ecoles</t>
        </is>
      </c>
      <c r="N56" s="29" t="inlineStr">
        <is>
          <t>gratuite</t>
        </is>
      </c>
      <c r="O56" s="14" t="inlineStr">
        <is>
          <t>a verifier</t>
        </is>
      </c>
      <c r="P56" s="29" t="inlineStr">
        <is>
          <t>sante</t>
        </is>
      </c>
    </row>
    <row r="57">
      <c r="A57" s="29" t="inlineStr">
        <is>
          <t>GROUPE MGS</t>
        </is>
      </c>
      <c r="B57" s="29" t="inlineStr">
        <is>
          <t>Grande ecole BTS - finances comptabilite, gestion commerciale, informatique developpeur d'applications</t>
        </is>
      </c>
      <c r="C57" s="29" t="inlineStr">
        <is>
          <t>Prive</t>
        </is>
      </c>
      <c r="D57" s="29" t="inlineStr">
        <is>
          <t>Abidjan - Bonoua</t>
        </is>
      </c>
      <c r="E57" s="29" t="inlineStr">
        <is>
          <t>Bonoua derrière NSIA Banque au carrefour Adiko</t>
        </is>
      </c>
      <c r="F57" s="29" t="inlineStr">
        <is>
          <t>+225 27 21 30 00 19</t>
        </is>
      </c>
      <c r="G57" s="29" t="inlineStr"/>
      <c r="H57" s="29" t="inlineStr"/>
      <c r="I57" s="29" t="inlineStr">
        <is>
          <t>groupmgsformation@gmail.com</t>
        </is>
      </c>
      <c r="J57" s="29" t="inlineStr"/>
      <c r="K57" s="29" t="inlineStr">
        <is>
          <t>Directeur des Etudes</t>
        </is>
      </c>
      <c r="L57" s="30" t="inlineStr">
        <is>
          <t>Haute</t>
        </is>
      </c>
      <c r="M57" s="29" t="inlineStr">
        <is>
          <t>MESRS - liste officielle grandes ecoles</t>
        </is>
      </c>
      <c r="N57" s="29" t="inlineStr">
        <is>
          <t>gratuite</t>
        </is>
      </c>
      <c r="O57" s="14" t="inlineStr">
        <is>
          <t>a verifier</t>
        </is>
      </c>
      <c r="P57" s="29" t="inlineStr">
        <is>
          <t>commerce</t>
        </is>
      </c>
    </row>
    <row r="58">
      <c r="A58" s="29" t="inlineStr">
        <is>
          <t>INSTITUT SUPERIEUR DES TECHNIQUES COMPTABLES, JURIDIQUES ET FISCALES BONOUA (ISTCJF BONOUA)</t>
        </is>
      </c>
      <c r="B58" s="29" t="inlineStr">
        <is>
          <t>Grande ecole BTS - assistanat de direction, agriculture tropicale, finances comptabilite</t>
        </is>
      </c>
      <c r="C58" s="29" t="inlineStr">
        <is>
          <t>Prive</t>
        </is>
      </c>
      <c r="D58" s="29" t="inlineStr">
        <is>
          <t>Abidjan - Bonoua</t>
        </is>
      </c>
      <c r="E58" s="29" t="inlineStr">
        <is>
          <t>BONOUA PRES DE LA CIE</t>
        </is>
      </c>
      <c r="F58" s="29" t="inlineStr">
        <is>
          <t>+225 27 21 31 03 13</t>
        </is>
      </c>
      <c r="G58" s="29" t="inlineStr">
        <is>
          <t>+225 07 49 61 34 04</t>
        </is>
      </c>
      <c r="H58" s="29" t="inlineStr">
        <is>
          <t>+225 07 49 61 34 04</t>
        </is>
      </c>
      <c r="I58" s="29" t="inlineStr">
        <is>
          <t>istcjfabidjan2018@gmail.com</t>
        </is>
      </c>
      <c r="J58" s="29" t="inlineStr">
        <is>
          <t>https://www.istcjf.ci</t>
        </is>
      </c>
      <c r="K58" s="29" t="inlineStr">
        <is>
          <t>Directeur des Etudes</t>
        </is>
      </c>
      <c r="L58" s="30" t="inlineStr">
        <is>
          <t>Haute</t>
        </is>
      </c>
      <c r="M58" s="29" t="inlineStr">
        <is>
          <t>MESRS - liste officielle grandes ecoles</t>
        </is>
      </c>
      <c r="N58" s="29" t="inlineStr">
        <is>
          <t>gratuite</t>
        </is>
      </c>
      <c r="O58" s="14" t="inlineStr">
        <is>
          <t>a verifier</t>
        </is>
      </c>
      <c r="P58" s="29" t="inlineStr">
        <is>
          <t>commerce</t>
        </is>
      </c>
    </row>
    <row r="59">
      <c r="A59" s="29" t="inlineStr">
        <is>
          <t>ABIDJAN BLOOM UNIVERSITY (ABU)</t>
        </is>
      </c>
      <c r="B59" s="29" t="inlineStr">
        <is>
          <t>Grande ecole BTS - finances comptabilite, gestion commerciale, informatique developpeur d'applications</t>
        </is>
      </c>
      <c r="C59" s="29" t="inlineStr">
        <is>
          <t>Prive</t>
        </is>
      </c>
      <c r="D59" s="29" t="inlineStr">
        <is>
          <t>Abidjan - Cocody</t>
        </is>
      </c>
      <c r="E59" s="29" t="inlineStr">
        <is>
          <t>Cocody, Angré 8e tranche 1119 Avenue Pierre FAKOURY</t>
        </is>
      </c>
      <c r="F59" s="29" t="inlineStr">
        <is>
          <t>+225 05 56 35 58 86</t>
        </is>
      </c>
      <c r="G59" s="29" t="inlineStr">
        <is>
          <t>+225 07 02 44 43 59</t>
        </is>
      </c>
      <c r="H59" s="29" t="inlineStr">
        <is>
          <t>+225 05 56 35 58 86</t>
        </is>
      </c>
      <c r="I59" s="29" t="inlineStr">
        <is>
          <t>infos@abu-ci.com</t>
        </is>
      </c>
      <c r="J59" s="29" t="inlineStr">
        <is>
          <t>https://www.abu-ci.com</t>
        </is>
      </c>
      <c r="K59" s="29" t="inlineStr">
        <is>
          <t>Directeur des Etudes</t>
        </is>
      </c>
      <c r="L59" s="30" t="inlineStr">
        <is>
          <t>Haute</t>
        </is>
      </c>
      <c r="M59" s="29" t="inlineStr">
        <is>
          <t>MESRS - liste officielle grandes ecoles</t>
        </is>
      </c>
      <c r="N59" s="29" t="inlineStr">
        <is>
          <t>domaine propre</t>
        </is>
      </c>
      <c r="O59" s="14" t="inlineStr">
        <is>
          <t>a verifier</t>
        </is>
      </c>
      <c r="P59" s="29" t="inlineStr">
        <is>
          <t>universite</t>
        </is>
      </c>
    </row>
    <row r="60">
      <c r="A60" s="29" t="inlineStr">
        <is>
          <t>ABIDJAN BUSINESS SCHOOL (ABS)</t>
        </is>
      </c>
      <c r="B60" s="29" t="inlineStr">
        <is>
          <t>Grande ecole BTS - finances comptabilite, gestion commerciale, logistique</t>
        </is>
      </c>
      <c r="C60" s="29" t="inlineStr">
        <is>
          <t>Prive</t>
        </is>
      </c>
      <c r="D60" s="29" t="inlineStr">
        <is>
          <t>Abidjan - Cocody</t>
        </is>
      </c>
      <c r="E60" s="29" t="inlineStr">
        <is>
          <t>Cocody Lycee Technique</t>
        </is>
      </c>
      <c r="F60" s="29" t="inlineStr"/>
      <c r="G60" s="29" t="inlineStr"/>
      <c r="H60" s="29" t="inlineStr"/>
      <c r="I60" s="29" t="inlineStr"/>
      <c r="J60" s="29" t="inlineStr"/>
      <c r="K60" s="29" t="inlineStr">
        <is>
          <t>Directeur des Etudes</t>
        </is>
      </c>
      <c r="L60" s="30" t="inlineStr">
        <is>
          <t>Haute</t>
        </is>
      </c>
      <c r="M60" s="29" t="inlineStr">
        <is>
          <t>MESRS - liste officielle grandes ecoles</t>
        </is>
      </c>
      <c r="N60" s="29" t="inlineStr"/>
      <c r="O60" s="31" t="inlineStr">
        <is>
          <t>sans email</t>
        </is>
      </c>
      <c r="P60" s="29" t="inlineStr">
        <is>
          <t>commerce</t>
        </is>
      </c>
    </row>
    <row r="61">
      <c r="A61" s="29" t="inlineStr">
        <is>
          <t>ACADEMIE DE GESTION ET D'HOTELLERIE (AGH)</t>
        </is>
      </c>
      <c r="B61" s="29" t="inlineStr">
        <is>
          <t>Grande ecole BTS - assistanat de direction, finances comptabilite, gestion commerciale</t>
        </is>
      </c>
      <c r="C61" s="29" t="inlineStr">
        <is>
          <t>Prive</t>
        </is>
      </c>
      <c r="D61" s="29" t="inlineStr">
        <is>
          <t>Abidjan - Cocody</t>
        </is>
      </c>
      <c r="E61" s="29" t="inlineStr">
        <is>
          <t>RIVIERA BONOUMIN , RUE i14, non loin du groupe scolaire ANDRE MALRAUX</t>
        </is>
      </c>
      <c r="F61" s="29" t="inlineStr">
        <is>
          <t>+225 07 07 33 00 99</t>
        </is>
      </c>
      <c r="G61" s="29" t="inlineStr">
        <is>
          <t>+225 01 01 11 66 58</t>
        </is>
      </c>
      <c r="H61" s="29" t="inlineStr">
        <is>
          <t>+225 07 07 33 00 99</t>
        </is>
      </c>
      <c r="I61" s="29" t="inlineStr">
        <is>
          <t>agh02@yahoo.fr</t>
        </is>
      </c>
      <c r="J61" s="29" t="inlineStr">
        <is>
          <t>https://www.agh.ci</t>
        </is>
      </c>
      <c r="K61" s="29" t="inlineStr">
        <is>
          <t>Directeur des Etudes</t>
        </is>
      </c>
      <c r="L61" s="30" t="inlineStr">
        <is>
          <t>Haute</t>
        </is>
      </c>
      <c r="M61" s="29" t="inlineStr">
        <is>
          <t>MESRS - liste officielle grandes ecoles</t>
        </is>
      </c>
      <c r="N61" s="29" t="inlineStr">
        <is>
          <t>gratuite</t>
        </is>
      </c>
      <c r="O61" s="14" t="inlineStr">
        <is>
          <t>a verifier</t>
        </is>
      </c>
      <c r="P61" s="29" t="inlineStr">
        <is>
          <t>hotellerie</t>
        </is>
      </c>
    </row>
    <row r="62">
      <c r="A62" s="29" t="inlineStr">
        <is>
          <t>ACADEMIE DES SCIENCES TECHNOLOGIQUES ET COMPTABLES COCODY (ASTC COCODY)</t>
        </is>
      </c>
      <c r="B62" s="29" t="inlineStr">
        <is>
          <t>Grande ecole BTS - assistanat de direction, finances comptabilite, gestion commerciale</t>
        </is>
      </c>
      <c r="C62" s="29" t="inlineStr">
        <is>
          <t>Prive</t>
        </is>
      </c>
      <c r="D62" s="29" t="inlineStr">
        <is>
          <t>Abidjan - Cocody</t>
        </is>
      </c>
      <c r="E62" s="29" t="inlineStr">
        <is>
          <t>Abidjan – Cocody - Carrefour Farandole - Prolongement de la Polyclinique des II Plateaux - Grand espace vert - Après la clinique CMS à droite.</t>
        </is>
      </c>
      <c r="F62" s="29" t="inlineStr">
        <is>
          <t>+225 27 22 41 16 11</t>
        </is>
      </c>
      <c r="G62" s="29" t="inlineStr"/>
      <c r="H62" s="29" t="inlineStr"/>
      <c r="I62" s="29" t="inlineStr">
        <is>
          <t>astc2plateaux@yahoo.com</t>
        </is>
      </c>
      <c r="J62" s="29" t="inlineStr">
        <is>
          <t>https://www.astc.ci</t>
        </is>
      </c>
      <c r="K62" s="29" t="inlineStr">
        <is>
          <t>Directeur des Etudes</t>
        </is>
      </c>
      <c r="L62" s="30" t="inlineStr">
        <is>
          <t>Haute</t>
        </is>
      </c>
      <c r="M62" s="29" t="inlineStr">
        <is>
          <t>MESRS - liste officielle grandes ecoles</t>
        </is>
      </c>
      <c r="N62" s="29" t="inlineStr">
        <is>
          <t>gratuite</t>
        </is>
      </c>
      <c r="O62" s="14" t="inlineStr">
        <is>
          <t>a verifier</t>
        </is>
      </c>
      <c r="P62" s="29" t="inlineStr">
        <is>
          <t>numerique</t>
        </is>
      </c>
    </row>
    <row r="63">
      <c r="A63" s="29" t="inlineStr">
        <is>
          <t>ACADEMIE FICOGES COCODY</t>
        </is>
      </c>
      <c r="B63" s="29" t="inlineStr">
        <is>
          <t>Grande ecole BTS - finances comptabilite, gestion commerciale, informatique developpeur d'applications</t>
        </is>
      </c>
      <c r="C63" s="29" t="inlineStr">
        <is>
          <t>Prive</t>
        </is>
      </c>
      <c r="D63" s="29" t="inlineStr">
        <is>
          <t>Abidjan - Cocody</t>
        </is>
      </c>
      <c r="E63" s="29" t="inlineStr">
        <is>
          <t>II Plateaux 7ème Tranche Rue L34 non loin du 30ème Arrdt.</t>
        </is>
      </c>
      <c r="F63" s="29" t="inlineStr">
        <is>
          <t>+225 27 22 52 58 66</t>
        </is>
      </c>
      <c r="G63" s="29" t="inlineStr"/>
      <c r="H63" s="29" t="inlineStr"/>
      <c r="I63" s="29" t="inlineStr">
        <is>
          <t>academieficoges@yahoo.fr</t>
        </is>
      </c>
      <c r="J63" s="29" t="inlineStr"/>
      <c r="K63" s="29" t="inlineStr">
        <is>
          <t>Directeur des Etudes</t>
        </is>
      </c>
      <c r="L63" s="30" t="inlineStr">
        <is>
          <t>Haute</t>
        </is>
      </c>
      <c r="M63" s="29" t="inlineStr">
        <is>
          <t>MESRS - liste officielle grandes ecoles</t>
        </is>
      </c>
      <c r="N63" s="29" t="inlineStr">
        <is>
          <t>gratuite</t>
        </is>
      </c>
      <c r="O63" s="14" t="inlineStr">
        <is>
          <t>a verifier</t>
        </is>
      </c>
      <c r="P63" s="29" t="inlineStr">
        <is>
          <t>commerce</t>
        </is>
      </c>
    </row>
    <row r="64">
      <c r="A64" s="29" t="inlineStr">
        <is>
          <t>AFRICAN SCHOOL OF ECONOMICS COTE D'IVOIRE (ASE-CI)</t>
        </is>
      </c>
      <c r="B64" s="29" t="inlineStr">
        <is>
          <t>Grande ecole BTS/Licence - assistanat de direction, electrotechnique, finances comptabilite</t>
        </is>
      </c>
      <c r="C64" s="29" t="inlineStr">
        <is>
          <t>Prive</t>
        </is>
      </c>
      <c r="D64" s="29" t="inlineStr">
        <is>
          <t>Abidjan - Cocody</t>
        </is>
      </c>
      <c r="E64" s="29" t="inlineStr">
        <is>
          <t>Bonoumain non point ADO non loin du collège Figuier</t>
        </is>
      </c>
      <c r="F64" s="29" t="inlineStr">
        <is>
          <t>+225 07 11 01 37 32</t>
        </is>
      </c>
      <c r="G64" s="29" t="inlineStr">
        <is>
          <t>+225 01 60 00 00 05</t>
        </is>
      </c>
      <c r="H64" s="29" t="inlineStr">
        <is>
          <t>+225 07 11 01 37 32</t>
        </is>
      </c>
      <c r="I64" s="29" t="inlineStr">
        <is>
          <t>aseabidjan@africanschoolofeconomics.com</t>
        </is>
      </c>
      <c r="J64" s="29" t="inlineStr">
        <is>
          <t>https://www.africanschool.net</t>
        </is>
      </c>
      <c r="K64" s="29" t="inlineStr">
        <is>
          <t>Directeur des Etudes</t>
        </is>
      </c>
      <c r="L64" s="30" t="inlineStr">
        <is>
          <t>Haute</t>
        </is>
      </c>
      <c r="M64" s="29" t="inlineStr">
        <is>
          <t>MESRS - liste officielle grandes ecoles</t>
        </is>
      </c>
      <c r="N64" s="29" t="inlineStr">
        <is>
          <t>domaine propre</t>
        </is>
      </c>
      <c r="O64" s="14" t="inlineStr">
        <is>
          <t>a verifier</t>
        </is>
      </c>
      <c r="P64" s="29" t="inlineStr">
        <is>
          <t>commerce</t>
        </is>
      </c>
    </row>
    <row r="65">
      <c r="A65" s="29" t="inlineStr">
        <is>
          <t>AFRICAN VISION INSTITUT DE DEVELOPPEMENT ET D'ECONOMIE (AVIDE EDUCATION)</t>
        </is>
      </c>
      <c r="B65" s="29" t="inlineStr">
        <is>
          <t>Grande ecole BTS - assistanat de direction, finances comptabilite, gestion commerciale</t>
        </is>
      </c>
      <c r="C65" s="29" t="inlineStr">
        <is>
          <t>Prive</t>
        </is>
      </c>
      <c r="D65" s="29" t="inlineStr">
        <is>
          <t>Abidjan - Cocody</t>
        </is>
      </c>
      <c r="E65" s="29" t="inlineStr">
        <is>
          <t>cocody rivièra 2</t>
        </is>
      </c>
      <c r="F65" s="29" t="inlineStr">
        <is>
          <t>+225 27 22 45 66 09</t>
        </is>
      </c>
      <c r="G65" s="29" t="inlineStr"/>
      <c r="H65" s="29" t="inlineStr"/>
      <c r="I65" s="29" t="inlineStr">
        <is>
          <t>info@avide-edu.org</t>
        </is>
      </c>
      <c r="J65" s="29" t="inlineStr"/>
      <c r="K65" s="29" t="inlineStr">
        <is>
          <t>Directeur des Etudes</t>
        </is>
      </c>
      <c r="L65" s="30" t="inlineStr">
        <is>
          <t>Haute</t>
        </is>
      </c>
      <c r="M65" s="29" t="inlineStr">
        <is>
          <t>MESRS - liste officielle grandes ecoles</t>
        </is>
      </c>
      <c r="N65" s="29" t="inlineStr">
        <is>
          <t>domaine propre</t>
        </is>
      </c>
      <c r="O65" s="14" t="inlineStr">
        <is>
          <t>a verifier</t>
        </is>
      </c>
      <c r="P65" s="29" t="inlineStr">
        <is>
          <t>commerce</t>
        </is>
      </c>
    </row>
    <row r="66">
      <c r="A66" s="29" t="inlineStr">
        <is>
          <t>ATLANTIQUE INTERNATIONAL BUSINESS SCHOOL (AIBS)</t>
        </is>
      </c>
      <c r="B66" s="29" t="inlineStr">
        <is>
          <t>Grande ecole BTS - communication visuelle, finances comptabilite, genie civil</t>
        </is>
      </c>
      <c r="C66" s="29" t="inlineStr">
        <is>
          <t>Prive</t>
        </is>
      </c>
      <c r="D66" s="29" t="inlineStr">
        <is>
          <t>Abidjan - Cocody</t>
        </is>
      </c>
      <c r="E66" s="29" t="inlineStr">
        <is>
          <t>COCODY DANGA non loin du nid de cocody</t>
        </is>
      </c>
      <c r="F66" s="29" t="inlineStr">
        <is>
          <t>+225 27 22 44 50 49</t>
        </is>
      </c>
      <c r="G66" s="29" t="inlineStr"/>
      <c r="H66" s="29" t="inlineStr"/>
      <c r="I66" s="29" t="inlineStr">
        <is>
          <t>info@atlantique-ibs.net</t>
        </is>
      </c>
      <c r="J66" s="29" t="inlineStr">
        <is>
          <t>http://atlantique-ibs.net/</t>
        </is>
      </c>
      <c r="K66" s="29" t="inlineStr">
        <is>
          <t>Directeur des Etudes</t>
        </is>
      </c>
      <c r="L66" s="30" t="inlineStr">
        <is>
          <t>Haute</t>
        </is>
      </c>
      <c r="M66" s="29" t="inlineStr">
        <is>
          <t>MESRS - liste officielle grandes ecoles</t>
        </is>
      </c>
      <c r="N66" s="29" t="inlineStr">
        <is>
          <t>domaine propre</t>
        </is>
      </c>
      <c r="O66" s="14" t="inlineStr">
        <is>
          <t>a verifier</t>
        </is>
      </c>
      <c r="P66" s="29" t="inlineStr">
        <is>
          <t>commerce</t>
        </is>
      </c>
    </row>
    <row r="67">
      <c r="A67" s="29" t="inlineStr">
        <is>
          <t>BA’OULEHN INSTITUTE OF TECHNOLOGIE (BIT )</t>
        </is>
      </c>
      <c r="B67" s="29" t="inlineStr">
        <is>
          <t>Grande ecole BTS - assistanat de direction, finances comptabilite, gestion commerciale</t>
        </is>
      </c>
      <c r="C67" s="29" t="inlineStr">
        <is>
          <t>Prive</t>
        </is>
      </c>
      <c r="D67" s="29" t="inlineStr">
        <is>
          <t>Abidjan - Cocody</t>
        </is>
      </c>
      <c r="E67" s="29" t="inlineStr">
        <is>
          <t>2 Plateaux Sanon</t>
        </is>
      </c>
      <c r="F67" s="29" t="inlineStr">
        <is>
          <t>+225 05 05 59 91 56</t>
        </is>
      </c>
      <c r="G67" s="29" t="inlineStr">
        <is>
          <t>+225 05 54 00 89 55</t>
        </is>
      </c>
      <c r="H67" s="29" t="inlineStr">
        <is>
          <t>+225 05 05 59 91 56</t>
        </is>
      </c>
      <c r="I67" s="29" t="inlineStr">
        <is>
          <t>baoulehninstitute@gmail.com</t>
        </is>
      </c>
      <c r="J67" s="29" t="inlineStr"/>
      <c r="K67" s="29" t="inlineStr">
        <is>
          <t>Directeur des Etudes</t>
        </is>
      </c>
      <c r="L67" s="30" t="inlineStr">
        <is>
          <t>Haute</t>
        </is>
      </c>
      <c r="M67" s="29" t="inlineStr">
        <is>
          <t>MESRS - liste officielle grandes ecoles</t>
        </is>
      </c>
      <c r="N67" s="29" t="inlineStr">
        <is>
          <t>gratuite</t>
        </is>
      </c>
      <c r="O67" s="14" t="inlineStr">
        <is>
          <t>a verifier</t>
        </is>
      </c>
      <c r="P67" s="29" t="inlineStr">
        <is>
          <t>numerique</t>
        </is>
      </c>
    </row>
    <row r="68">
      <c r="A68" s="29" t="inlineStr">
        <is>
          <t>BRITISH INTERNATIONALUNIVERSITY (BIU)</t>
        </is>
      </c>
      <c r="B68" s="29" t="inlineStr">
        <is>
          <t>Grande ecole BTS -</t>
        </is>
      </c>
      <c r="C68" s="29" t="inlineStr">
        <is>
          <t>Prive</t>
        </is>
      </c>
      <c r="D68" s="29" t="inlineStr">
        <is>
          <t>Abidjan - Cocody</t>
        </is>
      </c>
      <c r="E68" s="29" t="inlineStr">
        <is>
          <t>RIVIERA BEVERLY HILLS</t>
        </is>
      </c>
      <c r="F68" s="29" t="inlineStr">
        <is>
          <t>+225 27 22 24 63 17</t>
        </is>
      </c>
      <c r="G68" s="29" t="inlineStr">
        <is>
          <t>+225 07 88 20 20 20</t>
        </is>
      </c>
      <c r="H68" s="29" t="inlineStr">
        <is>
          <t>+225 07 88 20 20 20</t>
        </is>
      </c>
      <c r="I68" s="29" t="inlineStr">
        <is>
          <t>admission@biu.education</t>
        </is>
      </c>
      <c r="J68" s="29" t="inlineStr">
        <is>
          <t>http://www.britishinternationaluniversity.com</t>
        </is>
      </c>
      <c r="K68" s="29" t="inlineStr">
        <is>
          <t>Directeur des Etudes</t>
        </is>
      </c>
      <c r="L68" s="30" t="inlineStr">
        <is>
          <t>Haute</t>
        </is>
      </c>
      <c r="M68" s="29" t="inlineStr">
        <is>
          <t>MESRS - liste officielle grandes ecoles</t>
        </is>
      </c>
      <c r="N68" s="29" t="inlineStr">
        <is>
          <t>domaine propre</t>
        </is>
      </c>
      <c r="O68" s="14" t="inlineStr">
        <is>
          <t>a verifier</t>
        </is>
      </c>
      <c r="P68" s="29" t="inlineStr">
        <is>
          <t>universite</t>
        </is>
      </c>
    </row>
    <row r="69">
      <c r="A69" s="29" t="inlineStr">
        <is>
          <t>CENTRALE SUP (CS)</t>
        </is>
      </c>
      <c r="B69" s="29" t="inlineStr">
        <is>
          <t>Grande ecole BTS - electrotechnique, finances comptabilite, genie civil</t>
        </is>
      </c>
      <c r="C69" s="29" t="inlineStr">
        <is>
          <t>Prive</t>
        </is>
      </c>
      <c r="D69" s="29" t="inlineStr">
        <is>
          <t>Abidjan - Cocody</t>
        </is>
      </c>
      <c r="E69" s="29" t="inlineStr">
        <is>
          <t>COCODY FAYA</t>
        </is>
      </c>
      <c r="F69" s="29" t="inlineStr">
        <is>
          <t>+225 07 77 87 83 93</t>
        </is>
      </c>
      <c r="G69" s="29" t="inlineStr">
        <is>
          <t>+225 01 03 64 16 47</t>
        </is>
      </c>
      <c r="H69" s="29" t="inlineStr">
        <is>
          <t>+225 07 77 87 83 93</t>
        </is>
      </c>
      <c r="I69" s="29" t="inlineStr"/>
      <c r="J69" s="29" t="inlineStr"/>
      <c r="K69" s="29" t="inlineStr">
        <is>
          <t>Directeur des Etudes</t>
        </is>
      </c>
      <c r="L69" s="30" t="inlineStr">
        <is>
          <t>Haute</t>
        </is>
      </c>
      <c r="M69" s="29" t="inlineStr">
        <is>
          <t>MESRS - liste officielle grandes ecoles</t>
        </is>
      </c>
      <c r="N69" s="29" t="inlineStr"/>
      <c r="O69" s="31" t="inlineStr">
        <is>
          <t>sans email</t>
        </is>
      </c>
      <c r="P69" s="29" t="inlineStr">
        <is>
          <t>commerce</t>
        </is>
      </c>
    </row>
    <row r="70">
      <c r="A70" s="29" t="inlineStr">
        <is>
          <t>CENTRE D ENSEIGNEMENT SUPERIEUR ET DES TECHNOLOGIES INTERNATIONALES D'ABIDJAN (CESTIA-2EP)</t>
        </is>
      </c>
      <c r="B70" s="29" t="inlineStr">
        <is>
          <t>Grande ecole BTS - assistanat de direction, electrotechnique, finances comptabilite</t>
        </is>
      </c>
      <c r="C70" s="29" t="inlineStr">
        <is>
          <t>Prive</t>
        </is>
      </c>
      <c r="D70" s="29" t="inlineStr">
        <is>
          <t>Abidjan - Cocody</t>
        </is>
      </c>
      <c r="E70" s="29" t="inlineStr">
        <is>
          <t>ANGRE papayé</t>
        </is>
      </c>
      <c r="F70" s="29" t="inlineStr">
        <is>
          <t>+225 27 22 42 01 66</t>
        </is>
      </c>
      <c r="G70" s="29" t="inlineStr"/>
      <c r="H70" s="29" t="inlineStr"/>
      <c r="I70" s="29" t="inlineStr">
        <is>
          <t>infos.groupecestia@gmail.com</t>
        </is>
      </c>
      <c r="J70" s="29" t="inlineStr">
        <is>
          <t>https://WWW.CESTIA-2EP.COM</t>
        </is>
      </c>
      <c r="K70" s="29" t="inlineStr">
        <is>
          <t>Directeur des Etudes</t>
        </is>
      </c>
      <c r="L70" s="30" t="inlineStr">
        <is>
          <t>Haute</t>
        </is>
      </c>
      <c r="M70" s="29" t="inlineStr">
        <is>
          <t>MESRS - liste officielle grandes ecoles</t>
        </is>
      </c>
      <c r="N70" s="29" t="inlineStr">
        <is>
          <t>gratuite</t>
        </is>
      </c>
      <c r="O70" s="14" t="inlineStr">
        <is>
          <t>a verifier</t>
        </is>
      </c>
      <c r="P70" s="29" t="inlineStr">
        <is>
          <t>numerique</t>
        </is>
      </c>
    </row>
    <row r="71">
      <c r="A71" s="29" t="inlineStr">
        <is>
          <t>CENTRE D'ETUDES, DE FORMATION EN INFORMATIQUE ET VISIO ENSEIGNEMENT (CEFIVE)</t>
        </is>
      </c>
      <c r="B71" s="29" t="inlineStr">
        <is>
          <t>Grande ecole BTS - finances comptabilite, gestion commerciale, informatique developpeur d'applications</t>
        </is>
      </c>
      <c r="C71" s="29" t="inlineStr">
        <is>
          <t>Prive</t>
        </is>
      </c>
      <c r="D71" s="29" t="inlineStr">
        <is>
          <t>Abidjan - Cocody</t>
        </is>
      </c>
      <c r="E71" s="29" t="inlineStr"/>
      <c r="F71" s="29" t="inlineStr">
        <is>
          <t>+225 27 22 48 62 82</t>
        </is>
      </c>
      <c r="G71" s="29" t="inlineStr"/>
      <c r="H71" s="29" t="inlineStr"/>
      <c r="I71" s="29" t="inlineStr">
        <is>
          <t>cefive@cefive-ci.com</t>
        </is>
      </c>
      <c r="J71" s="29" t="inlineStr"/>
      <c r="K71" s="29" t="inlineStr">
        <is>
          <t>Directeur des Etudes</t>
        </is>
      </c>
      <c r="L71" s="30" t="inlineStr">
        <is>
          <t>Haute</t>
        </is>
      </c>
      <c r="M71" s="29" t="inlineStr">
        <is>
          <t>MESRS - liste officielle grandes ecoles</t>
        </is>
      </c>
      <c r="N71" s="29" t="inlineStr">
        <is>
          <t>domaine propre</t>
        </is>
      </c>
      <c r="O71" s="14" t="inlineStr">
        <is>
          <t>a verifier</t>
        </is>
      </c>
      <c r="P71" s="29" t="inlineStr">
        <is>
          <t>numerique</t>
        </is>
      </c>
    </row>
    <row r="72">
      <c r="A72" s="29" t="inlineStr">
        <is>
          <t>CENTRE DE FORMATION A LA GESTION DES ENTREPRISES DE CÔTE D'IVOIRE (CFGE)</t>
        </is>
      </c>
      <c r="B72" s="29" t="inlineStr">
        <is>
          <t>Grande ecole BTS - finances comptabilite, gestion commerciale, informatique developpeur d'applications</t>
        </is>
      </c>
      <c r="C72" s="29" t="inlineStr">
        <is>
          <t>Prive</t>
        </is>
      </c>
      <c r="D72" s="29" t="inlineStr">
        <is>
          <t>Abidjan - Cocody</t>
        </is>
      </c>
      <c r="E72" s="29" t="inlineStr">
        <is>
          <t>Carrefour DUNCAN après la CEI, Rue K112, Villa 18</t>
        </is>
      </c>
      <c r="F72" s="29" t="inlineStr">
        <is>
          <t>+225 05 94 77 50 59</t>
        </is>
      </c>
      <c r="G72" s="29" t="inlineStr">
        <is>
          <t>+225 07 09 43 43 15</t>
        </is>
      </c>
      <c r="H72" s="29" t="inlineStr">
        <is>
          <t>+225 05 94 77 50 59</t>
        </is>
      </c>
      <c r="I72" s="29" t="inlineStr">
        <is>
          <t>cfgeci01@gmail.com</t>
        </is>
      </c>
      <c r="J72" s="29" t="inlineStr"/>
      <c r="K72" s="29" t="inlineStr">
        <is>
          <t>Directeur des Etudes</t>
        </is>
      </c>
      <c r="L72" s="30" t="inlineStr">
        <is>
          <t>Haute</t>
        </is>
      </c>
      <c r="M72" s="29" t="inlineStr">
        <is>
          <t>MESRS - liste officielle grandes ecoles</t>
        </is>
      </c>
      <c r="N72" s="29" t="inlineStr">
        <is>
          <t>gratuite</t>
        </is>
      </c>
      <c r="O72" s="14" t="inlineStr">
        <is>
          <t>a verifier</t>
        </is>
      </c>
      <c r="P72" s="29" t="inlineStr">
        <is>
          <t>commerce</t>
        </is>
      </c>
    </row>
    <row r="73">
      <c r="A73" s="29" t="inlineStr">
        <is>
          <t>CENTRE DE FORMATION EN ADMINISTRATION ET EN MECANIQUE (CFAM)</t>
        </is>
      </c>
      <c r="B73" s="29" t="inlineStr">
        <is>
          <t>Grande ecole BTS - moteur, communication visuelle, genie civil</t>
        </is>
      </c>
      <c r="C73" s="29" t="inlineStr">
        <is>
          <t>Prive</t>
        </is>
      </c>
      <c r="D73" s="29" t="inlineStr">
        <is>
          <t>Abidjan - Cocody</t>
        </is>
      </c>
      <c r="E73" s="29" t="inlineStr">
        <is>
          <t>COCODY RIVIERA</t>
        </is>
      </c>
      <c r="F73" s="29" t="inlineStr">
        <is>
          <t>+225 07 57 10 74 63</t>
        </is>
      </c>
      <c r="G73" s="29" t="inlineStr"/>
      <c r="H73" s="29" t="inlineStr">
        <is>
          <t>+225 07 57 10 74 63</t>
        </is>
      </c>
      <c r="I73" s="29" t="inlineStr"/>
      <c r="J73" s="29" t="inlineStr"/>
      <c r="K73" s="29" t="inlineStr">
        <is>
          <t>Directeur des Etudes</t>
        </is>
      </c>
      <c r="L73" s="30" t="inlineStr">
        <is>
          <t>Haute</t>
        </is>
      </c>
      <c r="M73" s="29" t="inlineStr">
        <is>
          <t>MESRS - liste officielle grandes ecoles</t>
        </is>
      </c>
      <c r="N73" s="29" t="inlineStr"/>
      <c r="O73" s="31" t="inlineStr">
        <is>
          <t>sans email</t>
        </is>
      </c>
      <c r="P73" s="29" t="inlineStr">
        <is>
          <t>commerce</t>
        </is>
      </c>
    </row>
    <row r="74">
      <c r="A74" s="29" t="inlineStr">
        <is>
          <t>CENTRE INTERNATIONAL DE FORMATION EN PRESENTIELLE ET A DISTANCE COCODY (CIFAD COCODY)</t>
        </is>
      </c>
      <c r="B74" s="29" t="inlineStr">
        <is>
          <t>Grande ecole BTS - arts, assistanat de direction, communication visuelle</t>
        </is>
      </c>
      <c r="C74" s="29" t="inlineStr">
        <is>
          <t>Prive</t>
        </is>
      </c>
      <c r="D74" s="29" t="inlineStr">
        <is>
          <t>Abidjan - Cocody</t>
        </is>
      </c>
      <c r="E74" s="29" t="inlineStr">
        <is>
          <t>COCODY CITE DES ARTS ENTRE L'INSAAC ET L'ECOLE DE LA GENDARMERIE (Pour la géolocalisation google maps, entrez les coordonnées suivantes : 82X3+62H, Abidjan)</t>
        </is>
      </c>
      <c r="F74" s="29" t="inlineStr"/>
      <c r="G74" s="29" t="inlineStr"/>
      <c r="H74" s="29" t="inlineStr"/>
      <c r="I74" s="29" t="inlineStr">
        <is>
          <t>rusta.cifad@gmail.com</t>
        </is>
      </c>
      <c r="J74" s="29" t="inlineStr">
        <is>
          <t>http://www.cifad.eu</t>
        </is>
      </c>
      <c r="K74" s="29" t="inlineStr">
        <is>
          <t>Directeur des Etudes</t>
        </is>
      </c>
      <c r="L74" s="30" t="inlineStr">
        <is>
          <t>Haute</t>
        </is>
      </c>
      <c r="M74" s="29" t="inlineStr">
        <is>
          <t>MESRS - liste officielle grandes ecoles</t>
        </is>
      </c>
      <c r="N74" s="29" t="inlineStr">
        <is>
          <t>gratuite</t>
        </is>
      </c>
      <c r="O74" s="14" t="inlineStr">
        <is>
          <t>a verifier</t>
        </is>
      </c>
      <c r="P74" s="29" t="inlineStr">
        <is>
          <t>commerce</t>
        </is>
      </c>
    </row>
    <row r="75">
      <c r="A75" s="29" t="inlineStr">
        <is>
          <t>CENTRE INTERNATIONAL DU MANAGEMENT ET DE L'ENTREPRENEURIAT (CIME-FORMATION ABIDJAN)</t>
        </is>
      </c>
      <c r="B75" s="29" t="inlineStr">
        <is>
          <t>Grande ecole BTS/Licence - assistanat de direction, agriculture tropicale, communication visuelle</t>
        </is>
      </c>
      <c r="C75" s="29" t="inlineStr">
        <is>
          <t>Prive</t>
        </is>
      </c>
      <c r="D75" s="29" t="inlineStr">
        <is>
          <t>Abidjan - Cocody</t>
        </is>
      </c>
      <c r="E75" s="29" t="inlineStr">
        <is>
          <t>RÉSIDENCE PAPAYER - COCODY II PLATEAUX ANGRE, CARREFOUR GLACIER LES OSCARS</t>
        </is>
      </c>
      <c r="F75" s="29" t="inlineStr">
        <is>
          <t>+225 27 22 52 87 80</t>
        </is>
      </c>
      <c r="G75" s="29" t="inlineStr"/>
      <c r="H75" s="29" t="inlineStr"/>
      <c r="I75" s="29" t="inlineStr">
        <is>
          <t>ecime.formation@yahoo.fr</t>
        </is>
      </c>
      <c r="J75" s="29" t="inlineStr">
        <is>
          <t>https://www.cime-formation.com</t>
        </is>
      </c>
      <c r="K75" s="29" t="inlineStr">
        <is>
          <t>Directeur des Etudes</t>
        </is>
      </c>
      <c r="L75" s="30" t="inlineStr">
        <is>
          <t>Haute</t>
        </is>
      </c>
      <c r="M75" s="29" t="inlineStr">
        <is>
          <t>MESRS - liste officielle grandes ecoles</t>
        </is>
      </c>
      <c r="N75" s="29" t="inlineStr">
        <is>
          <t>gratuite</t>
        </is>
      </c>
      <c r="O75" s="14" t="inlineStr">
        <is>
          <t>a verifier</t>
        </is>
      </c>
      <c r="P75" s="29" t="inlineStr">
        <is>
          <t>commerce</t>
        </is>
      </c>
    </row>
    <row r="76">
      <c r="A76" s="29" t="inlineStr">
        <is>
          <t>CHANTIERS ECOLE DES METIERS DU BATIMENT ET DES TRAVAUX PUBLICS (CEM-BTP COCODY)</t>
        </is>
      </c>
      <c r="B76" s="29" t="inlineStr">
        <is>
          <t>Grande ecole BTS - genie civil, urbanisme</t>
        </is>
      </c>
      <c r="C76" s="29" t="inlineStr">
        <is>
          <t>Prive</t>
        </is>
      </c>
      <c r="D76" s="29" t="inlineStr">
        <is>
          <t>Abidjan - Cocody</t>
        </is>
      </c>
      <c r="E76" s="29" t="inlineStr">
        <is>
          <t>Boulevard RTI</t>
        </is>
      </c>
      <c r="F76" s="29" t="inlineStr">
        <is>
          <t>+225 27 22 40 40 07</t>
        </is>
      </c>
      <c r="G76" s="29" t="inlineStr">
        <is>
          <t>+225 07 07 54 77 48</t>
        </is>
      </c>
      <c r="H76" s="29" t="inlineStr">
        <is>
          <t>+225 07 07 54 77 48</t>
        </is>
      </c>
      <c r="I76" s="29" t="inlineStr"/>
      <c r="J76" s="29" t="inlineStr"/>
      <c r="K76" s="29" t="inlineStr">
        <is>
          <t>Directeur des Etudes</t>
        </is>
      </c>
      <c r="L76" s="30" t="inlineStr">
        <is>
          <t>Haute</t>
        </is>
      </c>
      <c r="M76" s="29" t="inlineStr">
        <is>
          <t>MESRS - liste officielle grandes ecoles</t>
        </is>
      </c>
      <c r="N76" s="29" t="inlineStr"/>
      <c r="O76" s="31" t="inlineStr">
        <is>
          <t>sans email</t>
        </is>
      </c>
      <c r="P76" s="29" t="inlineStr">
        <is>
          <t>btp</t>
        </is>
      </c>
    </row>
    <row r="77">
      <c r="A77" s="29" t="inlineStr">
        <is>
          <t>CIFC ABIDJAN</t>
        </is>
      </c>
      <c r="B77" s="29" t="inlineStr">
        <is>
          <t>Grande ecole BTS - assistanat de direction, communication visuelle, finances comptabilite</t>
        </is>
      </c>
      <c r="C77" s="29" t="inlineStr">
        <is>
          <t>Prive</t>
        </is>
      </c>
      <c r="D77" s="29" t="inlineStr">
        <is>
          <t>Abidjan - Cocody</t>
        </is>
      </c>
      <c r="E77" s="29" t="inlineStr">
        <is>
          <t>2 plateaux, carrefour Macaci, voisin à la fabrique culturel</t>
        </is>
      </c>
      <c r="F77" s="29" t="inlineStr"/>
      <c r="G77" s="29" t="inlineStr"/>
      <c r="H77" s="29" t="inlineStr"/>
      <c r="I77" s="29" t="inlineStr">
        <is>
          <t>abidjancifc@gmail.com</t>
        </is>
      </c>
      <c r="J77" s="29" t="inlineStr">
        <is>
          <t>http://www.cifcabidjan.com</t>
        </is>
      </c>
      <c r="K77" s="29" t="inlineStr">
        <is>
          <t>Directeur des Etudes</t>
        </is>
      </c>
      <c r="L77" s="30" t="inlineStr">
        <is>
          <t>Haute</t>
        </is>
      </c>
      <c r="M77" s="29" t="inlineStr">
        <is>
          <t>MESRS - liste officielle grandes ecoles</t>
        </is>
      </c>
      <c r="N77" s="29" t="inlineStr">
        <is>
          <t>gratuite</t>
        </is>
      </c>
      <c r="O77" s="14" t="inlineStr">
        <is>
          <t>a verifier</t>
        </is>
      </c>
      <c r="P77" s="29" t="inlineStr">
        <is>
          <t>commerce</t>
        </is>
      </c>
    </row>
    <row r="78">
      <c r="A78" s="29" t="inlineStr">
        <is>
          <t>DEMING EXCELLENCE INSTITUTE GRANDE ÉCOLE (DEI)</t>
        </is>
      </c>
      <c r="B78" s="29" t="inlineStr">
        <is>
          <t>Grande ecole BTS - finances comptabilite, gestion commerciale, industries agro-alimentaires</t>
        </is>
      </c>
      <c r="C78" s="29" t="inlineStr">
        <is>
          <t>Prive</t>
        </is>
      </c>
      <c r="D78" s="29" t="inlineStr">
        <is>
          <t>Abidjan - Cocody</t>
        </is>
      </c>
      <c r="E78" s="29" t="inlineStr">
        <is>
          <t>cocody II plateaux boulevard latrille non loin de la poste</t>
        </is>
      </c>
      <c r="F78" s="29" t="inlineStr">
        <is>
          <t>+225 27 22 00 89 34</t>
        </is>
      </c>
      <c r="G78" s="29" t="inlineStr"/>
      <c r="H78" s="29" t="inlineStr"/>
      <c r="I78" s="29" t="inlineStr">
        <is>
          <t>infos@q2e-dei.net</t>
        </is>
      </c>
      <c r="J78" s="29" t="inlineStr">
        <is>
          <t>https://www.de-institute.net</t>
        </is>
      </c>
      <c r="K78" s="29" t="inlineStr">
        <is>
          <t>Directeur des Etudes</t>
        </is>
      </c>
      <c r="L78" s="30" t="inlineStr">
        <is>
          <t>Haute</t>
        </is>
      </c>
      <c r="M78" s="29" t="inlineStr">
        <is>
          <t>MESRS - liste officielle grandes ecoles</t>
        </is>
      </c>
      <c r="N78" s="29" t="inlineStr">
        <is>
          <t>domaine propre</t>
        </is>
      </c>
      <c r="O78" s="14" t="inlineStr">
        <is>
          <t>a verifier</t>
        </is>
      </c>
      <c r="P78" s="29" t="inlineStr">
        <is>
          <t>commerce</t>
        </is>
      </c>
    </row>
    <row r="79">
      <c r="A79" s="29" t="inlineStr">
        <is>
          <t>ECOEL SUPERIEURE DE MANAGEMENT ET DE TECHNOLOGIE (EMATECH)</t>
        </is>
      </c>
      <c r="B79" s="29" t="inlineStr">
        <is>
          <t>Grande ecole BTS - assistanat de direction, agriculture tropicale, electrotechnique</t>
        </is>
      </c>
      <c r="C79" s="29" t="inlineStr">
        <is>
          <t>Prive</t>
        </is>
      </c>
      <c r="D79" s="29" t="inlineStr">
        <is>
          <t>Abidjan - Cocody</t>
        </is>
      </c>
      <c r="E79" s="29" t="inlineStr">
        <is>
          <t>RIVIERA 2</t>
        </is>
      </c>
      <c r="F79" s="29" t="inlineStr">
        <is>
          <t>+225 07 59 22 22 19</t>
        </is>
      </c>
      <c r="G79" s="29" t="inlineStr">
        <is>
          <t>+225 01 42 02 02 90</t>
        </is>
      </c>
      <c r="H79" s="29" t="inlineStr">
        <is>
          <t>+225 07 59 22 22 19</t>
        </is>
      </c>
      <c r="I79" s="29" t="inlineStr">
        <is>
          <t>ematechci@gmail.com</t>
        </is>
      </c>
      <c r="J79" s="29" t="inlineStr">
        <is>
          <t>https://ematechci.com</t>
        </is>
      </c>
      <c r="K79" s="29" t="inlineStr">
        <is>
          <t>Directeur des Etudes</t>
        </is>
      </c>
      <c r="L79" s="30" t="inlineStr">
        <is>
          <t>Haute</t>
        </is>
      </c>
      <c r="M79" s="29" t="inlineStr">
        <is>
          <t>MESRS - liste officielle grandes ecoles</t>
        </is>
      </c>
      <c r="N79" s="29" t="inlineStr">
        <is>
          <t>gratuite</t>
        </is>
      </c>
      <c r="O79" s="14" t="inlineStr">
        <is>
          <t>a verifier</t>
        </is>
      </c>
      <c r="P79" s="29" t="inlineStr">
        <is>
          <t>numerique</t>
        </is>
      </c>
    </row>
    <row r="80">
      <c r="A80" s="29" t="inlineStr">
        <is>
          <t>ECOLE CENTRALE D'ABIDJAN (ECA)</t>
        </is>
      </c>
      <c r="B80" s="29" t="inlineStr">
        <is>
          <t>Grande ecole BTS - assistanat de direction, agriculture tropicale, electrotechnique</t>
        </is>
      </c>
      <c r="C80" s="29" t="inlineStr">
        <is>
          <t>Prive</t>
        </is>
      </c>
      <c r="D80" s="29" t="inlineStr">
        <is>
          <t>Abidjan - Cocody</t>
        </is>
      </c>
      <c r="E80" s="29" t="inlineStr"/>
      <c r="F80" s="29" t="inlineStr">
        <is>
          <t>+225 27 22 54 62 58</t>
        </is>
      </c>
      <c r="G80" s="29" t="inlineStr">
        <is>
          <t>+225 07 57 18 18 37</t>
        </is>
      </c>
      <c r="H80" s="29" t="inlineStr">
        <is>
          <t>+225 07 57 18 18 37</t>
        </is>
      </c>
      <c r="I80" s="29" t="inlineStr">
        <is>
          <t>ecolecentrale.abidjan@gmail.com</t>
        </is>
      </c>
      <c r="J80" s="29" t="inlineStr"/>
      <c r="K80" s="29" t="inlineStr">
        <is>
          <t>Directeur des Etudes</t>
        </is>
      </c>
      <c r="L80" s="30" t="inlineStr">
        <is>
          <t>Haute</t>
        </is>
      </c>
      <c r="M80" s="29" t="inlineStr">
        <is>
          <t>MESRS - liste officielle grandes ecoles</t>
        </is>
      </c>
      <c r="N80" s="29" t="inlineStr">
        <is>
          <t>gratuite</t>
        </is>
      </c>
      <c r="O80" s="14" t="inlineStr">
        <is>
          <t>a verifier</t>
        </is>
      </c>
      <c r="P80" s="29" t="inlineStr">
        <is>
          <t>commerce</t>
        </is>
      </c>
    </row>
    <row r="81">
      <c r="A81" s="29" t="inlineStr">
        <is>
          <t>ECOLE DE FORMATION INDUSTRIELLE ET TERTIAIRE (EFIT-CESTIA)</t>
        </is>
      </c>
      <c r="B81" s="29" t="inlineStr">
        <is>
          <t>Grande ecole BTS - assistanat de direction, communication visuelle, finances comptabilite</t>
        </is>
      </c>
      <c r="C81" s="29" t="inlineStr">
        <is>
          <t>Prive</t>
        </is>
      </c>
      <c r="D81" s="29" t="inlineStr">
        <is>
          <t>Abidjan - Cocody</t>
        </is>
      </c>
      <c r="E81" s="29" t="inlineStr">
        <is>
          <t>cocody les 2plateaux/face au tribunal de commerce</t>
        </is>
      </c>
      <c r="F81" s="29" t="inlineStr">
        <is>
          <t>+225 27 22 42 32 52</t>
        </is>
      </c>
      <c r="G81" s="29" t="inlineStr"/>
      <c r="H81" s="29" t="inlineStr"/>
      <c r="I81" s="29" t="inlineStr">
        <is>
          <t>infos@cestia-2ep.com</t>
        </is>
      </c>
      <c r="J81" s="29" t="inlineStr">
        <is>
          <t>https://WWW.CESTIA-2EP.COM</t>
        </is>
      </c>
      <c r="K81" s="29" t="inlineStr">
        <is>
          <t>Directeur des Etudes</t>
        </is>
      </c>
      <c r="L81" s="30" t="inlineStr">
        <is>
          <t>Haute</t>
        </is>
      </c>
      <c r="M81" s="29" t="inlineStr">
        <is>
          <t>MESRS - liste officielle grandes ecoles</t>
        </is>
      </c>
      <c r="N81" s="29" t="inlineStr">
        <is>
          <t>domaine propre</t>
        </is>
      </c>
      <c r="O81" s="14" t="inlineStr">
        <is>
          <t>a verifier</t>
        </is>
      </c>
      <c r="P81" s="29" t="inlineStr">
        <is>
          <t>ingenieur</t>
        </is>
      </c>
    </row>
    <row r="82">
      <c r="A82" s="29" t="inlineStr">
        <is>
          <t>ECOLE DE GEOMATIQUE ET DU TERRITOIRE (EGT-ABIDJAN)</t>
        </is>
      </c>
      <c r="B82" s="29" t="inlineStr">
        <is>
          <t>Grande ecole BTS - genie civil, informatique developpeur d'applications</t>
        </is>
      </c>
      <c r="C82" s="29" t="inlineStr">
        <is>
          <t>Prive</t>
        </is>
      </c>
      <c r="D82" s="29" t="inlineStr">
        <is>
          <t>Abidjan - Cocody</t>
        </is>
      </c>
      <c r="E82" s="29" t="inlineStr">
        <is>
          <t>Cocody-ABATTA Cité Sir</t>
        </is>
      </c>
      <c r="F82" s="29" t="inlineStr">
        <is>
          <t>+225 27 22 55 18 79</t>
        </is>
      </c>
      <c r="G82" s="29" t="inlineStr">
        <is>
          <t>+225 07 05 20 74 85</t>
        </is>
      </c>
      <c r="H82" s="29" t="inlineStr">
        <is>
          <t>+225 07 05 20 74 85</t>
        </is>
      </c>
      <c r="I82" s="29" t="inlineStr">
        <is>
          <t>info@egt.ci</t>
        </is>
      </c>
      <c r="J82" s="29" t="inlineStr">
        <is>
          <t>https://www.egt.ci</t>
        </is>
      </c>
      <c r="K82" s="29" t="inlineStr">
        <is>
          <t>Directeur des Etudes</t>
        </is>
      </c>
      <c r="L82" s="30" t="inlineStr">
        <is>
          <t>Haute</t>
        </is>
      </c>
      <c r="M82" s="29" t="inlineStr">
        <is>
          <t>MESRS - liste officielle grandes ecoles</t>
        </is>
      </c>
      <c r="N82" s="29" t="inlineStr">
        <is>
          <t>domaine propre</t>
        </is>
      </c>
      <c r="O82" s="14" t="inlineStr">
        <is>
          <t>a verifier</t>
        </is>
      </c>
      <c r="P82" s="29" t="inlineStr">
        <is>
          <t>btp</t>
        </is>
      </c>
    </row>
    <row r="83">
      <c r="A83" s="29" t="inlineStr">
        <is>
          <t>ECOLE DES ETUDES COMMERCIALES ET ECONOMIQUES (EECE)</t>
        </is>
      </c>
      <c r="B83" s="29" t="inlineStr">
        <is>
          <t>Grande ecole BTS - finances comptabilite, gestion commerciale, informatique developpeur d'applications</t>
        </is>
      </c>
      <c r="C83" s="29" t="inlineStr">
        <is>
          <t>Prive</t>
        </is>
      </c>
      <c r="D83" s="29" t="inlineStr">
        <is>
          <t>Abidjan - Cocody</t>
        </is>
      </c>
      <c r="E83" s="29" t="inlineStr">
        <is>
          <t>COCODY ANGRÉ 8eme TRANCHE, PONT SORO GUILLAUME, À 100 M DE LA PHARMACIE NOTRE DAME DU GRAND SIGNE ET À 3 MÈTRES DE L'ENTRÉE PRINCIPALE DU QUARTIER SOLEIL 3.</t>
        </is>
      </c>
      <c r="F83" s="29" t="inlineStr">
        <is>
          <t>+225 27 22 50 91 14</t>
        </is>
      </c>
      <c r="G83" s="29" t="inlineStr">
        <is>
          <t>+225 05 05 05 98 93</t>
        </is>
      </c>
      <c r="H83" s="29" t="inlineStr">
        <is>
          <t>+225 05 05 05 98 93</t>
        </is>
      </c>
      <c r="I83" s="29" t="inlineStr">
        <is>
          <t>2eceecole@gmail.com</t>
        </is>
      </c>
      <c r="J83" s="29" t="inlineStr"/>
      <c r="K83" s="29" t="inlineStr">
        <is>
          <t>Directeur des Etudes</t>
        </is>
      </c>
      <c r="L83" s="30" t="inlineStr">
        <is>
          <t>Haute</t>
        </is>
      </c>
      <c r="M83" s="29" t="inlineStr">
        <is>
          <t>MESRS - liste officielle grandes ecoles</t>
        </is>
      </c>
      <c r="N83" s="29" t="inlineStr">
        <is>
          <t>gratuite</t>
        </is>
      </c>
      <c r="O83" s="14" t="inlineStr">
        <is>
          <t>a verifier</t>
        </is>
      </c>
      <c r="P83" s="29" t="inlineStr">
        <is>
          <t>commerce</t>
        </is>
      </c>
    </row>
    <row r="84">
      <c r="A84" s="29" t="inlineStr">
        <is>
          <t>ECOLE INTERNATIONALE DES PONTS ET CHAUSSEES D'ABIDJAN (EIPC-ABIDJAN)</t>
        </is>
      </c>
      <c r="B84" s="29" t="inlineStr">
        <is>
          <t>Grande ecole BTS/Licence - finances comptabilite, genie civil, informatique developpeur d'applications</t>
        </is>
      </c>
      <c r="C84" s="29" t="inlineStr">
        <is>
          <t>Prive</t>
        </is>
      </c>
      <c r="D84" s="29" t="inlineStr">
        <is>
          <t>Abidjan - Cocody</t>
        </is>
      </c>
      <c r="E84" s="29" t="inlineStr">
        <is>
          <t>COCODY-ANGRE-LATRILLE</t>
        </is>
      </c>
      <c r="F84" s="29" t="inlineStr">
        <is>
          <t>+225 27 22 50 38 74</t>
        </is>
      </c>
      <c r="G84" s="29" t="inlineStr">
        <is>
          <t>+225 07 59 06 33 01</t>
        </is>
      </c>
      <c r="H84" s="29" t="inlineStr">
        <is>
          <t>+225 07 59 06 33 01</t>
        </is>
      </c>
      <c r="I84" s="29" t="inlineStr">
        <is>
          <t>bo_zobe@yahoo.fr</t>
        </is>
      </c>
      <c r="J84" s="29" t="inlineStr">
        <is>
          <t>https://www.eipc-abidjan.ci</t>
        </is>
      </c>
      <c r="K84" s="29" t="inlineStr">
        <is>
          <t>Directeur des Etudes</t>
        </is>
      </c>
      <c r="L84" s="30" t="inlineStr">
        <is>
          <t>Haute</t>
        </is>
      </c>
      <c r="M84" s="29" t="inlineStr">
        <is>
          <t>MESRS - liste officielle grandes ecoles</t>
        </is>
      </c>
      <c r="N84" s="29" t="inlineStr">
        <is>
          <t>gratuite</t>
        </is>
      </c>
      <c r="O84" s="14" t="inlineStr">
        <is>
          <t>a verifier</t>
        </is>
      </c>
      <c r="P84" s="29" t="inlineStr">
        <is>
          <t>btp</t>
        </is>
      </c>
    </row>
    <row r="85">
      <c r="A85" s="29" t="inlineStr">
        <is>
          <t>ECOLE INTERNATIONALE TERTIAIRE DES NOUVELLES TECHNOLOGIES DE L'INFORMATION ET DE LA COMMUNICATION COCODY (EIT-NTIC COCODY)</t>
        </is>
      </c>
      <c r="B85" s="29" t="inlineStr">
        <is>
          <t>Grande ecole BTS - agriculture tropicale, electrotechnique, finances comptabilite</t>
        </is>
      </c>
      <c r="C85" s="29" t="inlineStr">
        <is>
          <t>Prive</t>
        </is>
      </c>
      <c r="D85" s="29" t="inlineStr">
        <is>
          <t>Abidjan - Cocody</t>
        </is>
      </c>
      <c r="E85" s="29" t="inlineStr">
        <is>
          <t>Cocody Attoban derriere l'ecole maternelle</t>
        </is>
      </c>
      <c r="F85" s="29" t="inlineStr">
        <is>
          <t>+225 27 22 43 24 73</t>
        </is>
      </c>
      <c r="G85" s="29" t="inlineStr"/>
      <c r="H85" s="29" t="inlineStr"/>
      <c r="I85" s="29" t="inlineStr">
        <is>
          <t>groupeitntic@yahoo.fr</t>
        </is>
      </c>
      <c r="J85" s="29" t="inlineStr">
        <is>
          <t>https://www.groupeitntic.com</t>
        </is>
      </c>
      <c r="K85" s="29" t="inlineStr">
        <is>
          <t>Directeur des Etudes</t>
        </is>
      </c>
      <c r="L85" s="30" t="inlineStr">
        <is>
          <t>Haute</t>
        </is>
      </c>
      <c r="M85" s="29" t="inlineStr">
        <is>
          <t>MESRS - liste officielle grandes ecoles</t>
        </is>
      </c>
      <c r="N85" s="29" t="inlineStr">
        <is>
          <t>gratuite</t>
        </is>
      </c>
      <c r="O85" s="14" t="inlineStr">
        <is>
          <t>a verifier</t>
        </is>
      </c>
      <c r="P85" s="29" t="inlineStr">
        <is>
          <t>communication</t>
        </is>
      </c>
    </row>
    <row r="86">
      <c r="A86" s="29" t="inlineStr">
        <is>
          <t>ECOLE POLYFINANCE ET DE TECHNOLOGIE APPLIQUEE (EPTA)</t>
        </is>
      </c>
      <c r="B86" s="29" t="inlineStr">
        <is>
          <t>Grande ecole BTS - electrotechnique, finances comptabilite, gestion commerciale</t>
        </is>
      </c>
      <c r="C86" s="29" t="inlineStr">
        <is>
          <t>Prive</t>
        </is>
      </c>
      <c r="D86" s="29" t="inlineStr">
        <is>
          <t>Abidjan - Cocody</t>
        </is>
      </c>
      <c r="E86" s="29" t="inlineStr">
        <is>
          <t>Abidjan COCODY ANGRE au Boulevard Latrille après 22eme Arrondissement, villa n 964 cité Sicogi carrefour Sanogo</t>
        </is>
      </c>
      <c r="F86" s="29" t="inlineStr">
        <is>
          <t>+225 27 22 49 86 05</t>
        </is>
      </c>
      <c r="G86" s="29" t="inlineStr">
        <is>
          <t>+225 07 97 27 01 02</t>
        </is>
      </c>
      <c r="H86" s="29" t="inlineStr">
        <is>
          <t>+225 07 97 27 01 02</t>
        </is>
      </c>
      <c r="I86" s="29" t="inlineStr">
        <is>
          <t>ecolepolyfinance@gmail.com</t>
        </is>
      </c>
      <c r="J86" s="29" t="inlineStr">
        <is>
          <t>https://www.epta-polyfinance.com</t>
        </is>
      </c>
      <c r="K86" s="29" t="inlineStr">
        <is>
          <t>Directeur des Etudes</t>
        </is>
      </c>
      <c r="L86" s="30" t="inlineStr">
        <is>
          <t>Haute</t>
        </is>
      </c>
      <c r="M86" s="29" t="inlineStr">
        <is>
          <t>MESRS - liste officielle grandes ecoles</t>
        </is>
      </c>
      <c r="N86" s="29" t="inlineStr">
        <is>
          <t>gratuite</t>
        </is>
      </c>
      <c r="O86" s="14" t="inlineStr">
        <is>
          <t>a verifier</t>
        </is>
      </c>
      <c r="P86" s="29" t="inlineStr">
        <is>
          <t>numerique</t>
        </is>
      </c>
    </row>
    <row r="87">
      <c r="A87" s="29" t="inlineStr">
        <is>
          <t>ECOLE SUPERIEUR POLYTECHNIQUE (ESP)</t>
        </is>
      </c>
      <c r="B87" s="29" t="inlineStr">
        <is>
          <t>Grande ecole BTS - communication visuelle, finances comptabilite, informatique developpeur d'applications</t>
        </is>
      </c>
      <c r="C87" s="29" t="inlineStr">
        <is>
          <t>Prive</t>
        </is>
      </c>
      <c r="D87" s="29" t="inlineStr">
        <is>
          <t>Abidjan - Cocody</t>
        </is>
      </c>
      <c r="E87" s="29" t="inlineStr"/>
      <c r="F87" s="29" t="inlineStr"/>
      <c r="G87" s="29" t="inlineStr"/>
      <c r="H87" s="29" t="inlineStr"/>
      <c r="I87" s="29" t="inlineStr"/>
      <c r="J87" s="29" t="inlineStr"/>
      <c r="K87" s="29" t="inlineStr">
        <is>
          <t>Directeur des Etudes</t>
        </is>
      </c>
      <c r="L87" s="30" t="inlineStr">
        <is>
          <t>Haute</t>
        </is>
      </c>
      <c r="M87" s="29" t="inlineStr">
        <is>
          <t>MESRS - liste officielle grandes ecoles</t>
        </is>
      </c>
      <c r="N87" s="29" t="inlineStr"/>
      <c r="O87" s="31" t="inlineStr">
        <is>
          <t>sans email</t>
        </is>
      </c>
      <c r="P87" s="29" t="inlineStr">
        <is>
          <t>ingenieur</t>
        </is>
      </c>
    </row>
    <row r="88">
      <c r="A88" s="29" t="inlineStr">
        <is>
          <t>ECOLE SUPERIEURE D'EXPERTISE COMPTABLE (ESEC)</t>
        </is>
      </c>
      <c r="B88" s="29" t="inlineStr">
        <is>
          <t>Grande ecole BTS - assistanat de direction, communication visuelle, finances comptabilite</t>
        </is>
      </c>
      <c r="C88" s="29" t="inlineStr">
        <is>
          <t>Prive</t>
        </is>
      </c>
      <c r="D88" s="29" t="inlineStr">
        <is>
          <t>Abidjan - Cocody</t>
        </is>
      </c>
      <c r="E88" s="29" t="inlineStr">
        <is>
          <t>ANGRE 7 EME TRANCHE</t>
        </is>
      </c>
      <c r="F88" s="29" t="inlineStr">
        <is>
          <t>+225 05 03 72 66 66</t>
        </is>
      </c>
      <c r="G88" s="29" t="inlineStr">
        <is>
          <t>+225 05 03 72 44 44</t>
        </is>
      </c>
      <c r="H88" s="29" t="inlineStr">
        <is>
          <t>+225 05 03 72 66 66</t>
        </is>
      </c>
      <c r="I88" s="29" t="inlineStr">
        <is>
          <t>directionesec@gmail.com</t>
        </is>
      </c>
      <c r="J88" s="29" t="inlineStr">
        <is>
          <t>https://www.esec-ci.com</t>
        </is>
      </c>
      <c r="K88" s="29" t="inlineStr">
        <is>
          <t>Directeur des Etudes</t>
        </is>
      </c>
      <c r="L88" s="30" t="inlineStr">
        <is>
          <t>Haute</t>
        </is>
      </c>
      <c r="M88" s="29" t="inlineStr">
        <is>
          <t>MESRS - liste officielle grandes ecoles</t>
        </is>
      </c>
      <c r="N88" s="29" t="inlineStr">
        <is>
          <t>gratuite</t>
        </is>
      </c>
      <c r="O88" s="14" t="inlineStr">
        <is>
          <t>a verifier</t>
        </is>
      </c>
      <c r="P88" s="29" t="inlineStr">
        <is>
          <t>commerce</t>
        </is>
      </c>
    </row>
    <row r="89">
      <c r="A89" s="29" t="inlineStr">
        <is>
          <t>ECOLE SUPERIEURE D'INFORMATIQUE ET DE COMMERCE COCODY (ESICOM COCODY)</t>
        </is>
      </c>
      <c r="B89" s="29" t="inlineStr">
        <is>
          <t>Grande ecole BTS - assistanat de direction, finances comptabilite, gestion commerciale</t>
        </is>
      </c>
      <c r="C89" s="29" t="inlineStr">
        <is>
          <t>Prive</t>
        </is>
      </c>
      <c r="D89" s="29" t="inlineStr">
        <is>
          <t>Abidjan - Cocody</t>
        </is>
      </c>
      <c r="E89" s="29" t="inlineStr">
        <is>
          <t>PLATEAU BOULEVARD ROUME</t>
        </is>
      </c>
      <c r="F89" s="29" t="inlineStr">
        <is>
          <t>+225 27 20 33 54 80</t>
        </is>
      </c>
      <c r="G89" s="29" t="inlineStr"/>
      <c r="H89" s="29" t="inlineStr"/>
      <c r="I89" s="29" t="inlineStr">
        <is>
          <t>esicomplatteau@yahoo.fr</t>
        </is>
      </c>
      <c r="J89" s="29" t="inlineStr">
        <is>
          <t>https://www.esicom.info</t>
        </is>
      </c>
      <c r="K89" s="29" t="inlineStr">
        <is>
          <t>Directeur des Etudes</t>
        </is>
      </c>
      <c r="L89" s="30" t="inlineStr">
        <is>
          <t>Haute</t>
        </is>
      </c>
      <c r="M89" s="29" t="inlineStr">
        <is>
          <t>MESRS - liste officielle grandes ecoles</t>
        </is>
      </c>
      <c r="N89" s="29" t="inlineStr">
        <is>
          <t>gratuite</t>
        </is>
      </c>
      <c r="O89" s="14" t="inlineStr">
        <is>
          <t>a verifier</t>
        </is>
      </c>
      <c r="P89" s="29" t="inlineStr">
        <is>
          <t>numerique</t>
        </is>
      </c>
    </row>
    <row r="90">
      <c r="A90" s="29" t="inlineStr">
        <is>
          <t>ECOLE SUPERIEURE D'INTELLIGENCE ECONOMIQUE COCODY (ESIE COCODY)</t>
        </is>
      </c>
      <c r="B90" s="29" t="inlineStr">
        <is>
          <t>Grande ecole BTS - finances comptabilite, gestion commerciale, informatique developpeur d'applications</t>
        </is>
      </c>
      <c r="C90" s="29" t="inlineStr">
        <is>
          <t>Prive</t>
        </is>
      </c>
      <c r="D90" s="29" t="inlineStr">
        <is>
          <t>Abidjan - Cocody</t>
        </is>
      </c>
      <c r="E90" s="29" t="inlineStr"/>
      <c r="F90" s="29" t="inlineStr">
        <is>
          <t>+225 07 07 33 60 50</t>
        </is>
      </c>
      <c r="G90" s="29" t="inlineStr"/>
      <c r="H90" s="29" t="inlineStr">
        <is>
          <t>+225 07 07 33 60 50</t>
        </is>
      </c>
      <c r="I90" s="29" t="inlineStr"/>
      <c r="J90" s="29" t="inlineStr"/>
      <c r="K90" s="29" t="inlineStr">
        <is>
          <t>Directeur des Etudes</t>
        </is>
      </c>
      <c r="L90" s="30" t="inlineStr">
        <is>
          <t>Haute</t>
        </is>
      </c>
      <c r="M90" s="29" t="inlineStr">
        <is>
          <t>MESRS - liste officielle grandes ecoles</t>
        </is>
      </c>
      <c r="N90" s="29" t="inlineStr"/>
      <c r="O90" s="31" t="inlineStr">
        <is>
          <t>sans email</t>
        </is>
      </c>
      <c r="P90" s="29" t="inlineStr">
        <is>
          <t>commerce</t>
        </is>
      </c>
    </row>
    <row r="91">
      <c r="A91" s="29" t="inlineStr">
        <is>
          <t>ECOLE SUPERIEURE DE COMMERCE D'ADMINISTRATION ET DE MANAGEMENT COCODY (ESCAM COCODY)</t>
        </is>
      </c>
      <c r="B91" s="29" t="inlineStr">
        <is>
          <t>Grande ecole BTS - finances comptabilite, gestion commerciale, informatique developpeur d'applications</t>
        </is>
      </c>
      <c r="C91" s="29" t="inlineStr">
        <is>
          <t>Prive</t>
        </is>
      </c>
      <c r="D91" s="29" t="inlineStr">
        <is>
          <t>Abidjan - Cocody</t>
        </is>
      </c>
      <c r="E91" s="29" t="inlineStr">
        <is>
          <t>située non loin de la RTI cité des arts le 166 logements</t>
        </is>
      </c>
      <c r="F91" s="29" t="inlineStr">
        <is>
          <t>+225 07 07 21 86 32</t>
        </is>
      </c>
      <c r="G91" s="29" t="inlineStr"/>
      <c r="H91" s="29" t="inlineStr">
        <is>
          <t>+225 07 07 21 86 32</t>
        </is>
      </c>
      <c r="I91" s="29" t="inlineStr"/>
      <c r="J91" s="29" t="inlineStr"/>
      <c r="K91" s="29" t="inlineStr">
        <is>
          <t>Directeur des Etudes</t>
        </is>
      </c>
      <c r="L91" s="30" t="inlineStr">
        <is>
          <t>Haute</t>
        </is>
      </c>
      <c r="M91" s="29" t="inlineStr">
        <is>
          <t>MESRS - liste officielle grandes ecoles</t>
        </is>
      </c>
      <c r="N91" s="29" t="inlineStr"/>
      <c r="O91" s="31" t="inlineStr">
        <is>
          <t>sans email</t>
        </is>
      </c>
      <c r="P91" s="29" t="inlineStr">
        <is>
          <t>commerce</t>
        </is>
      </c>
    </row>
    <row r="92">
      <c r="A92" s="29" t="inlineStr">
        <is>
          <t>ECOLE SUPERIEURE DE FORMATION AUX METIERS D'INFORMATIQUE ET DE GESTION (ESFIG)</t>
        </is>
      </c>
      <c r="B92" s="29" t="inlineStr">
        <is>
          <t>Grande ecole BTS - finances comptabilite, gestion commerciale, informatique developpeur d'applications</t>
        </is>
      </c>
      <c r="C92" s="29" t="inlineStr">
        <is>
          <t>Prive</t>
        </is>
      </c>
      <c r="D92" s="29" t="inlineStr">
        <is>
          <t>Abidjan - Cocody</t>
        </is>
      </c>
      <c r="E92" s="29" t="inlineStr">
        <is>
          <t>Cocody Angré 7ème tranche</t>
        </is>
      </c>
      <c r="F92" s="29" t="inlineStr">
        <is>
          <t>+225 27 21 00 34 28</t>
        </is>
      </c>
      <c r="G92" s="29" t="inlineStr"/>
      <c r="H92" s="29" t="inlineStr"/>
      <c r="I92" s="29" t="inlineStr">
        <is>
          <t>accueil@esfig.com</t>
        </is>
      </c>
      <c r="J92" s="29" t="inlineStr">
        <is>
          <t>http://www.esfig.com</t>
        </is>
      </c>
      <c r="K92" s="29" t="inlineStr">
        <is>
          <t>Directeur des Etudes</t>
        </is>
      </c>
      <c r="L92" s="30" t="inlineStr">
        <is>
          <t>Haute</t>
        </is>
      </c>
      <c r="M92" s="29" t="inlineStr">
        <is>
          <t>MESRS - liste officielle grandes ecoles</t>
        </is>
      </c>
      <c r="N92" s="29" t="inlineStr">
        <is>
          <t>domaine propre</t>
        </is>
      </c>
      <c r="O92" s="14" t="inlineStr">
        <is>
          <t>a verifier</t>
        </is>
      </c>
      <c r="P92" s="29" t="inlineStr">
        <is>
          <t>numerique</t>
        </is>
      </c>
    </row>
    <row r="93">
      <c r="A93" s="29" t="inlineStr">
        <is>
          <t>ECOLE SUPERIEURE DE GESTION DES SCIENCES ET DE COMMUNICATION (ES-GSC)</t>
        </is>
      </c>
      <c r="B93" s="29" t="inlineStr">
        <is>
          <t>Grande ecole BTS - assistanat de direction, finances comptabilite, gestion commerciale</t>
        </is>
      </c>
      <c r="C93" s="29" t="inlineStr">
        <is>
          <t>Prive</t>
        </is>
      </c>
      <c r="D93" s="29" t="inlineStr">
        <is>
          <t>Abidjan - Cocody</t>
        </is>
      </c>
      <c r="E93" s="29" t="inlineStr">
        <is>
          <t>COCODY ROND POINT RIVIERA PALMERAIE</t>
        </is>
      </c>
      <c r="F93" s="29" t="inlineStr">
        <is>
          <t>+225 27 22 24 32 23</t>
        </is>
      </c>
      <c r="G93" s="29" t="inlineStr">
        <is>
          <t>+225 01 02 59 92 39</t>
        </is>
      </c>
      <c r="H93" s="29" t="inlineStr">
        <is>
          <t>+225 01 02 59 92 39</t>
        </is>
      </c>
      <c r="I93" s="29" t="inlineStr">
        <is>
          <t>esgscinfo@gmail.com</t>
        </is>
      </c>
      <c r="J93" s="29" t="inlineStr">
        <is>
          <t>https://www.esc-gsc.com</t>
        </is>
      </c>
      <c r="K93" s="29" t="inlineStr">
        <is>
          <t>Directeur des Etudes</t>
        </is>
      </c>
      <c r="L93" s="30" t="inlineStr">
        <is>
          <t>Haute</t>
        </is>
      </c>
      <c r="M93" s="29" t="inlineStr">
        <is>
          <t>MESRS - liste officielle grandes ecoles</t>
        </is>
      </c>
      <c r="N93" s="29" t="inlineStr">
        <is>
          <t>gratuite</t>
        </is>
      </c>
      <c r="O93" s="14" t="inlineStr">
        <is>
          <t>a verifier</t>
        </is>
      </c>
      <c r="P93" s="29" t="inlineStr">
        <is>
          <t>communication</t>
        </is>
      </c>
    </row>
    <row r="94">
      <c r="A94" s="29" t="inlineStr">
        <is>
          <t>ECOLE SUPERIEURE DE L'ELITE AFRICAINE (ESEA)</t>
        </is>
      </c>
      <c r="B94" s="29" t="inlineStr">
        <is>
          <t>Grande ecole BTS - assistanat de direction, electrotechnique, finances comptabilite</t>
        </is>
      </c>
      <c r="C94" s="29" t="inlineStr">
        <is>
          <t>Prive</t>
        </is>
      </c>
      <c r="D94" s="29" t="inlineStr">
        <is>
          <t>Abidjan - Cocody</t>
        </is>
      </c>
      <c r="E94" s="29" t="inlineStr">
        <is>
          <t>RIVIERA BONOUMIN ENTRE ABIDJAN MALL ET MA PHARMACIE BONOUMIN</t>
        </is>
      </c>
      <c r="F94" s="29" t="inlineStr">
        <is>
          <t>+225 07 57 50 18 59</t>
        </is>
      </c>
      <c r="G94" s="29" t="inlineStr">
        <is>
          <t>+225 07 49 60 85 39</t>
        </is>
      </c>
      <c r="H94" s="29" t="inlineStr">
        <is>
          <t>+225 07 57 50 18 59</t>
        </is>
      </c>
      <c r="I94" s="29" t="inlineStr">
        <is>
          <t>info@esea.ci</t>
        </is>
      </c>
      <c r="J94" s="29" t="inlineStr">
        <is>
          <t>https://www.esea.ci</t>
        </is>
      </c>
      <c r="K94" s="29" t="inlineStr">
        <is>
          <t>Directeur des Etudes</t>
        </is>
      </c>
      <c r="L94" s="30" t="inlineStr">
        <is>
          <t>Haute</t>
        </is>
      </c>
      <c r="M94" s="29" t="inlineStr">
        <is>
          <t>MESRS - liste officielle grandes ecoles</t>
        </is>
      </c>
      <c r="N94" s="29" t="inlineStr">
        <is>
          <t>domaine propre</t>
        </is>
      </c>
      <c r="O94" s="14" t="inlineStr">
        <is>
          <t>a verifier</t>
        </is>
      </c>
      <c r="P94" s="29" t="inlineStr">
        <is>
          <t>commerce</t>
        </is>
      </c>
    </row>
    <row r="95">
      <c r="A95" s="29" t="inlineStr">
        <is>
          <t>ECOLE SUPERIEURE DE L'ENSEIGNEMENT TECHNIQUE ET COMMERCIAL COCODY (ESETEC COCODY)</t>
        </is>
      </c>
      <c r="B95" s="29" t="inlineStr">
        <is>
          <t>Grande ecole BTS - assistanat de direction, finances comptabilite, gestion commerciale</t>
        </is>
      </c>
      <c r="C95" s="29" t="inlineStr">
        <is>
          <t>Prive</t>
        </is>
      </c>
      <c r="D95" s="29" t="inlineStr">
        <is>
          <t>Abidjan - Cocody</t>
        </is>
      </c>
      <c r="E95" s="29" t="inlineStr">
        <is>
          <t>Cocody Allabra /derrière CAP NORD</t>
        </is>
      </c>
      <c r="F95" s="29" t="inlineStr">
        <is>
          <t>+225 07 07 86 73 38</t>
        </is>
      </c>
      <c r="G95" s="29" t="inlineStr"/>
      <c r="H95" s="29" t="inlineStr">
        <is>
          <t>+225 07 07 86 73 38</t>
        </is>
      </c>
      <c r="I95" s="29" t="inlineStr"/>
      <c r="J95" s="29" t="inlineStr"/>
      <c r="K95" s="29" t="inlineStr">
        <is>
          <t>Directeur des Etudes</t>
        </is>
      </c>
      <c r="L95" s="30" t="inlineStr">
        <is>
          <t>Haute</t>
        </is>
      </c>
      <c r="M95" s="29" t="inlineStr">
        <is>
          <t>MESRS - liste officielle grandes ecoles</t>
        </is>
      </c>
      <c r="N95" s="29" t="inlineStr"/>
      <c r="O95" s="31" t="inlineStr">
        <is>
          <t>sans email</t>
        </is>
      </c>
      <c r="P95" s="29" t="inlineStr">
        <is>
          <t>commerce</t>
        </is>
      </c>
    </row>
    <row r="96">
      <c r="A96" s="29" t="inlineStr">
        <is>
          <t>ECOLE SUPERIEURE DE LA MER (ESM)</t>
        </is>
      </c>
      <c r="B96" s="29" t="inlineStr">
        <is>
          <t>Grande ecole BTS - gestion des collectivites territoriales, gestion commerciale, logistique</t>
        </is>
      </c>
      <c r="C96" s="29" t="inlineStr">
        <is>
          <t>Prive</t>
        </is>
      </c>
      <c r="D96" s="29" t="inlineStr">
        <is>
          <t>Abidjan - Cocody</t>
        </is>
      </c>
      <c r="E96" s="29" t="inlineStr">
        <is>
          <t>ANGRE 7 EME TRANCHE</t>
        </is>
      </c>
      <c r="F96" s="29" t="inlineStr">
        <is>
          <t>+225 05 03 72 44 44</t>
        </is>
      </c>
      <c r="G96" s="29" t="inlineStr">
        <is>
          <t>+225 05 03 72 66 66</t>
        </is>
      </c>
      <c r="H96" s="29" t="inlineStr">
        <is>
          <t>+225 05 03 72 44 44</t>
        </is>
      </c>
      <c r="I96" s="29" t="inlineStr">
        <is>
          <t>administrationesm@gmail.com</t>
        </is>
      </c>
      <c r="J96" s="29" t="inlineStr">
        <is>
          <t>https:/ www.esm-ci.com</t>
        </is>
      </c>
      <c r="K96" s="29" t="inlineStr">
        <is>
          <t>Directeur des Etudes</t>
        </is>
      </c>
      <c r="L96" s="30" t="inlineStr">
        <is>
          <t>Haute</t>
        </is>
      </c>
      <c r="M96" s="29" t="inlineStr">
        <is>
          <t>MESRS - liste officielle grandes ecoles</t>
        </is>
      </c>
      <c r="N96" s="29" t="inlineStr">
        <is>
          <t>gratuite</t>
        </is>
      </c>
      <c r="O96" s="14" t="inlineStr">
        <is>
          <t>a verifier</t>
        </is>
      </c>
      <c r="P96" s="29" t="inlineStr">
        <is>
          <t>commerce</t>
        </is>
      </c>
    </row>
    <row r="97">
      <c r="A97" s="29" t="inlineStr">
        <is>
          <t>ECOLE SUPERIEURE DE L’ELITE INTERNATIONALE COCODY (E.S.E.I.)</t>
        </is>
      </c>
      <c r="B97" s="29" t="inlineStr">
        <is>
          <t>Grande ecole BTS - assistanat de direction, finances comptabilite, gestion commerciale</t>
        </is>
      </c>
      <c r="C97" s="29" t="inlineStr">
        <is>
          <t>Prive</t>
        </is>
      </c>
      <c r="D97" s="29" t="inlineStr">
        <is>
          <t>Abidjan - Cocody</t>
        </is>
      </c>
      <c r="E97" s="29" t="inlineStr">
        <is>
          <t>Cocody 2 Plateaux Vallon, dans le prolongement du Commissariat du 12ème Arrondissement, derrière l’Eglise Ste Cécile des 2 Plateaux Vallon.</t>
        </is>
      </c>
      <c r="F97" s="29" t="inlineStr">
        <is>
          <t>+225 07 03 99 66 65</t>
        </is>
      </c>
      <c r="G97" s="29" t="inlineStr">
        <is>
          <t>+225 01 40 61 77 70</t>
        </is>
      </c>
      <c r="H97" s="29" t="inlineStr">
        <is>
          <t>+225 07 03 99 66 65</t>
        </is>
      </c>
      <c r="I97" s="29" t="inlineStr">
        <is>
          <t>es.eliteinter23sc@gmail.com</t>
        </is>
      </c>
      <c r="J97" s="29" t="inlineStr"/>
      <c r="K97" s="29" t="inlineStr">
        <is>
          <t>Directeur des Etudes</t>
        </is>
      </c>
      <c r="L97" s="30" t="inlineStr">
        <is>
          <t>Haute</t>
        </is>
      </c>
      <c r="M97" s="29" t="inlineStr">
        <is>
          <t>MESRS - liste officielle grandes ecoles</t>
        </is>
      </c>
      <c r="N97" s="29" t="inlineStr">
        <is>
          <t>gratuite</t>
        </is>
      </c>
      <c r="O97" s="14" t="inlineStr">
        <is>
          <t>a verifier</t>
        </is>
      </c>
      <c r="P97" s="29" t="inlineStr">
        <is>
          <t>commerce</t>
        </is>
      </c>
    </row>
    <row r="98">
      <c r="A98" s="29" t="inlineStr">
        <is>
          <t>ECOLE SUPERIEURE DES SCIENCES ECONOMIQUES COMMERCIALES ET DE TECHNOLOGIES POINCARE COCODY (ESSECT POINCARE COCODY)</t>
        </is>
      </c>
      <c r="B98" s="29" t="inlineStr">
        <is>
          <t>Grande ecole BTS - assistanat de direction, communication visuelle, electrotechnique</t>
        </is>
      </c>
      <c r="C98" s="29" t="inlineStr">
        <is>
          <t>Prive</t>
        </is>
      </c>
      <c r="D98" s="29" t="inlineStr">
        <is>
          <t>Abidjan - Cocody</t>
        </is>
      </c>
      <c r="E98" s="29" t="inlineStr">
        <is>
          <t>Cocody II Plateaux les Vallons, Rue des Jardins, Carrefour du 12è Arrondissement, Derrière Atlantique Banque</t>
        </is>
      </c>
      <c r="F98" s="29" t="inlineStr">
        <is>
          <t>+225 27 22 41 67 94</t>
        </is>
      </c>
      <c r="G98" s="29" t="inlineStr">
        <is>
          <t>+225 27 22 42 28 15</t>
        </is>
      </c>
      <c r="H98" s="29" t="inlineStr"/>
      <c r="I98" s="29" t="inlineStr">
        <is>
          <t>poincareabidjan@yahoo.fr</t>
        </is>
      </c>
      <c r="J98" s="29" t="inlineStr"/>
      <c r="K98" s="29" t="inlineStr">
        <is>
          <t>Directeur des Etudes</t>
        </is>
      </c>
      <c r="L98" s="30" t="inlineStr">
        <is>
          <t>Haute</t>
        </is>
      </c>
      <c r="M98" s="29" t="inlineStr">
        <is>
          <t>MESRS - liste officielle grandes ecoles</t>
        </is>
      </c>
      <c r="N98" s="29" t="inlineStr">
        <is>
          <t>gratuite</t>
        </is>
      </c>
      <c r="O98" s="14" t="inlineStr">
        <is>
          <t>a verifier</t>
        </is>
      </c>
      <c r="P98" s="29" t="inlineStr">
        <is>
          <t>numerique</t>
        </is>
      </c>
    </row>
    <row r="99">
      <c r="A99" s="29" t="inlineStr">
        <is>
          <t>ECOLE SUPERIEURE DES TECHNOLOGIES AVANCEES ET DE MANAGEMENT COCODY (ESTAM COCODY)</t>
        </is>
      </c>
      <c r="B99" s="29" t="inlineStr">
        <is>
          <t>Grande ecole BTS - assistanat de direction, finances comptabilite, gestion commerciale</t>
        </is>
      </c>
      <c r="C99" s="29" t="inlineStr">
        <is>
          <t>Prive</t>
        </is>
      </c>
      <c r="D99" s="29" t="inlineStr">
        <is>
          <t>Abidjan - Cocody</t>
        </is>
      </c>
      <c r="E99" s="29" t="inlineStr">
        <is>
          <t>2 PLATEAUX 7e TRANCHE CARREFOUR AMBASSADE DE CHINE</t>
        </is>
      </c>
      <c r="F99" s="29" t="inlineStr">
        <is>
          <t>+225 27 22 42 93 69</t>
        </is>
      </c>
      <c r="G99" s="29" t="inlineStr"/>
      <c r="H99" s="29" t="inlineStr"/>
      <c r="I99" s="29" t="inlineStr">
        <is>
          <t>estamtechnologie@aviso.ci</t>
        </is>
      </c>
      <c r="J99" s="29" t="inlineStr">
        <is>
          <t>https:/www.estamtechnologies.net</t>
        </is>
      </c>
      <c r="K99" s="29" t="inlineStr">
        <is>
          <t>Directeur des Etudes</t>
        </is>
      </c>
      <c r="L99" s="30" t="inlineStr">
        <is>
          <t>Haute</t>
        </is>
      </c>
      <c r="M99" s="29" t="inlineStr">
        <is>
          <t>MESRS - liste officielle grandes ecoles</t>
        </is>
      </c>
      <c r="N99" s="29" t="inlineStr">
        <is>
          <t>gratuite</t>
        </is>
      </c>
      <c r="O99" s="14" t="inlineStr">
        <is>
          <t>a verifier</t>
        </is>
      </c>
      <c r="P99" s="29" t="inlineStr">
        <is>
          <t>numerique</t>
        </is>
      </c>
    </row>
    <row r="100">
      <c r="A100" s="29" t="inlineStr">
        <is>
          <t>ECOLE SUPERIEURE FORMATION AGRICOLE LE PHENIX (ESFAP)</t>
        </is>
      </c>
      <c r="B100" s="29" t="inlineStr">
        <is>
          <t>Grande ecole BTS - agriculture tropicale</t>
        </is>
      </c>
      <c r="C100" s="29" t="inlineStr">
        <is>
          <t>Prive</t>
        </is>
      </c>
      <c r="D100" s="29" t="inlineStr">
        <is>
          <t>Abidjan - Cocody</t>
        </is>
      </c>
      <c r="E100" s="29" t="inlineStr">
        <is>
          <t>Riviera 3/ Sainte Famille</t>
        </is>
      </c>
      <c r="F100" s="29" t="inlineStr">
        <is>
          <t>+225 07 47 04 76 02</t>
        </is>
      </c>
      <c r="G100" s="29" t="inlineStr">
        <is>
          <t>+225 27 22 59 74 98</t>
        </is>
      </c>
      <c r="H100" s="29" t="inlineStr">
        <is>
          <t>+225 07 47 04 76 02</t>
        </is>
      </c>
      <c r="I100" s="29" t="inlineStr">
        <is>
          <t>infos@esfap-edu.com</t>
        </is>
      </c>
      <c r="J100" s="29" t="inlineStr">
        <is>
          <t>https://www.esfap-edu.com</t>
        </is>
      </c>
      <c r="K100" s="29" t="inlineStr">
        <is>
          <t>Directeur des Etudes</t>
        </is>
      </c>
      <c r="L100" s="30" t="inlineStr">
        <is>
          <t>Haute</t>
        </is>
      </c>
      <c r="M100" s="29" t="inlineStr">
        <is>
          <t>MESRS - liste officielle grandes ecoles</t>
        </is>
      </c>
      <c r="N100" s="29" t="inlineStr">
        <is>
          <t>domaine propre</t>
        </is>
      </c>
      <c r="O100" s="14" t="inlineStr">
        <is>
          <t>a verifier</t>
        </is>
      </c>
      <c r="P100" s="29" t="inlineStr">
        <is>
          <t>agro</t>
        </is>
      </c>
    </row>
    <row r="101">
      <c r="A101" s="29" t="inlineStr">
        <is>
          <t>ECOLE SUPERIEURE LA BONNE ESPERANCE (ESBE)</t>
        </is>
      </c>
      <c r="B101" s="29" t="inlineStr">
        <is>
          <t>Grande ecole BTS - assistanat de direction, electrotechnique, finances comptabilite</t>
        </is>
      </c>
      <c r="C101" s="29" t="inlineStr">
        <is>
          <t>Prive</t>
        </is>
      </c>
      <c r="D101" s="29" t="inlineStr">
        <is>
          <t>Abidjan - Cocody</t>
        </is>
      </c>
      <c r="E101" s="29" t="inlineStr"/>
      <c r="F101" s="29" t="inlineStr">
        <is>
          <t>+225 07 47 47 79 26</t>
        </is>
      </c>
      <c r="G101" s="29" t="inlineStr">
        <is>
          <t>+225 07 08 11 12 69</t>
        </is>
      </c>
      <c r="H101" s="29" t="inlineStr">
        <is>
          <t>+225 07 47 47 79 26</t>
        </is>
      </c>
      <c r="I101" s="29" t="inlineStr">
        <is>
          <t>princeabidjanecole@gmail.com</t>
        </is>
      </c>
      <c r="J101" s="29" t="inlineStr"/>
      <c r="K101" s="29" t="inlineStr">
        <is>
          <t>Directeur des Etudes</t>
        </is>
      </c>
      <c r="L101" s="30" t="inlineStr">
        <is>
          <t>Haute</t>
        </is>
      </c>
      <c r="M101" s="29" t="inlineStr">
        <is>
          <t>MESRS - liste officielle grandes ecoles</t>
        </is>
      </c>
      <c r="N101" s="29" t="inlineStr">
        <is>
          <t>gratuite</t>
        </is>
      </c>
      <c r="O101" s="14" t="inlineStr">
        <is>
          <t>a verifier</t>
        </is>
      </c>
      <c r="P101" s="29" t="inlineStr">
        <is>
          <t>commerce</t>
        </is>
      </c>
    </row>
    <row r="102">
      <c r="A102" s="29" t="inlineStr">
        <is>
          <t>ECOLE SUPERIEURE POLYTECHNIQUE (ESP)</t>
        </is>
      </c>
      <c r="B102" s="29" t="inlineStr">
        <is>
          <t>Grande ecole BTS - communication visuelle, finances comptabilite, informatique developpeur d'applications</t>
        </is>
      </c>
      <c r="C102" s="29" t="inlineStr">
        <is>
          <t>Prive</t>
        </is>
      </c>
      <c r="D102" s="29" t="inlineStr">
        <is>
          <t>Abidjan - Cocody</t>
        </is>
      </c>
      <c r="E102" s="29" t="inlineStr">
        <is>
          <t>COCODY ABATTA</t>
        </is>
      </c>
      <c r="F102" s="29" t="inlineStr">
        <is>
          <t>+225 01 01 80 10 57</t>
        </is>
      </c>
      <c r="G102" s="29" t="inlineStr">
        <is>
          <t>+225 07 49 27 97 56</t>
        </is>
      </c>
      <c r="H102" s="29" t="inlineStr">
        <is>
          <t>+225 01 01 80 10 57</t>
        </is>
      </c>
      <c r="I102" s="29" t="inlineStr"/>
      <c r="J102" s="29" t="inlineStr"/>
      <c r="K102" s="29" t="inlineStr">
        <is>
          <t>Directeur des Etudes</t>
        </is>
      </c>
      <c r="L102" s="30" t="inlineStr">
        <is>
          <t>Haute</t>
        </is>
      </c>
      <c r="M102" s="29" t="inlineStr">
        <is>
          <t>MESRS - liste officielle grandes ecoles</t>
        </is>
      </c>
      <c r="N102" s="29" t="inlineStr"/>
      <c r="O102" s="31" t="inlineStr">
        <is>
          <t>sans email</t>
        </is>
      </c>
      <c r="P102" s="29" t="inlineStr">
        <is>
          <t>ingenieur</t>
        </is>
      </c>
    </row>
    <row r="103">
      <c r="A103" s="29" t="inlineStr">
        <is>
          <t>ECOLE SUPERIEURE TECHNIQUE ET PROFESSIONNELLE LE JOURDAIN (ESTP  LE JOURDAIN)</t>
        </is>
      </c>
      <c r="B103" s="29" t="inlineStr">
        <is>
          <t>Grande ecole BTS - finances comptabilite, gestion commerciale</t>
        </is>
      </c>
      <c r="C103" s="29" t="inlineStr">
        <is>
          <t>Prive</t>
        </is>
      </c>
      <c r="D103" s="29" t="inlineStr">
        <is>
          <t>Abidjan - Cocody</t>
        </is>
      </c>
      <c r="E103" s="29" t="inlineStr">
        <is>
          <t>Cocody Palmeraie st VIATEUR</t>
        </is>
      </c>
      <c r="F103" s="29" t="inlineStr">
        <is>
          <t>+225 07 78 70 51 37</t>
        </is>
      </c>
      <c r="G103" s="29" t="inlineStr">
        <is>
          <t>+225 07 07 29 28 70</t>
        </is>
      </c>
      <c r="H103" s="29" t="inlineStr">
        <is>
          <t>+225 07 78 70 51 37</t>
        </is>
      </c>
      <c r="I103" s="29" t="inlineStr">
        <is>
          <t>vleiepousevanhovenirenelydie@gmail.com</t>
        </is>
      </c>
      <c r="J103" s="29" t="inlineStr"/>
      <c r="K103" s="29" t="inlineStr">
        <is>
          <t>Directeur des Etudes</t>
        </is>
      </c>
      <c r="L103" s="30" t="inlineStr">
        <is>
          <t>Haute</t>
        </is>
      </c>
      <c r="M103" s="29" t="inlineStr">
        <is>
          <t>MESRS - liste officielle grandes ecoles</t>
        </is>
      </c>
      <c r="N103" s="29" t="inlineStr">
        <is>
          <t>gratuite</t>
        </is>
      </c>
      <c r="O103" s="14" t="inlineStr">
        <is>
          <t>a verifier</t>
        </is>
      </c>
      <c r="P103" s="29" t="inlineStr">
        <is>
          <t>commerce</t>
        </is>
      </c>
    </row>
    <row r="104">
      <c r="A104" s="29" t="inlineStr">
        <is>
          <t>ECOLE SUPERIEURE WONTO (ESW)</t>
        </is>
      </c>
      <c r="B104" s="29" t="inlineStr">
        <is>
          <t>Grande ecole BTS - assistanat de direction, electrotechnique, finances comptabilite</t>
        </is>
      </c>
      <c r="C104" s="29" t="inlineStr">
        <is>
          <t>Prive</t>
        </is>
      </c>
      <c r="D104" s="29" t="inlineStr">
        <is>
          <t>Abidjan - Cocody</t>
        </is>
      </c>
      <c r="E104" s="29" t="inlineStr">
        <is>
          <t>2 plateau, cité commandant sanon, derrière le zoo . Non loin de HMA</t>
        </is>
      </c>
      <c r="F104" s="29" t="inlineStr">
        <is>
          <t>+225 05 05 90 17 21</t>
        </is>
      </c>
      <c r="G104" s="29" t="inlineStr">
        <is>
          <t>+225 01 02 94 12 37</t>
        </is>
      </c>
      <c r="H104" s="29" t="inlineStr">
        <is>
          <t>+225 05 05 90 17 21</t>
        </is>
      </c>
      <c r="I104" s="29" t="inlineStr">
        <is>
          <t>ecolesuperieurewontoesw@gmail.com</t>
        </is>
      </c>
      <c r="J104" s="29" t="inlineStr">
        <is>
          <t>http://www.ecolesuperieurewonto.com</t>
        </is>
      </c>
      <c r="K104" s="29" t="inlineStr">
        <is>
          <t>Directeur des Etudes</t>
        </is>
      </c>
      <c r="L104" s="30" t="inlineStr">
        <is>
          <t>Haute</t>
        </is>
      </c>
      <c r="M104" s="29" t="inlineStr">
        <is>
          <t>MESRS - liste officielle grandes ecoles</t>
        </is>
      </c>
      <c r="N104" s="29" t="inlineStr">
        <is>
          <t>gratuite</t>
        </is>
      </c>
      <c r="O104" s="14" t="inlineStr">
        <is>
          <t>a verifier</t>
        </is>
      </c>
      <c r="P104" s="29" t="inlineStr">
        <is>
          <t>commerce</t>
        </is>
      </c>
    </row>
    <row r="105">
      <c r="A105" s="29" t="inlineStr">
        <is>
          <t>ECOLE SUPERIEURE YAMOUSSO MACAU (ESYM)</t>
        </is>
      </c>
      <c r="B105" s="29" t="inlineStr">
        <is>
          <t>Grande ecole BTS - assistanat de direction, electrotechnique, finances comptabilite</t>
        </is>
      </c>
      <c r="C105" s="29" t="inlineStr">
        <is>
          <t>Prive</t>
        </is>
      </c>
      <c r="D105" s="29" t="inlineStr">
        <is>
          <t>Abidjan - Cocody</t>
        </is>
      </c>
      <c r="E105" s="29" t="inlineStr">
        <is>
          <t>ROUTE DE BINGERVILLE, BOULEVARD MITTERAND, CARREFOUR FERRONNERIE OU ESPACE TRIANGLE, A 70 M BATIMENT A GAUCHE</t>
        </is>
      </c>
      <c r="F105" s="29" t="inlineStr">
        <is>
          <t>+225 27 22 59 17 19</t>
        </is>
      </c>
      <c r="G105" s="29" t="inlineStr">
        <is>
          <t>+225 07 87 63 81 05</t>
        </is>
      </c>
      <c r="H105" s="29" t="inlineStr">
        <is>
          <t>+225 07 87 63 81 05</t>
        </is>
      </c>
      <c r="I105" s="29" t="inlineStr">
        <is>
          <t>esym.abidjan@gmail.com</t>
        </is>
      </c>
      <c r="J105" s="29" t="inlineStr"/>
      <c r="K105" s="29" t="inlineStr">
        <is>
          <t>Directeur des Etudes</t>
        </is>
      </c>
      <c r="L105" s="30" t="inlineStr">
        <is>
          <t>Haute</t>
        </is>
      </c>
      <c r="M105" s="29" t="inlineStr">
        <is>
          <t>MESRS - liste officielle grandes ecoles</t>
        </is>
      </c>
      <c r="N105" s="29" t="inlineStr">
        <is>
          <t>gratuite</t>
        </is>
      </c>
      <c r="O105" s="14" t="inlineStr">
        <is>
          <t>a verifier</t>
        </is>
      </c>
      <c r="P105" s="29" t="inlineStr">
        <is>
          <t>commerce</t>
        </is>
      </c>
    </row>
    <row r="106">
      <c r="A106" s="29" t="inlineStr">
        <is>
          <t>Ecole Supérieure d’Interprétariat et de Traduction</t>
        </is>
      </c>
      <c r="B106" s="29" t="inlineStr">
        <is>
          <t>Grande ecole BTS -</t>
        </is>
      </c>
      <c r="C106" s="29" t="inlineStr">
        <is>
          <t>Prive</t>
        </is>
      </c>
      <c r="D106" s="29" t="inlineStr">
        <is>
          <t>Abidjan - Cocody</t>
        </is>
      </c>
      <c r="E106" s="29" t="inlineStr"/>
      <c r="F106" s="29" t="inlineStr"/>
      <c r="G106" s="29" t="inlineStr"/>
      <c r="H106" s="29" t="inlineStr"/>
      <c r="I106" s="29" t="inlineStr"/>
      <c r="J106" s="29" t="inlineStr"/>
      <c r="K106" s="29" t="inlineStr">
        <is>
          <t>Directeur des Etudes</t>
        </is>
      </c>
      <c r="L106" s="30" t="inlineStr">
        <is>
          <t>Haute</t>
        </is>
      </c>
      <c r="M106" s="29" t="inlineStr">
        <is>
          <t>MESRS - liste officielle grandes ecoles</t>
        </is>
      </c>
      <c r="N106" s="29" t="inlineStr"/>
      <c r="O106" s="31" t="inlineStr">
        <is>
          <t>sans email</t>
        </is>
      </c>
      <c r="P106" s="29" t="inlineStr">
        <is>
          <t>defaut</t>
        </is>
      </c>
    </row>
    <row r="107">
      <c r="A107" s="29" t="inlineStr">
        <is>
          <t>ECOLE TECHNIQUE INFORMATIQUE ET COMMERCIALE COCODY (ETIC COCODY)</t>
        </is>
      </c>
      <c r="B107" s="29" t="inlineStr">
        <is>
          <t>Grande ecole BTS - assistanat de direction, agriculture tropicale, communication visuelle</t>
        </is>
      </c>
      <c r="C107" s="29" t="inlineStr">
        <is>
          <t>Prive</t>
        </is>
      </c>
      <c r="D107" s="29" t="inlineStr">
        <is>
          <t>Abidjan - Cocody</t>
        </is>
      </c>
      <c r="E107" s="29" t="inlineStr"/>
      <c r="F107" s="29" t="inlineStr">
        <is>
          <t>+225 27 22 41 54 06</t>
        </is>
      </c>
      <c r="G107" s="29" t="inlineStr"/>
      <c r="H107" s="29" t="inlineStr"/>
      <c r="I107" s="29" t="inlineStr">
        <is>
          <t>etic.ecole@yahoo.com</t>
        </is>
      </c>
      <c r="J107" s="29" t="inlineStr"/>
      <c r="K107" s="29" t="inlineStr">
        <is>
          <t>Directeur des Etudes</t>
        </is>
      </c>
      <c r="L107" s="30" t="inlineStr">
        <is>
          <t>Haute</t>
        </is>
      </c>
      <c r="M107" s="29" t="inlineStr">
        <is>
          <t>MESRS - liste officielle grandes ecoles</t>
        </is>
      </c>
      <c r="N107" s="29" t="inlineStr">
        <is>
          <t>gratuite</t>
        </is>
      </c>
      <c r="O107" s="14" t="inlineStr">
        <is>
          <t>a verifier</t>
        </is>
      </c>
      <c r="P107" s="29" t="inlineStr">
        <is>
          <t>numerique</t>
        </is>
      </c>
    </row>
    <row r="108">
      <c r="A108" s="29" t="inlineStr">
        <is>
          <t>ESCA-CI (Ecole Supérieure de Commerce et desAffaires de CI)</t>
        </is>
      </c>
      <c r="B108" s="29" t="inlineStr">
        <is>
          <t>Grande ecole BTS - finances comptabilite, gestion commerciale, informatique developpeur d'applications</t>
        </is>
      </c>
      <c r="C108" s="29" t="inlineStr">
        <is>
          <t>Prive</t>
        </is>
      </c>
      <c r="D108" s="29" t="inlineStr">
        <is>
          <t>Abidjan - Cocody</t>
        </is>
      </c>
      <c r="E108" s="29" t="inlineStr">
        <is>
          <t>Cocody 9e Tranche Rond point Cenre commercial Djibi</t>
        </is>
      </c>
      <c r="F108" s="29" t="inlineStr">
        <is>
          <t>+225 27 20 00 68 20</t>
        </is>
      </c>
      <c r="G108" s="29" t="inlineStr"/>
      <c r="H108" s="29" t="inlineStr"/>
      <c r="I108" s="29" t="inlineStr">
        <is>
          <t>infos@esca-ci.org</t>
        </is>
      </c>
      <c r="J108" s="29" t="inlineStr">
        <is>
          <t>http://www.esca-ci.org</t>
        </is>
      </c>
      <c r="K108" s="29" t="inlineStr">
        <is>
          <t>Directeur des Etudes</t>
        </is>
      </c>
      <c r="L108" s="30" t="inlineStr">
        <is>
          <t>Haute</t>
        </is>
      </c>
      <c r="M108" s="29" t="inlineStr">
        <is>
          <t>MESRS - liste officielle grandes ecoles</t>
        </is>
      </c>
      <c r="N108" s="29" t="inlineStr">
        <is>
          <t>domaine propre</t>
        </is>
      </c>
      <c r="O108" s="14" t="inlineStr">
        <is>
          <t>a verifier</t>
        </is>
      </c>
      <c r="P108" s="29" t="inlineStr">
        <is>
          <t>commerce</t>
        </is>
      </c>
    </row>
    <row r="109">
      <c r="A109" s="29" t="inlineStr">
        <is>
          <t>ESFIT S.A</t>
        </is>
      </c>
      <c r="B109" s="29" t="inlineStr">
        <is>
          <t>Grande ecole BTS - finances comptabilite, ressources humaines, reseaux informatiques</t>
        </is>
      </c>
      <c r="C109" s="29" t="inlineStr">
        <is>
          <t>Prive</t>
        </is>
      </c>
      <c r="D109" s="29" t="inlineStr">
        <is>
          <t>Abidjan - Cocody</t>
        </is>
      </c>
      <c r="E109" s="29" t="inlineStr">
        <is>
          <t>COCODY 2PLATEAUX</t>
        </is>
      </c>
      <c r="F109" s="29" t="inlineStr">
        <is>
          <t>+225 27 22 41 32 52</t>
        </is>
      </c>
      <c r="G109" s="29" t="inlineStr"/>
      <c r="H109" s="29" t="inlineStr"/>
      <c r="I109" s="29" t="inlineStr">
        <is>
          <t>infos@cestia-2ep.com</t>
        </is>
      </c>
      <c r="J109" s="29" t="inlineStr">
        <is>
          <t>https://htt:WWW.CESTIA-2EP.COM</t>
        </is>
      </c>
      <c r="K109" s="29" t="inlineStr">
        <is>
          <t>Directeur des Etudes</t>
        </is>
      </c>
      <c r="L109" s="30" t="inlineStr">
        <is>
          <t>Haute</t>
        </is>
      </c>
      <c r="M109" s="29" t="inlineStr">
        <is>
          <t>MESRS - liste officielle grandes ecoles</t>
        </is>
      </c>
      <c r="N109" s="29" t="inlineStr">
        <is>
          <t>domaine propre</t>
        </is>
      </c>
      <c r="O109" s="14" t="inlineStr">
        <is>
          <t>a verifier</t>
        </is>
      </c>
      <c r="P109" s="29" t="inlineStr">
        <is>
          <t>commerce</t>
        </is>
      </c>
    </row>
    <row r="110">
      <c r="A110" s="29" t="inlineStr">
        <is>
          <t>ESIGE (ECOLE SUPERIEURE D'INFORMATIQUE ET DE GESTION D'ENTREPRISE)</t>
        </is>
      </c>
      <c r="B110" s="29" t="inlineStr">
        <is>
          <t>Grande ecole BTS - finances comptabilite, gestion commerciale, informatique developpeur d'applications</t>
        </is>
      </c>
      <c r="C110" s="29" t="inlineStr">
        <is>
          <t>Prive</t>
        </is>
      </c>
      <c r="D110" s="29" t="inlineStr">
        <is>
          <t>Abidjan - Cocody</t>
        </is>
      </c>
      <c r="E110" s="29" t="inlineStr">
        <is>
          <t>COCODY- 2 PLATEAUX VALLON- NON LOIN DE L'EGLISE SAINTE CECILE</t>
        </is>
      </c>
      <c r="F110" s="29" t="inlineStr">
        <is>
          <t>+225 27 22 00 78 62</t>
        </is>
      </c>
      <c r="G110" s="29" t="inlineStr">
        <is>
          <t>+225 27 22 41 78 48</t>
        </is>
      </c>
      <c r="H110" s="29" t="inlineStr"/>
      <c r="I110" s="29" t="inlineStr">
        <is>
          <t>esigevallon@gmail.com</t>
        </is>
      </c>
      <c r="J110" s="29" t="inlineStr">
        <is>
          <t>https://esige.ci</t>
        </is>
      </c>
      <c r="K110" s="29" t="inlineStr">
        <is>
          <t>Directeur des Etudes</t>
        </is>
      </c>
      <c r="L110" s="30" t="inlineStr">
        <is>
          <t>Haute</t>
        </is>
      </c>
      <c r="M110" s="29" t="inlineStr">
        <is>
          <t>MESRS - liste officielle grandes ecoles</t>
        </is>
      </c>
      <c r="N110" s="29" t="inlineStr">
        <is>
          <t>gratuite</t>
        </is>
      </c>
      <c r="O110" s="14" t="inlineStr">
        <is>
          <t>a verifier</t>
        </is>
      </c>
      <c r="P110" s="29" t="inlineStr">
        <is>
          <t>numerique</t>
        </is>
      </c>
    </row>
    <row r="111">
      <c r="A111" s="29" t="inlineStr">
        <is>
          <t>ESIT 2 PLATEAU</t>
        </is>
      </c>
      <c r="B111" s="29" t="inlineStr">
        <is>
          <t>Grande ecole BTS - assistanat de direction, communication visuelle, gestion commerciale</t>
        </is>
      </c>
      <c r="C111" s="29" t="inlineStr">
        <is>
          <t>Prive</t>
        </is>
      </c>
      <c r="D111" s="29" t="inlineStr">
        <is>
          <t>Abidjan - Cocody</t>
        </is>
      </c>
      <c r="E111" s="29" t="inlineStr">
        <is>
          <t>ANGRE 7e TRANCHE</t>
        </is>
      </c>
      <c r="F111" s="29" t="inlineStr">
        <is>
          <t>+225 07 07 93 93 53</t>
        </is>
      </c>
      <c r="G111" s="29" t="inlineStr">
        <is>
          <t>+225 05 06 68 19 19</t>
        </is>
      </c>
      <c r="H111" s="29" t="inlineStr">
        <is>
          <t>+225 07 07 93 93 53</t>
        </is>
      </c>
      <c r="I111" s="29" t="inlineStr">
        <is>
          <t>esitdirection@gmail.com</t>
        </is>
      </c>
      <c r="J111" s="29" t="inlineStr"/>
      <c r="K111" s="29" t="inlineStr">
        <is>
          <t>Directeur des Etudes</t>
        </is>
      </c>
      <c r="L111" s="30" t="inlineStr">
        <is>
          <t>Haute</t>
        </is>
      </c>
      <c r="M111" s="29" t="inlineStr">
        <is>
          <t>MESRS - liste officielle grandes ecoles</t>
        </is>
      </c>
      <c r="N111" s="29" t="inlineStr">
        <is>
          <t>gratuite</t>
        </is>
      </c>
      <c r="O111" s="14" t="inlineStr">
        <is>
          <t>a verifier</t>
        </is>
      </c>
      <c r="P111" s="29" t="inlineStr">
        <is>
          <t>commerce</t>
        </is>
      </c>
    </row>
    <row r="112">
      <c r="A112" s="29" t="inlineStr">
        <is>
          <t>ESMCT (Ecole Supérieure Méthodiste de Commerce et de Technologie ) Ex CMAM-CI</t>
        </is>
      </c>
      <c r="B112" s="29" t="inlineStr">
        <is>
          <t>Grande ecole BTS - assistanat de direction, communication visuelle, finances comptabilite</t>
        </is>
      </c>
      <c r="C112" s="29" t="inlineStr">
        <is>
          <t>Prive</t>
        </is>
      </c>
      <c r="D112" s="29" t="inlineStr">
        <is>
          <t>Abidjan - Cocody</t>
        </is>
      </c>
      <c r="E112" s="29" t="inlineStr"/>
      <c r="F112" s="29" t="inlineStr">
        <is>
          <t>+225 27 22 44 90 77</t>
        </is>
      </c>
      <c r="G112" s="29" t="inlineStr"/>
      <c r="H112" s="29" t="inlineStr"/>
      <c r="I112" s="29" t="inlineStr">
        <is>
          <t>cmamci@umeci.org.ci</t>
        </is>
      </c>
      <c r="J112" s="29" t="inlineStr"/>
      <c r="K112" s="29" t="inlineStr">
        <is>
          <t>Directeur des Etudes</t>
        </is>
      </c>
      <c r="L112" s="30" t="inlineStr">
        <is>
          <t>Haute</t>
        </is>
      </c>
      <c r="M112" s="29" t="inlineStr">
        <is>
          <t>MESRS - liste officielle grandes ecoles</t>
        </is>
      </c>
      <c r="N112" s="29" t="inlineStr">
        <is>
          <t>domaine propre</t>
        </is>
      </c>
      <c r="O112" s="14" t="inlineStr">
        <is>
          <t>a verifier</t>
        </is>
      </c>
      <c r="P112" s="29" t="inlineStr">
        <is>
          <t>numerique</t>
        </is>
      </c>
    </row>
    <row r="113">
      <c r="A113" s="29" t="inlineStr">
        <is>
          <t>EURO-FORMATION II PLATEAUX (EUROF II PLATEAUX)</t>
        </is>
      </c>
      <c r="B113" s="29" t="inlineStr">
        <is>
          <t>Grande ecole BTS - finances comptabilite, gestion commerciale, informatique developpeur d'applications</t>
        </is>
      </c>
      <c r="C113" s="29" t="inlineStr">
        <is>
          <t>Prive</t>
        </is>
      </c>
      <c r="D113" s="29" t="inlineStr">
        <is>
          <t>Abidjan - Cocody</t>
        </is>
      </c>
      <c r="E113" s="29" t="inlineStr">
        <is>
          <t>COCODY 2 Plateaux 7ème Tranche ex Ambassade de Chine</t>
        </is>
      </c>
      <c r="F113" s="29" t="inlineStr">
        <is>
          <t>+225 27 22 50 82 75</t>
        </is>
      </c>
      <c r="G113" s="29" t="inlineStr">
        <is>
          <t>+225 07 08 42 36 90</t>
        </is>
      </c>
      <c r="H113" s="29" t="inlineStr">
        <is>
          <t>+225 07 08 42 36 90</t>
        </is>
      </c>
      <c r="I113" s="29" t="inlineStr">
        <is>
          <t>infos@eurof.org</t>
        </is>
      </c>
      <c r="J113" s="29" t="inlineStr">
        <is>
          <t>https://www.eurof.org</t>
        </is>
      </c>
      <c r="K113" s="29" t="inlineStr">
        <is>
          <t>Directeur des Etudes</t>
        </is>
      </c>
      <c r="L113" s="30" t="inlineStr">
        <is>
          <t>Haute</t>
        </is>
      </c>
      <c r="M113" s="29" t="inlineStr">
        <is>
          <t>MESRS - liste officielle grandes ecoles</t>
        </is>
      </c>
      <c r="N113" s="29" t="inlineStr">
        <is>
          <t>domaine propre</t>
        </is>
      </c>
      <c r="O113" s="14" t="inlineStr">
        <is>
          <t>a verifier</t>
        </is>
      </c>
      <c r="P113" s="29" t="inlineStr">
        <is>
          <t>commerce</t>
        </is>
      </c>
    </row>
    <row r="114">
      <c r="A114" s="29" t="inlineStr">
        <is>
          <t>EXCELL SUP</t>
        </is>
      </c>
      <c r="B114" s="29" t="inlineStr">
        <is>
          <t>Grande ecole BTS - finances comptabilite, gestion commerciale, informatique developpeur d'applications</t>
        </is>
      </c>
      <c r="C114" s="29" t="inlineStr">
        <is>
          <t>Prive</t>
        </is>
      </c>
      <c r="D114" s="29" t="inlineStr">
        <is>
          <t>Abidjan - Cocody</t>
        </is>
      </c>
      <c r="E114" s="29" t="inlineStr">
        <is>
          <t>ANGRE 7 ème TRANCHE</t>
        </is>
      </c>
      <c r="F114" s="29" t="inlineStr">
        <is>
          <t>+225 05 02 23 77 77</t>
        </is>
      </c>
      <c r="G114" s="29" t="inlineStr"/>
      <c r="H114" s="29" t="inlineStr">
        <is>
          <t>+225 05 02 23 77 77</t>
        </is>
      </c>
      <c r="I114" s="29" t="inlineStr">
        <is>
          <t>info@excellsup.ci</t>
        </is>
      </c>
      <c r="J114" s="29" t="inlineStr">
        <is>
          <t>https://www.excellsup.ci</t>
        </is>
      </c>
      <c r="K114" s="29" t="inlineStr">
        <is>
          <t>Directeur des Etudes</t>
        </is>
      </c>
      <c r="L114" s="30" t="inlineStr">
        <is>
          <t>Haute</t>
        </is>
      </c>
      <c r="M114" s="29" t="inlineStr">
        <is>
          <t>MESRS - liste officielle grandes ecoles</t>
        </is>
      </c>
      <c r="N114" s="29" t="inlineStr">
        <is>
          <t>domaine propre</t>
        </is>
      </c>
      <c r="O114" s="14" t="inlineStr">
        <is>
          <t>a verifier</t>
        </is>
      </c>
      <c r="P114" s="29" t="inlineStr">
        <is>
          <t>commerce</t>
        </is>
      </c>
    </row>
    <row r="115">
      <c r="A115" s="29" t="inlineStr">
        <is>
          <t>EXPERT-METIER BUSINESS SCHOOL (EMBS)</t>
        </is>
      </c>
      <c r="B115" s="29" t="inlineStr">
        <is>
          <t>Grande ecole BTS - assistanat de direction, finances comptabilite, genie civil</t>
        </is>
      </c>
      <c r="C115" s="29" t="inlineStr">
        <is>
          <t>Prive</t>
        </is>
      </c>
      <c r="D115" s="29" t="inlineStr">
        <is>
          <t>Abidjan - Cocody</t>
        </is>
      </c>
      <c r="E115" s="29" t="inlineStr">
        <is>
          <t>COCODY II PLATEAUX BOULEVARD LATRILLE AGHIEN CARREFOUR LAS PALMAS</t>
        </is>
      </c>
      <c r="F115" s="29" t="inlineStr">
        <is>
          <t>+225 27 22 20 44 32</t>
        </is>
      </c>
      <c r="G115" s="29" t="inlineStr">
        <is>
          <t>+225 07 99 13 26 69</t>
        </is>
      </c>
      <c r="H115" s="29" t="inlineStr">
        <is>
          <t>+225 07 99 13 26 69</t>
        </is>
      </c>
      <c r="I115" s="29" t="inlineStr">
        <is>
          <t>contact@embs-ci.com</t>
        </is>
      </c>
      <c r="J115" s="29" t="inlineStr">
        <is>
          <t>https://www.embs-ci.com</t>
        </is>
      </c>
      <c r="K115" s="29" t="inlineStr">
        <is>
          <t>Directeur des Etudes</t>
        </is>
      </c>
      <c r="L115" s="30" t="inlineStr">
        <is>
          <t>Haute</t>
        </is>
      </c>
      <c r="M115" s="29" t="inlineStr">
        <is>
          <t>MESRS - liste officielle grandes ecoles</t>
        </is>
      </c>
      <c r="N115" s="29" t="inlineStr">
        <is>
          <t>domaine propre</t>
        </is>
      </c>
      <c r="O115" s="14" t="inlineStr">
        <is>
          <t>a verifier</t>
        </is>
      </c>
      <c r="P115" s="29" t="inlineStr">
        <is>
          <t>commerce</t>
        </is>
      </c>
    </row>
    <row r="116">
      <c r="A116" s="29" t="inlineStr">
        <is>
          <t>GROUPE CONCORDET BINGERVILLE (ESGTC BINGERVILLE)</t>
        </is>
      </c>
      <c r="B116" s="29" t="inlineStr">
        <is>
          <t>Grande ecole BTS - finances comptabilite, genie civil, gestion commerciale</t>
        </is>
      </c>
      <c r="C116" s="29" t="inlineStr">
        <is>
          <t>Prive</t>
        </is>
      </c>
      <c r="D116" s="29" t="inlineStr">
        <is>
          <t>Abidjan - Cocody</t>
        </is>
      </c>
      <c r="E116" s="29" t="inlineStr">
        <is>
          <t>Bingerville - Feh Kesse à 10 mn du rond-point</t>
        </is>
      </c>
      <c r="F116" s="29" t="inlineStr">
        <is>
          <t>+225 01 01 18 50 29</t>
        </is>
      </c>
      <c r="G116" s="29" t="inlineStr">
        <is>
          <t>+225 07 48 10 04 33</t>
        </is>
      </c>
      <c r="H116" s="29" t="inlineStr">
        <is>
          <t>+225 01 01 18 50 29</t>
        </is>
      </c>
      <c r="I116" s="29" t="inlineStr">
        <is>
          <t>groupeconcordet@gmail.com</t>
        </is>
      </c>
      <c r="J116" s="29" t="inlineStr">
        <is>
          <t>https://www.concordet.ci</t>
        </is>
      </c>
      <c r="K116" s="29" t="inlineStr">
        <is>
          <t>Directeur des Etudes</t>
        </is>
      </c>
      <c r="L116" s="30" t="inlineStr">
        <is>
          <t>Haute</t>
        </is>
      </c>
      <c r="M116" s="29" t="inlineStr">
        <is>
          <t>MESRS - liste officielle grandes ecoles</t>
        </is>
      </c>
      <c r="N116" s="29" t="inlineStr">
        <is>
          <t>gratuite</t>
        </is>
      </c>
      <c r="O116" s="14" t="inlineStr">
        <is>
          <t>a verifier</t>
        </is>
      </c>
      <c r="P116" s="29" t="inlineStr">
        <is>
          <t>commerce</t>
        </is>
      </c>
    </row>
    <row r="117">
      <c r="A117" s="29" t="inlineStr">
        <is>
          <t>GROUPE CONSEILS ET STRATEGIES INTERNATIONAL POLE POLYTECHNIQUE (GROUPE CSI PP)</t>
        </is>
      </c>
      <c r="B117" s="29" t="inlineStr">
        <is>
          <t>Grande ecole BTS/Licence - finances comptabilite, gestion des collectivites territoriales, gestion commerciale</t>
        </is>
      </c>
      <c r="C117" s="29" t="inlineStr">
        <is>
          <t>Prive</t>
        </is>
      </c>
      <c r="D117" s="29" t="inlineStr">
        <is>
          <t>Abidjan - Cocody</t>
        </is>
      </c>
      <c r="E117" s="29" t="inlineStr"/>
      <c r="F117" s="29" t="inlineStr">
        <is>
          <t>+225 27 22 49 49 39</t>
        </is>
      </c>
      <c r="G117" s="29" t="inlineStr"/>
      <c r="H117" s="29" t="inlineStr"/>
      <c r="I117" s="29" t="inlineStr">
        <is>
          <t>infos@groupecsi-pp.org</t>
        </is>
      </c>
      <c r="J117" s="29" t="inlineStr"/>
      <c r="K117" s="29" t="inlineStr">
        <is>
          <t>Directeur des Etudes</t>
        </is>
      </c>
      <c r="L117" s="30" t="inlineStr">
        <is>
          <t>Haute</t>
        </is>
      </c>
      <c r="M117" s="29" t="inlineStr">
        <is>
          <t>MESRS - liste officielle grandes ecoles</t>
        </is>
      </c>
      <c r="N117" s="29" t="inlineStr">
        <is>
          <t>domaine propre</t>
        </is>
      </c>
      <c r="O117" s="14" t="inlineStr">
        <is>
          <t>a verifier</t>
        </is>
      </c>
      <c r="P117" s="29" t="inlineStr">
        <is>
          <t>ingenieur</t>
        </is>
      </c>
    </row>
    <row r="118">
      <c r="A118" s="29" t="inlineStr">
        <is>
          <t>GROUPE ECOLE DES HAUTES ETUDES DE GESTION-ABIDJAN (GROUPE EDHEG ABIDJAN)</t>
        </is>
      </c>
      <c r="B118" s="29" t="inlineStr">
        <is>
          <t>Grande ecole BTS - finances comptabilite, gestion commerciale, informatique developpeur d'applications</t>
        </is>
      </c>
      <c r="C118" s="29" t="inlineStr">
        <is>
          <t>Prive</t>
        </is>
      </c>
      <c r="D118" s="29" t="inlineStr">
        <is>
          <t>Abidjan - Cocody</t>
        </is>
      </c>
      <c r="E118" s="29" t="inlineStr">
        <is>
          <t>COCODY CITE DES ARTS - RUE C42</t>
        </is>
      </c>
      <c r="F118" s="29" t="inlineStr">
        <is>
          <t>+225 27 22 48 78 66</t>
        </is>
      </c>
      <c r="G118" s="29" t="inlineStr"/>
      <c r="H118" s="29" t="inlineStr"/>
      <c r="I118" s="29" t="inlineStr">
        <is>
          <t>infos@gpeedhec-abidjan.com</t>
        </is>
      </c>
      <c r="J118" s="29" t="inlineStr">
        <is>
          <t>https://www.gpeedhec-abidjan.com</t>
        </is>
      </c>
      <c r="K118" s="29" t="inlineStr">
        <is>
          <t>Directeur des Etudes</t>
        </is>
      </c>
      <c r="L118" s="30" t="inlineStr">
        <is>
          <t>Haute</t>
        </is>
      </c>
      <c r="M118" s="29" t="inlineStr">
        <is>
          <t>MESRS - liste officielle grandes ecoles</t>
        </is>
      </c>
      <c r="N118" s="29" t="inlineStr">
        <is>
          <t>domaine propre</t>
        </is>
      </c>
      <c r="O118" s="14" t="inlineStr">
        <is>
          <t>a verifier</t>
        </is>
      </c>
      <c r="P118" s="29" t="inlineStr">
        <is>
          <t>commerce</t>
        </is>
      </c>
    </row>
    <row r="119">
      <c r="A119" s="29" t="inlineStr">
        <is>
          <t>GROUPE ECOLE SUPERIEURE DE COMMERCE DE GESTION ET DE TECHNOLOGIE COCODY (GROUPE ESCOGET COCODY)</t>
        </is>
      </c>
      <c r="B119" s="29" t="inlineStr">
        <is>
          <t>Grande ecole BTS - electrotechnique, finances comptabilite, genie civil</t>
        </is>
      </c>
      <c r="C119" s="29" t="inlineStr">
        <is>
          <t>Prive</t>
        </is>
      </c>
      <c r="D119" s="29" t="inlineStr">
        <is>
          <t>Abidjan - Cocody</t>
        </is>
      </c>
      <c r="E119" s="29" t="inlineStr">
        <is>
          <t>RIVIERA PALMERAIE- SIPIM 3 face Ecole Notre Dame de la Paix</t>
        </is>
      </c>
      <c r="F119" s="29" t="inlineStr">
        <is>
          <t>+225 27 22 49 49 53</t>
        </is>
      </c>
      <c r="G119" s="29" t="inlineStr"/>
      <c r="H119" s="29" t="inlineStr"/>
      <c r="I119" s="29" t="inlineStr">
        <is>
          <t>info@groupescoget.com</t>
        </is>
      </c>
      <c r="J119" s="29" t="inlineStr">
        <is>
          <t>http://groupescoget.com</t>
        </is>
      </c>
      <c r="K119" s="29" t="inlineStr">
        <is>
          <t>Directeur des Etudes</t>
        </is>
      </c>
      <c r="L119" s="30" t="inlineStr">
        <is>
          <t>Haute</t>
        </is>
      </c>
      <c r="M119" s="29" t="inlineStr">
        <is>
          <t>MESRS - liste officielle grandes ecoles</t>
        </is>
      </c>
      <c r="N119" s="29" t="inlineStr">
        <is>
          <t>domaine propre</t>
        </is>
      </c>
      <c r="O119" s="14" t="inlineStr">
        <is>
          <t>a verifier</t>
        </is>
      </c>
      <c r="P119" s="29" t="inlineStr">
        <is>
          <t>numerique</t>
        </is>
      </c>
    </row>
    <row r="120">
      <c r="A120" s="29" t="inlineStr">
        <is>
          <t>GROUPE ESC ABIDJAN</t>
        </is>
      </c>
      <c r="B120" s="29" t="inlineStr">
        <is>
          <t>Grande ecole BTS - assistanat de direction, finances comptabilite, gestion commerciale</t>
        </is>
      </c>
      <c r="C120" s="29" t="inlineStr">
        <is>
          <t>Prive</t>
        </is>
      </c>
      <c r="D120" s="29" t="inlineStr">
        <is>
          <t>Abidjan - Cocody</t>
        </is>
      </c>
      <c r="E120" s="29" t="inlineStr"/>
      <c r="F120" s="29" t="inlineStr">
        <is>
          <t>+225 27 22 48 89 95</t>
        </is>
      </c>
      <c r="G120" s="29" t="inlineStr"/>
      <c r="H120" s="29" t="inlineStr"/>
      <c r="I120" s="29" t="inlineStr">
        <is>
          <t>escabidjan@gmail.com</t>
        </is>
      </c>
      <c r="J120" s="29" t="inlineStr"/>
      <c r="K120" s="29" t="inlineStr">
        <is>
          <t>Directeur des Etudes</t>
        </is>
      </c>
      <c r="L120" s="30" t="inlineStr">
        <is>
          <t>Haute</t>
        </is>
      </c>
      <c r="M120" s="29" t="inlineStr">
        <is>
          <t>MESRS - liste officielle grandes ecoles</t>
        </is>
      </c>
      <c r="N120" s="29" t="inlineStr">
        <is>
          <t>gratuite</t>
        </is>
      </c>
      <c r="O120" s="14" t="inlineStr">
        <is>
          <t>a verifier</t>
        </is>
      </c>
      <c r="P120" s="29" t="inlineStr">
        <is>
          <t>commerce</t>
        </is>
      </c>
    </row>
    <row r="121">
      <c r="A121" s="29" t="inlineStr">
        <is>
          <t>GROUPE EXPERT METIER SA (GEM SA)</t>
        </is>
      </c>
      <c r="B121" s="29" t="inlineStr">
        <is>
          <t>Grande ecole BTS - communication visuelle, finances comptabilite, gestion commerciale</t>
        </is>
      </c>
      <c r="C121" s="29" t="inlineStr">
        <is>
          <t>Prive</t>
        </is>
      </c>
      <c r="D121" s="29" t="inlineStr">
        <is>
          <t>Abidjan - Cocody</t>
        </is>
      </c>
      <c r="E121" s="29" t="inlineStr">
        <is>
          <t>COCODY DERRIERE L’ENA</t>
        </is>
      </c>
      <c r="F121" s="29" t="inlineStr">
        <is>
          <t>+225 07 77 76 07 27</t>
        </is>
      </c>
      <c r="G121" s="29" t="inlineStr">
        <is>
          <t>+225 27 22 20 44 32</t>
        </is>
      </c>
      <c r="H121" s="29" t="inlineStr">
        <is>
          <t>+225 07 77 76 07 27</t>
        </is>
      </c>
      <c r="I121" s="29" t="inlineStr">
        <is>
          <t>contact@embs-ci.com</t>
        </is>
      </c>
      <c r="J121" s="29" t="inlineStr">
        <is>
          <t>http://www.embs-ci.com</t>
        </is>
      </c>
      <c r="K121" s="29" t="inlineStr">
        <is>
          <t>Directeur des Etudes</t>
        </is>
      </c>
      <c r="L121" s="30" t="inlineStr">
        <is>
          <t>Haute</t>
        </is>
      </c>
      <c r="M121" s="29" t="inlineStr">
        <is>
          <t>MESRS - liste officielle grandes ecoles</t>
        </is>
      </c>
      <c r="N121" s="29" t="inlineStr">
        <is>
          <t>domaine propre</t>
        </is>
      </c>
      <c r="O121" s="14" t="inlineStr">
        <is>
          <t>a verifier</t>
        </is>
      </c>
      <c r="P121" s="29" t="inlineStr">
        <is>
          <t>commerce</t>
        </is>
      </c>
    </row>
    <row r="122">
      <c r="A122" s="29" t="inlineStr">
        <is>
          <t>Groupe HEC Abidjan</t>
        </is>
      </c>
      <c r="B122" s="29" t="inlineStr">
        <is>
          <t>Business school</t>
        </is>
      </c>
      <c r="C122" s="29" t="inlineStr">
        <is>
          <t>Prive</t>
        </is>
      </c>
      <c r="D122" s="29" t="inlineStr">
        <is>
          <t>Abidjan - Cocody</t>
        </is>
      </c>
      <c r="E122" s="29" t="inlineStr">
        <is>
          <t>Bd F. Mitterrand, face ecole de gendarmerie, Cocody</t>
        </is>
      </c>
      <c r="F122" s="29" t="inlineStr">
        <is>
          <t>+225 07 88 01 01 01</t>
        </is>
      </c>
      <c r="G122" s="29" t="inlineStr">
        <is>
          <t>+225 01 73 99 90 25</t>
        </is>
      </c>
      <c r="H122" s="29" t="inlineStr">
        <is>
          <t>+225 07 88 01 01 01</t>
        </is>
      </c>
      <c r="I122" s="29" t="inlineStr">
        <is>
          <t>contact@hecabidjan.ci</t>
        </is>
      </c>
      <c r="J122" s="29" t="inlineStr">
        <is>
          <t>www.hecabidjan.ci</t>
        </is>
      </c>
      <c r="K122" s="29" t="inlineStr">
        <is>
          <t>Directeur des Etudes</t>
        </is>
      </c>
      <c r="L122" s="29" t="inlineStr">
        <is>
          <t>Moyenne</t>
        </is>
      </c>
      <c r="M122" s="29" t="inlineStr">
        <is>
          <t>Site officiel + AnnuaireCI</t>
        </is>
      </c>
      <c r="N122" s="29" t="inlineStr">
        <is>
          <t>domaine propre</t>
        </is>
      </c>
      <c r="O122" s="30" t="inlineStr">
        <is>
          <t>valide</t>
        </is>
      </c>
      <c r="P122" s="29" t="inlineStr">
        <is>
          <t>commerce</t>
        </is>
      </c>
    </row>
    <row r="123">
      <c r="A123" s="29" t="inlineStr">
        <is>
          <t>GROUPE ITA-INGENIERIE SA 2 PLATEAUX (G2I 2 PLATEAUX)</t>
        </is>
      </c>
      <c r="B123" s="29" t="inlineStr">
        <is>
          <t>Grande ecole BTS - assistanat de direction, electrotechnique, finances comptabilite</t>
        </is>
      </c>
      <c r="C123" s="29" t="inlineStr">
        <is>
          <t>Prive</t>
        </is>
      </c>
      <c r="D123" s="29" t="inlineStr">
        <is>
          <t>Abidjan - Cocody</t>
        </is>
      </c>
      <c r="E123" s="29" t="inlineStr">
        <is>
          <t>2-Plateaux BMW/Carrefour Tribunal commerce</t>
        </is>
      </c>
      <c r="F123" s="29" t="inlineStr">
        <is>
          <t>+225 07 07 31 44 39</t>
        </is>
      </c>
      <c r="G123" s="29" t="inlineStr">
        <is>
          <t>+225 07 07 49 92 92</t>
        </is>
      </c>
      <c r="H123" s="29" t="inlineStr">
        <is>
          <t>+225 07 07 31 44 39</t>
        </is>
      </c>
      <c r="I123" s="29" t="inlineStr"/>
      <c r="J123" s="29" t="inlineStr"/>
      <c r="K123" s="29" t="inlineStr">
        <is>
          <t>Directeur des Etudes</t>
        </is>
      </c>
      <c r="L123" s="30" t="inlineStr">
        <is>
          <t>Haute</t>
        </is>
      </c>
      <c r="M123" s="29" t="inlineStr">
        <is>
          <t>MESRS - liste officielle grandes ecoles</t>
        </is>
      </c>
      <c r="N123" s="29" t="inlineStr"/>
      <c r="O123" s="31" t="inlineStr">
        <is>
          <t>sans email</t>
        </is>
      </c>
      <c r="P123" s="29" t="inlineStr">
        <is>
          <t>commerce</t>
        </is>
      </c>
    </row>
    <row r="124">
      <c r="A124" s="29" t="inlineStr">
        <is>
          <t>GROUPE ITA-INGENIERIE SA RIVIERA (G2I RIVIERA)</t>
        </is>
      </c>
      <c r="B124" s="29" t="inlineStr">
        <is>
          <t>Grande ecole BTS - finances comptabilite, gestion commerciale, informatique developpeur d'applications</t>
        </is>
      </c>
      <c r="C124" s="29" t="inlineStr">
        <is>
          <t>Prive</t>
        </is>
      </c>
      <c r="D124" s="29" t="inlineStr">
        <is>
          <t>Abidjan - Cocody</t>
        </is>
      </c>
      <c r="E124" s="29" t="inlineStr">
        <is>
          <t>200m du carrefour Marie Rose Guiraud de la Palmeraie</t>
        </is>
      </c>
      <c r="F124" s="29" t="inlineStr">
        <is>
          <t>+225 07 49 52 00 59</t>
        </is>
      </c>
      <c r="G124" s="29" t="inlineStr">
        <is>
          <t>+225 01 40 09 40 91</t>
        </is>
      </c>
      <c r="H124" s="29" t="inlineStr">
        <is>
          <t>+225 07 49 52 00 59</t>
        </is>
      </c>
      <c r="I124" s="29" t="inlineStr"/>
      <c r="J124" s="29" t="inlineStr"/>
      <c r="K124" s="29" t="inlineStr">
        <is>
          <t>Directeur des Etudes</t>
        </is>
      </c>
      <c r="L124" s="30" t="inlineStr">
        <is>
          <t>Haute</t>
        </is>
      </c>
      <c r="M124" s="29" t="inlineStr">
        <is>
          <t>MESRS - liste officielle grandes ecoles</t>
        </is>
      </c>
      <c r="N124" s="29" t="inlineStr"/>
      <c r="O124" s="31" t="inlineStr">
        <is>
          <t>sans email</t>
        </is>
      </c>
      <c r="P124" s="29" t="inlineStr">
        <is>
          <t>commerce</t>
        </is>
      </c>
    </row>
    <row r="125">
      <c r="A125" s="29" t="inlineStr">
        <is>
          <t>GROUPE SUP FORMATION (GSF)</t>
        </is>
      </c>
      <c r="B125" s="29" t="inlineStr">
        <is>
          <t>Grande ecole BTS - finances comptabilite, gestion commerciale, informatique developpeur d'applications</t>
        </is>
      </c>
      <c r="C125" s="29" t="inlineStr">
        <is>
          <t>Prive</t>
        </is>
      </c>
      <c r="D125" s="29" t="inlineStr">
        <is>
          <t>Abidjan - Cocody</t>
        </is>
      </c>
      <c r="E125" s="29" t="inlineStr">
        <is>
          <t>ABOBO, PLATEAU DOKUI, 1er arrêt Dokui, Non loin du Rond Point de l'allocodrome de Dokui vers le terrain de basket</t>
        </is>
      </c>
      <c r="F125" s="29" t="inlineStr"/>
      <c r="G125" s="29" t="inlineStr"/>
      <c r="H125" s="29" t="inlineStr"/>
      <c r="I125" s="29" t="inlineStr">
        <is>
          <t>groupesupformation@gmail.com</t>
        </is>
      </c>
      <c r="J125" s="29" t="inlineStr">
        <is>
          <t>https://www.groupesupformation.com</t>
        </is>
      </c>
      <c r="K125" s="29" t="inlineStr">
        <is>
          <t>Directeur des Etudes</t>
        </is>
      </c>
      <c r="L125" s="30" t="inlineStr">
        <is>
          <t>Haute</t>
        </is>
      </c>
      <c r="M125" s="29" t="inlineStr">
        <is>
          <t>MESRS - liste officielle grandes ecoles</t>
        </is>
      </c>
      <c r="N125" s="29" t="inlineStr">
        <is>
          <t>gratuite</t>
        </is>
      </c>
      <c r="O125" s="14" t="inlineStr">
        <is>
          <t>a verifier</t>
        </is>
      </c>
      <c r="P125" s="29" t="inlineStr">
        <is>
          <t>commerce</t>
        </is>
      </c>
    </row>
    <row r="126">
      <c r="A126" s="29" t="inlineStr">
        <is>
          <t>IAM (IAMA)</t>
        </is>
      </c>
      <c r="B126" s="29" t="inlineStr">
        <is>
          <t>Grande ecole BTS - finances comptabilite, gestion commerciale, logistique</t>
        </is>
      </c>
      <c r="C126" s="29" t="inlineStr">
        <is>
          <t>Prive</t>
        </is>
      </c>
      <c r="D126" s="29" t="inlineStr">
        <is>
          <t>Abidjan - Cocody</t>
        </is>
      </c>
      <c r="E126" s="29" t="inlineStr">
        <is>
          <t>Angré 7ème tranche carrefour école de police municipale à 100 M du stade de Angré</t>
        </is>
      </c>
      <c r="F126" s="29" t="inlineStr">
        <is>
          <t>+225 27 22 41 87 39</t>
        </is>
      </c>
      <c r="G126" s="29" t="inlineStr"/>
      <c r="H126" s="29" t="inlineStr"/>
      <c r="I126" s="29" t="inlineStr">
        <is>
          <t>contact@iamabidjan.com</t>
        </is>
      </c>
      <c r="J126" s="29" t="inlineStr">
        <is>
          <t>https://www.iamabidjan.com</t>
        </is>
      </c>
      <c r="K126" s="29" t="inlineStr">
        <is>
          <t>Directeur des Etudes</t>
        </is>
      </c>
      <c r="L126" s="30" t="inlineStr">
        <is>
          <t>Haute</t>
        </is>
      </c>
      <c r="M126" s="29" t="inlineStr">
        <is>
          <t>MESRS - liste officielle grandes ecoles</t>
        </is>
      </c>
      <c r="N126" s="29" t="inlineStr">
        <is>
          <t>domaine propre</t>
        </is>
      </c>
      <c r="O126" s="14" t="inlineStr">
        <is>
          <t>a verifier</t>
        </is>
      </c>
      <c r="P126" s="29" t="inlineStr">
        <is>
          <t>commerce</t>
        </is>
      </c>
    </row>
    <row r="127">
      <c r="A127" s="29" t="inlineStr">
        <is>
          <t>IFORAS - COCODY</t>
        </is>
      </c>
      <c r="B127" s="29" t="inlineStr">
        <is>
          <t>Grande ecole BTS - assistanat de direction, finances comptabilite, genie civil</t>
        </is>
      </c>
      <c r="C127" s="29" t="inlineStr">
        <is>
          <t>Prive</t>
        </is>
      </c>
      <c r="D127" s="29" t="inlineStr">
        <is>
          <t>Abidjan - Cocody</t>
        </is>
      </c>
      <c r="E127" s="29" t="inlineStr">
        <is>
          <t>COCODY ENTRE LE CARREFOUR CHU ET L'UNIVERSITE FHB</t>
        </is>
      </c>
      <c r="F127" s="29" t="inlineStr">
        <is>
          <t>+225 27 22 48 01 56</t>
        </is>
      </c>
      <c r="G127" s="29" t="inlineStr">
        <is>
          <t>+225 07 88 17 25 63</t>
        </is>
      </c>
      <c r="H127" s="29" t="inlineStr">
        <is>
          <t>+225 07 88 17 25 63</t>
        </is>
      </c>
      <c r="I127" s="29" t="inlineStr">
        <is>
          <t>info@iforas.ci</t>
        </is>
      </c>
      <c r="J127" s="29" t="inlineStr">
        <is>
          <t>https://www.iforas.ci</t>
        </is>
      </c>
      <c r="K127" s="29" t="inlineStr">
        <is>
          <t>Directeur des Etudes</t>
        </is>
      </c>
      <c r="L127" s="30" t="inlineStr">
        <is>
          <t>Haute</t>
        </is>
      </c>
      <c r="M127" s="29" t="inlineStr">
        <is>
          <t>MESRS - liste officielle grandes ecoles</t>
        </is>
      </c>
      <c r="N127" s="29" t="inlineStr">
        <is>
          <t>domaine propre</t>
        </is>
      </c>
      <c r="O127" s="14" t="inlineStr">
        <is>
          <t>a verifier</t>
        </is>
      </c>
      <c r="P127" s="29" t="inlineStr">
        <is>
          <t>commerce</t>
        </is>
      </c>
    </row>
    <row r="128">
      <c r="A128" s="29" t="inlineStr">
        <is>
          <t>IHEM-SO 2 PLATEAUX ABIDJAN</t>
        </is>
      </c>
      <c r="B128" s="29" t="inlineStr">
        <is>
          <t>Grande ecole BTS - assistanat de direction, finances comptabilite, gestion commerciale</t>
        </is>
      </c>
      <c r="C128" s="29" t="inlineStr">
        <is>
          <t>Prive</t>
        </is>
      </c>
      <c r="D128" s="29" t="inlineStr">
        <is>
          <t>Abidjan - Cocody</t>
        </is>
      </c>
      <c r="E128" s="29" t="inlineStr">
        <is>
          <t>COCODY 2 PLATEAUX VALLON RUE DES JARDINS</t>
        </is>
      </c>
      <c r="F128" s="29" t="inlineStr">
        <is>
          <t>+225 27 22 41 73 02</t>
        </is>
      </c>
      <c r="G128" s="29" t="inlineStr"/>
      <c r="H128" s="29" t="inlineStr"/>
      <c r="I128" s="29" t="inlineStr">
        <is>
          <t>ihemsoabidjan2008@yahoo.fr</t>
        </is>
      </c>
      <c r="J128" s="29" t="inlineStr">
        <is>
          <t>http://www.ihemso.ci/</t>
        </is>
      </c>
      <c r="K128" s="29" t="inlineStr">
        <is>
          <t>Directeur des Etudes</t>
        </is>
      </c>
      <c r="L128" s="30" t="inlineStr">
        <is>
          <t>Haute</t>
        </is>
      </c>
      <c r="M128" s="29" t="inlineStr">
        <is>
          <t>MESRS - liste officielle grandes ecoles</t>
        </is>
      </c>
      <c r="N128" s="29" t="inlineStr">
        <is>
          <t>gratuite</t>
        </is>
      </c>
      <c r="O128" s="14" t="inlineStr">
        <is>
          <t>a verifier</t>
        </is>
      </c>
      <c r="P128" s="29" t="inlineStr">
        <is>
          <t>commerce</t>
        </is>
      </c>
    </row>
    <row r="129">
      <c r="A129" s="29" t="inlineStr">
        <is>
          <t>IMOTEP ACADEMIE (ASP-CI)</t>
        </is>
      </c>
      <c r="B129" s="29" t="inlineStr">
        <is>
          <t>Grande ecole BTS - assistanat de direction, electrotechnique, finances comptabilite</t>
        </is>
      </c>
      <c r="C129" s="29" t="inlineStr">
        <is>
          <t>Prive</t>
        </is>
      </c>
      <c r="D129" s="29" t="inlineStr">
        <is>
          <t>Abidjan - Cocody</t>
        </is>
      </c>
      <c r="E129" s="29" t="inlineStr">
        <is>
          <t>Cocody Angré 7eme tranche entre le stade d'Angré et le carrefour bluetooth</t>
        </is>
      </c>
      <c r="F129" s="29" t="inlineStr">
        <is>
          <t>+225 27 22 50 69 96</t>
        </is>
      </c>
      <c r="G129" s="29" t="inlineStr">
        <is>
          <t>+225 07 59 81 48 64</t>
        </is>
      </c>
      <c r="H129" s="29" t="inlineStr">
        <is>
          <t>+225 07 59 81 48 64</t>
        </is>
      </c>
      <c r="I129" s="29" t="inlineStr">
        <is>
          <t>groupecoleasp@gmail.com</t>
        </is>
      </c>
      <c r="J129" s="29" t="inlineStr"/>
      <c r="K129" s="29" t="inlineStr">
        <is>
          <t>Directeur des Etudes</t>
        </is>
      </c>
      <c r="L129" s="30" t="inlineStr">
        <is>
          <t>Haute</t>
        </is>
      </c>
      <c r="M129" s="29" t="inlineStr">
        <is>
          <t>MESRS - liste officielle grandes ecoles</t>
        </is>
      </c>
      <c r="N129" s="29" t="inlineStr">
        <is>
          <t>gratuite</t>
        </is>
      </c>
      <c r="O129" s="14" t="inlineStr">
        <is>
          <t>a verifier</t>
        </is>
      </c>
      <c r="P129" s="29" t="inlineStr">
        <is>
          <t>commerce</t>
        </is>
      </c>
    </row>
    <row r="130">
      <c r="A130" s="29" t="inlineStr">
        <is>
          <t>INSAAC (Institut National Superieur des Arts et de l'Action Culturelle)</t>
        </is>
      </c>
      <c r="B130" s="29" t="inlineStr">
        <is>
          <t>Grande ecole publique - arts</t>
        </is>
      </c>
      <c r="C130" s="29" t="inlineStr">
        <is>
          <t>Public</t>
        </is>
      </c>
      <c r="D130" s="29" t="inlineStr">
        <is>
          <t>Abidjan - Cocody</t>
        </is>
      </c>
      <c r="E130" s="29" t="inlineStr">
        <is>
          <t>Bd Universite F. Houphouet-Boigny, 08 BP 49 Abidjan 08</t>
        </is>
      </c>
      <c r="F130" s="29" t="inlineStr">
        <is>
          <t>+225 27 22 44 26 73</t>
        </is>
      </c>
      <c r="G130" s="29" t="inlineStr"/>
      <c r="H130" s="29" t="inlineStr"/>
      <c r="I130" s="29" t="inlineStr">
        <is>
          <t>contact@insaac.edu.ci</t>
        </is>
      </c>
      <c r="J130" s="29" t="inlineStr">
        <is>
          <t>www.insaac.edu.ci</t>
        </is>
      </c>
      <c r="K130" s="29" t="inlineStr">
        <is>
          <t>Secretariat General / Directeur des Etudes</t>
        </is>
      </c>
      <c r="L130" s="29" t="inlineStr">
        <is>
          <t>Moyenne</t>
        </is>
      </c>
      <c r="M130" s="29" t="inlineStr">
        <is>
          <t>Page contact insaac.edu.ci</t>
        </is>
      </c>
      <c r="N130" s="29" t="inlineStr">
        <is>
          <t>domaine propre</t>
        </is>
      </c>
      <c r="O130" s="30" t="inlineStr">
        <is>
          <t>valide</t>
        </is>
      </c>
      <c r="P130" s="29" t="inlineStr">
        <is>
          <t>communication</t>
        </is>
      </c>
    </row>
    <row r="131">
      <c r="A131" s="29" t="inlineStr">
        <is>
          <t>INSTITUT AFRICAIN DU NUMERIQUE (IAN)</t>
        </is>
      </c>
      <c r="B131" s="29" t="inlineStr">
        <is>
          <t>Grande ecole BTS - informatique developpeur d'applications, reseaux informatiques, systemes electroniques</t>
        </is>
      </c>
      <c r="C131" s="29" t="inlineStr">
        <is>
          <t>Prive</t>
        </is>
      </c>
      <c r="D131" s="29" t="inlineStr">
        <is>
          <t>Abidjan - Cocody</t>
        </is>
      </c>
      <c r="E131" s="29" t="inlineStr"/>
      <c r="F131" s="29" t="inlineStr">
        <is>
          <t>+225 07 47 57 57 57</t>
        </is>
      </c>
      <c r="G131" s="29" t="inlineStr"/>
      <c r="H131" s="29" t="inlineStr">
        <is>
          <t>+225 07 47 57 57 57</t>
        </is>
      </c>
      <c r="I131" s="29" t="inlineStr"/>
      <c r="J131" s="29" t="inlineStr"/>
      <c r="K131" s="29" t="inlineStr">
        <is>
          <t>Directeur des Etudes</t>
        </is>
      </c>
      <c r="L131" s="30" t="inlineStr">
        <is>
          <t>Haute</t>
        </is>
      </c>
      <c r="M131" s="29" t="inlineStr">
        <is>
          <t>MESRS - liste officielle grandes ecoles</t>
        </is>
      </c>
      <c r="N131" s="29" t="inlineStr"/>
      <c r="O131" s="31" t="inlineStr">
        <is>
          <t>sans email</t>
        </is>
      </c>
      <c r="P131" s="29" t="inlineStr">
        <is>
          <t>numerique</t>
        </is>
      </c>
    </row>
    <row r="132">
      <c r="A132" s="29" t="inlineStr">
        <is>
          <t>INSTITUT BOOSTER AFRIQUE (IBA)</t>
        </is>
      </c>
      <c r="B132" s="29" t="inlineStr">
        <is>
          <t>Grande ecole BTS - assistanat de direction, finances comptabilite, gestion commerciale</t>
        </is>
      </c>
      <c r="C132" s="29" t="inlineStr">
        <is>
          <t>Prive</t>
        </is>
      </c>
      <c r="D132" s="29" t="inlineStr">
        <is>
          <t>Abidjan - Cocody</t>
        </is>
      </c>
      <c r="E132" s="29" t="inlineStr">
        <is>
          <t>Angré château, derrière la pharmacie du château</t>
        </is>
      </c>
      <c r="F132" s="29" t="inlineStr">
        <is>
          <t>+225 07 08 06 04 89</t>
        </is>
      </c>
      <c r="G132" s="29" t="inlineStr">
        <is>
          <t>+225 01 03 33 92 09</t>
        </is>
      </c>
      <c r="H132" s="29" t="inlineStr">
        <is>
          <t>+225 07 08 06 04 89</t>
        </is>
      </c>
      <c r="I132" s="29" t="inlineStr">
        <is>
          <t>directeur@institutboosterafrique.com</t>
        </is>
      </c>
      <c r="J132" s="29" t="inlineStr"/>
      <c r="K132" s="29" t="inlineStr">
        <is>
          <t>Directeur des Etudes</t>
        </is>
      </c>
      <c r="L132" s="30" t="inlineStr">
        <is>
          <t>Haute</t>
        </is>
      </c>
      <c r="M132" s="29" t="inlineStr">
        <is>
          <t>MESRS - liste officielle grandes ecoles</t>
        </is>
      </c>
      <c r="N132" s="29" t="inlineStr">
        <is>
          <t>domaine propre</t>
        </is>
      </c>
      <c r="O132" s="14" t="inlineStr">
        <is>
          <t>a verifier</t>
        </is>
      </c>
      <c r="P132" s="29" t="inlineStr">
        <is>
          <t>commerce</t>
        </is>
      </c>
    </row>
    <row r="133">
      <c r="A133" s="29" t="inlineStr">
        <is>
          <t>INSTITUT CERCO ABIDJAN (CERCO CI)</t>
        </is>
      </c>
      <c r="B133" s="29" t="inlineStr">
        <is>
          <t>Grande ecole BTS - assistanat de direction, agriculture tropicale, finances comptabilite</t>
        </is>
      </c>
      <c r="C133" s="29" t="inlineStr">
        <is>
          <t>Prive</t>
        </is>
      </c>
      <c r="D133" s="29" t="inlineStr">
        <is>
          <t>Abidjan - Cocody</t>
        </is>
      </c>
      <c r="E133" s="29" t="inlineStr">
        <is>
          <t>2 plateaux Vallon Juste à côté de l'église Ste Cécile</t>
        </is>
      </c>
      <c r="F133" s="29" t="inlineStr">
        <is>
          <t>+225 05 46 55 17 52</t>
        </is>
      </c>
      <c r="G133" s="29" t="inlineStr"/>
      <c r="H133" s="29" t="inlineStr">
        <is>
          <t>+225 05 46 55 17 52</t>
        </is>
      </c>
      <c r="I133" s="29" t="inlineStr">
        <is>
          <t>cercoci@groupecerco.com</t>
        </is>
      </c>
      <c r="J133" s="29" t="inlineStr">
        <is>
          <t>http://www.groupecerco.com</t>
        </is>
      </c>
      <c r="K133" s="29" t="inlineStr">
        <is>
          <t>Directeur des Etudes</t>
        </is>
      </c>
      <c r="L133" s="30" t="inlineStr">
        <is>
          <t>Haute</t>
        </is>
      </c>
      <c r="M133" s="29" t="inlineStr">
        <is>
          <t>MESRS - liste officielle grandes ecoles</t>
        </is>
      </c>
      <c r="N133" s="29" t="inlineStr">
        <is>
          <t>domaine propre</t>
        </is>
      </c>
      <c r="O133" s="14" t="inlineStr">
        <is>
          <t>a verifier</t>
        </is>
      </c>
      <c r="P133" s="29" t="inlineStr">
        <is>
          <t>commerce</t>
        </is>
      </c>
    </row>
    <row r="134">
      <c r="A134" s="29" t="inlineStr">
        <is>
          <t>INSTITUT D'ENSEIGNEMENT SUPERIEUR LE CAMPUS COCODY (IES-LE CAMPUS COCODY)</t>
        </is>
      </c>
      <c r="B134" s="29" t="inlineStr">
        <is>
          <t>Grande ecole BTS - assistanat de direction, electrotechnique, finances comptabilite</t>
        </is>
      </c>
      <c r="C134" s="29" t="inlineStr">
        <is>
          <t>Prive</t>
        </is>
      </c>
      <c r="D134" s="29" t="inlineStr">
        <is>
          <t>Abidjan - Cocody</t>
        </is>
      </c>
      <c r="E134" s="29" t="inlineStr">
        <is>
          <t>Riviera Bonoumin, Abrit 2000 Emeraude 4, carrefour Top Pain à 30 mètres de la pharmacie Sainte Agnès et à 200 mètres du Rond-point ADO</t>
        </is>
      </c>
      <c r="F134" s="29" t="inlineStr">
        <is>
          <t>+225 07 04 26 33 74</t>
        </is>
      </c>
      <c r="G134" s="29" t="inlineStr">
        <is>
          <t>+225 07 57 92 04 98</t>
        </is>
      </c>
      <c r="H134" s="29" t="inlineStr">
        <is>
          <t>+225 07 04 26 33 74</t>
        </is>
      </c>
      <c r="I134" s="29" t="inlineStr"/>
      <c r="J134" s="29" t="inlineStr"/>
      <c r="K134" s="29" t="inlineStr">
        <is>
          <t>Directeur des Etudes</t>
        </is>
      </c>
      <c r="L134" s="30" t="inlineStr">
        <is>
          <t>Haute</t>
        </is>
      </c>
      <c r="M134" s="29" t="inlineStr">
        <is>
          <t>MESRS - liste officielle grandes ecoles</t>
        </is>
      </c>
      <c r="N134" s="29" t="inlineStr"/>
      <c r="O134" s="31" t="inlineStr">
        <is>
          <t>sans email</t>
        </is>
      </c>
      <c r="P134" s="29" t="inlineStr">
        <is>
          <t>commerce</t>
        </is>
      </c>
    </row>
    <row r="135">
      <c r="A135" s="29" t="inlineStr">
        <is>
          <t>INSTITUT D'ETUDES SUPERIEURES D4ABIDJAN (IESA)</t>
        </is>
      </c>
      <c r="B135" s="29" t="inlineStr">
        <is>
          <t>Grande ecole BTS - assistanat de direction, electrotechnique, finances comptabilite</t>
        </is>
      </c>
      <c r="C135" s="29" t="inlineStr">
        <is>
          <t>Prive</t>
        </is>
      </c>
      <c r="D135" s="29" t="inlineStr">
        <is>
          <t>Abidjan - Cocody</t>
        </is>
      </c>
      <c r="E135" s="29" t="inlineStr"/>
      <c r="F135" s="29" t="inlineStr">
        <is>
          <t>+225 07 07 85 14 14</t>
        </is>
      </c>
      <c r="G135" s="29" t="inlineStr">
        <is>
          <t>+225 07 07 05 41 58</t>
        </is>
      </c>
      <c r="H135" s="29" t="inlineStr">
        <is>
          <t>+225 07 07 85 14 14</t>
        </is>
      </c>
      <c r="I135" s="29" t="inlineStr"/>
      <c r="J135" s="29" t="inlineStr"/>
      <c r="K135" s="29" t="inlineStr">
        <is>
          <t>Directeur des Etudes</t>
        </is>
      </c>
      <c r="L135" s="30" t="inlineStr">
        <is>
          <t>Haute</t>
        </is>
      </c>
      <c r="M135" s="29" t="inlineStr">
        <is>
          <t>MESRS - liste officielle grandes ecoles</t>
        </is>
      </c>
      <c r="N135" s="29" t="inlineStr"/>
      <c r="O135" s="31" t="inlineStr">
        <is>
          <t>sans email</t>
        </is>
      </c>
      <c r="P135" s="29" t="inlineStr">
        <is>
          <t>commerce</t>
        </is>
      </c>
    </row>
    <row r="136">
      <c r="A136" s="29" t="inlineStr">
        <is>
          <t>INSTITUT DE FORMATION SAINTE MARIE ANGRE (IFSM ANGRE)</t>
        </is>
      </c>
      <c r="B136" s="29" t="inlineStr">
        <is>
          <t>Grande ecole BTS - assistanat de direction, communication visuelle, finances comptabilite</t>
        </is>
      </c>
      <c r="C136" s="29" t="inlineStr">
        <is>
          <t>Prive</t>
        </is>
      </c>
      <c r="D136" s="29" t="inlineStr">
        <is>
          <t>Abidjan - Cocody</t>
        </is>
      </c>
      <c r="E136" s="29" t="inlineStr">
        <is>
          <t>ANGRE 22e route Mahou Juste après le Lycée Mahou</t>
        </is>
      </c>
      <c r="F136" s="29" t="inlineStr">
        <is>
          <t>+225 25 22 01 40 22</t>
        </is>
      </c>
      <c r="G136" s="29" t="inlineStr">
        <is>
          <t>+225 05 94 55 09 17</t>
        </is>
      </c>
      <c r="H136" s="29" t="inlineStr">
        <is>
          <t>+225 05 94 55 09 17</t>
        </is>
      </c>
      <c r="I136" s="29" t="inlineStr">
        <is>
          <t>angreifsm@yahoo.com</t>
        </is>
      </c>
      <c r="J136" s="29" t="inlineStr">
        <is>
          <t>https://www.ifsm.ci</t>
        </is>
      </c>
      <c r="K136" s="29" t="inlineStr">
        <is>
          <t>Directeur des Etudes</t>
        </is>
      </c>
      <c r="L136" s="30" t="inlineStr">
        <is>
          <t>Haute</t>
        </is>
      </c>
      <c r="M136" s="29" t="inlineStr">
        <is>
          <t>MESRS - liste officielle grandes ecoles</t>
        </is>
      </c>
      <c r="N136" s="29" t="inlineStr">
        <is>
          <t>gratuite</t>
        </is>
      </c>
      <c r="O136" s="14" t="inlineStr">
        <is>
          <t>a verifier</t>
        </is>
      </c>
      <c r="P136" s="29" t="inlineStr">
        <is>
          <t>commerce</t>
        </is>
      </c>
    </row>
    <row r="137">
      <c r="A137" s="29" t="inlineStr">
        <is>
          <t>INSTITUT DE FORMATION SAINTE MARIE COCODY (IFSM COCODY CHU)</t>
        </is>
      </c>
      <c r="B137" s="29" t="inlineStr">
        <is>
          <t>Grande ecole BTS - moteur, agriculture tropicale, electrotechnique</t>
        </is>
      </c>
      <c r="C137" s="29" t="inlineStr">
        <is>
          <t>Prive</t>
        </is>
      </c>
      <c r="D137" s="29" t="inlineStr">
        <is>
          <t>Abidjan - Cocody</t>
        </is>
      </c>
      <c r="E137" s="29" t="inlineStr">
        <is>
          <t>Cocody CHU derrière l'INSAAC</t>
        </is>
      </c>
      <c r="F137" s="29" t="inlineStr"/>
      <c r="G137" s="29" t="inlineStr"/>
      <c r="H137" s="29" t="inlineStr"/>
      <c r="I137" s="29" t="inlineStr"/>
      <c r="J137" s="29" t="inlineStr"/>
      <c r="K137" s="29" t="inlineStr">
        <is>
          <t>Directeur des Etudes</t>
        </is>
      </c>
      <c r="L137" s="30" t="inlineStr">
        <is>
          <t>Haute</t>
        </is>
      </c>
      <c r="M137" s="29" t="inlineStr">
        <is>
          <t>MESRS - liste officielle grandes ecoles</t>
        </is>
      </c>
      <c r="N137" s="29" t="inlineStr"/>
      <c r="O137" s="31" t="inlineStr">
        <is>
          <t>sans email</t>
        </is>
      </c>
      <c r="P137" s="29" t="inlineStr">
        <is>
          <t>commerce</t>
        </is>
      </c>
    </row>
    <row r="138">
      <c r="A138" s="29" t="inlineStr">
        <is>
          <t>INSTITUT DE FORMATION SAINTE MARIE COCODY (IFSM COCODY)</t>
        </is>
      </c>
      <c r="B138" s="29" t="inlineStr">
        <is>
          <t>Grande ecole BTS - assistanat de direction, agriculture tropicale, communication visuelle</t>
        </is>
      </c>
      <c r="C138" s="29" t="inlineStr">
        <is>
          <t>Prive</t>
        </is>
      </c>
      <c r="D138" s="29" t="inlineStr">
        <is>
          <t>Abidjan - Cocody</t>
        </is>
      </c>
      <c r="E138" s="29" t="inlineStr">
        <is>
          <t>COCODY Cité des Arts Boulevard Latrille entre la RTI et le Carrefour la Vie</t>
        </is>
      </c>
      <c r="F138" s="29" t="inlineStr">
        <is>
          <t>+225 25 22 01 94 58</t>
        </is>
      </c>
      <c r="G138" s="29" t="inlineStr">
        <is>
          <t>+225 05 94 55 09 17</t>
        </is>
      </c>
      <c r="H138" s="29" t="inlineStr">
        <is>
          <t>+225 05 94 55 09 17</t>
        </is>
      </c>
      <c r="I138" s="29" t="inlineStr">
        <is>
          <t>ifsmcocody@yahoo.fr</t>
        </is>
      </c>
      <c r="J138" s="29" t="inlineStr">
        <is>
          <t>http://www.ifsm.ci</t>
        </is>
      </c>
      <c r="K138" s="29" t="inlineStr">
        <is>
          <t>Directeur des Etudes</t>
        </is>
      </c>
      <c r="L138" s="30" t="inlineStr">
        <is>
          <t>Haute</t>
        </is>
      </c>
      <c r="M138" s="29" t="inlineStr">
        <is>
          <t>MESRS - liste officielle grandes ecoles</t>
        </is>
      </c>
      <c r="N138" s="29" t="inlineStr">
        <is>
          <t>gratuite</t>
        </is>
      </c>
      <c r="O138" s="14" t="inlineStr">
        <is>
          <t>a verifier</t>
        </is>
      </c>
      <c r="P138" s="29" t="inlineStr">
        <is>
          <t>commerce</t>
        </is>
      </c>
    </row>
    <row r="139">
      <c r="A139" s="29" t="inlineStr">
        <is>
          <t>INSTITUT DE FORMATIONS PROFESSIONNELLES KADI'S RAOUDA (IFP KADI'S RAOUDA)</t>
        </is>
      </c>
      <c r="B139" s="29" t="inlineStr">
        <is>
          <t>Grande ecole BTS/Licence - finances comptabilite, genie civil, gestion commerciale</t>
        </is>
      </c>
      <c r="C139" s="29" t="inlineStr">
        <is>
          <t>Prive</t>
        </is>
      </c>
      <c r="D139" s="29" t="inlineStr">
        <is>
          <t>Abidjan - Cocody</t>
        </is>
      </c>
      <c r="E139" s="29" t="inlineStr">
        <is>
          <t>RIVIERA PALMERAIE, PHARMACIE SAINT VIATEUR, SIPIM 4, CITE ECOBANK</t>
        </is>
      </c>
      <c r="F139" s="29" t="inlineStr">
        <is>
          <t>+225 01 01 14 35 20</t>
        </is>
      </c>
      <c r="G139" s="29" t="inlineStr">
        <is>
          <t>+225 07 49 53 20 02</t>
        </is>
      </c>
      <c r="H139" s="29" t="inlineStr">
        <is>
          <t>+225 01 01 14 35 20</t>
        </is>
      </c>
      <c r="I139" s="29" t="inlineStr">
        <is>
          <t>kadisraouda@yahoo.com</t>
        </is>
      </c>
      <c r="J139" s="29" t="inlineStr">
        <is>
          <t>https://www.kadisraouda.com</t>
        </is>
      </c>
      <c r="K139" s="29" t="inlineStr">
        <is>
          <t>Directeur des Etudes</t>
        </is>
      </c>
      <c r="L139" s="30" t="inlineStr">
        <is>
          <t>Haute</t>
        </is>
      </c>
      <c r="M139" s="29" t="inlineStr">
        <is>
          <t>MESRS - liste officielle grandes ecoles</t>
        </is>
      </c>
      <c r="N139" s="29" t="inlineStr">
        <is>
          <t>gratuite</t>
        </is>
      </c>
      <c r="O139" s="14" t="inlineStr">
        <is>
          <t>a verifier</t>
        </is>
      </c>
      <c r="P139" s="29" t="inlineStr">
        <is>
          <t>commerce</t>
        </is>
      </c>
    </row>
    <row r="140">
      <c r="A140" s="29" t="inlineStr">
        <is>
          <t>INSTITUT DE MANAGEMENT ET DES ETUDES D'ADMINISTRATION (IMEA) COCODY</t>
        </is>
      </c>
      <c r="B140" s="29" t="inlineStr">
        <is>
          <t>Grande ecole BTS - assistanat de direction, agriculture tropicale, electrotechnique</t>
        </is>
      </c>
      <c r="C140" s="29" t="inlineStr">
        <is>
          <t>Prive</t>
        </is>
      </c>
      <c r="D140" s="29" t="inlineStr">
        <is>
          <t>Abidjan - Cocody</t>
        </is>
      </c>
      <c r="E140" s="29" t="inlineStr">
        <is>
          <t>ABATTA CARREFOUR DROGBA, A 30 MN DU GOUDRON</t>
        </is>
      </c>
      <c r="F140" s="29" t="inlineStr">
        <is>
          <t>+225 07 79 24 05 91</t>
        </is>
      </c>
      <c r="G140" s="29" t="inlineStr">
        <is>
          <t>+225 07 49 55 03 83</t>
        </is>
      </c>
      <c r="H140" s="29" t="inlineStr">
        <is>
          <t>+225 07 79 24 05 91</t>
        </is>
      </c>
      <c r="I140" s="29" t="inlineStr">
        <is>
          <t>infos@imea.ci</t>
        </is>
      </c>
      <c r="J140" s="29" t="inlineStr">
        <is>
          <t>https://imea.ci</t>
        </is>
      </c>
      <c r="K140" s="29" t="inlineStr">
        <is>
          <t>Directeur des Etudes</t>
        </is>
      </c>
      <c r="L140" s="30" t="inlineStr">
        <is>
          <t>Haute</t>
        </is>
      </c>
      <c r="M140" s="29" t="inlineStr">
        <is>
          <t>MESRS - liste officielle grandes ecoles</t>
        </is>
      </c>
      <c r="N140" s="29" t="inlineStr">
        <is>
          <t>domaine propre</t>
        </is>
      </c>
      <c r="O140" s="14" t="inlineStr">
        <is>
          <t>a verifier</t>
        </is>
      </c>
      <c r="P140" s="29" t="inlineStr">
        <is>
          <t>commerce</t>
        </is>
      </c>
    </row>
    <row r="141">
      <c r="A141" s="29" t="inlineStr">
        <is>
          <t>INSTITUT DE SPECIALITES ET DE CLASSES PREPARATOIRES - INSCP</t>
        </is>
      </c>
      <c r="B141" s="29" t="inlineStr">
        <is>
          <t>Grande ecole BTS - electrotechnique, finances comptabilite, gestion commerciale</t>
        </is>
      </c>
      <c r="C141" s="29" t="inlineStr">
        <is>
          <t>Prive</t>
        </is>
      </c>
      <c r="D141" s="29" t="inlineStr">
        <is>
          <t>Abidjan - Cocody</t>
        </is>
      </c>
      <c r="E141" s="29" t="inlineStr">
        <is>
          <t>Cocody II Pltx Les Perles – Commandant Sanon</t>
        </is>
      </c>
      <c r="F141" s="29" t="inlineStr">
        <is>
          <t>+225 25 22 02 88 00</t>
        </is>
      </c>
      <c r="G141" s="29" t="inlineStr"/>
      <c r="H141" s="29" t="inlineStr"/>
      <c r="I141" s="29" t="inlineStr">
        <is>
          <t>service.inscp@gmail.com</t>
        </is>
      </c>
      <c r="J141" s="29" t="inlineStr">
        <is>
          <t>http://www.inscp.net/</t>
        </is>
      </c>
      <c r="K141" s="29" t="inlineStr">
        <is>
          <t>Directeur des Etudes</t>
        </is>
      </c>
      <c r="L141" s="30" t="inlineStr">
        <is>
          <t>Haute</t>
        </is>
      </c>
      <c r="M141" s="29" t="inlineStr">
        <is>
          <t>MESRS - liste officielle grandes ecoles</t>
        </is>
      </c>
      <c r="N141" s="29" t="inlineStr">
        <is>
          <t>gratuite</t>
        </is>
      </c>
      <c r="O141" s="14" t="inlineStr">
        <is>
          <t>a verifier</t>
        </is>
      </c>
      <c r="P141" s="29" t="inlineStr">
        <is>
          <t>commerce</t>
        </is>
      </c>
    </row>
    <row r="142">
      <c r="A142" s="29" t="inlineStr">
        <is>
          <t>INSTITUT DE TECHNOLOGIES ET SPECIALITES</t>
        </is>
      </c>
      <c r="B142" s="29" t="inlineStr">
        <is>
          <t>Grande ecole BTS/Licence - assistanat de direction, electrotechnique, finances comptabilite</t>
        </is>
      </c>
      <c r="C142" s="29" t="inlineStr">
        <is>
          <t>Prive</t>
        </is>
      </c>
      <c r="D142" s="29" t="inlineStr">
        <is>
          <t>Abidjan - Cocody</t>
        </is>
      </c>
      <c r="E142" s="29" t="inlineStr">
        <is>
          <t>2 PLATEAUX LES PERLES,COMMANDANT SANON</t>
        </is>
      </c>
      <c r="F142" s="29" t="inlineStr">
        <is>
          <t>+225 27 22 52 20 84</t>
        </is>
      </c>
      <c r="G142" s="29" t="inlineStr"/>
      <c r="H142" s="29" t="inlineStr"/>
      <c r="I142" s="29" t="inlineStr">
        <is>
          <t>groupeites@gmail.com</t>
        </is>
      </c>
      <c r="J142" s="29" t="inlineStr">
        <is>
          <t>http://www.ites.ci</t>
        </is>
      </c>
      <c r="K142" s="29" t="inlineStr">
        <is>
          <t>Directeur des Etudes</t>
        </is>
      </c>
      <c r="L142" s="30" t="inlineStr">
        <is>
          <t>Haute</t>
        </is>
      </c>
      <c r="M142" s="29" t="inlineStr">
        <is>
          <t>MESRS - liste officielle grandes ecoles</t>
        </is>
      </c>
      <c r="N142" s="29" t="inlineStr">
        <is>
          <t>gratuite</t>
        </is>
      </c>
      <c r="O142" s="14" t="inlineStr">
        <is>
          <t>a verifier</t>
        </is>
      </c>
      <c r="P142" s="29" t="inlineStr">
        <is>
          <t>numerique</t>
        </is>
      </c>
    </row>
    <row r="143">
      <c r="A143" s="29" t="inlineStr">
        <is>
          <t>INSTITUT DES HAUTES ETUDES COMMERCIALES D'ABIDJAN (IHEC ABIDJAN)</t>
        </is>
      </c>
      <c r="B143" s="29" t="inlineStr">
        <is>
          <t>Grande ecole BTS/Licence - assistanat de direction, electrotechnique, finances comptabilite</t>
        </is>
      </c>
      <c r="C143" s="29" t="inlineStr">
        <is>
          <t>Prive</t>
        </is>
      </c>
      <c r="D143" s="29" t="inlineStr">
        <is>
          <t>Abidjan - Cocody</t>
        </is>
      </c>
      <c r="E143" s="29" t="inlineStr"/>
      <c r="F143" s="29" t="inlineStr">
        <is>
          <t>+225 07 59 25 03 14</t>
        </is>
      </c>
      <c r="G143" s="29" t="inlineStr">
        <is>
          <t>+225 07 08 77 08 27</t>
        </is>
      </c>
      <c r="H143" s="29" t="inlineStr">
        <is>
          <t>+225 07 59 25 03 14</t>
        </is>
      </c>
      <c r="I143" s="29" t="inlineStr">
        <is>
          <t>elogneba@yahoo.fr</t>
        </is>
      </c>
      <c r="J143" s="29" t="inlineStr"/>
      <c r="K143" s="29" t="inlineStr">
        <is>
          <t>Directeur des Etudes</t>
        </is>
      </c>
      <c r="L143" s="30" t="inlineStr">
        <is>
          <t>Haute</t>
        </is>
      </c>
      <c r="M143" s="29" t="inlineStr">
        <is>
          <t>MESRS - liste officielle grandes ecoles</t>
        </is>
      </c>
      <c r="N143" s="29" t="inlineStr">
        <is>
          <t>gratuite</t>
        </is>
      </c>
      <c r="O143" s="14" t="inlineStr">
        <is>
          <t>a verifier</t>
        </is>
      </c>
      <c r="P143" s="29" t="inlineStr">
        <is>
          <t>commerce</t>
        </is>
      </c>
    </row>
    <row r="144">
      <c r="A144" s="29" t="inlineStr">
        <is>
          <t>INSTITUT DES HAUTES ETUDES PROFESSIONNELLES AFRIQUE (IHEP AFRIQUE)</t>
        </is>
      </c>
      <c r="B144" s="29" t="inlineStr">
        <is>
          <t>Grande ecole BTS - communication visuelle, finances comptabilite, gestion commerciale</t>
        </is>
      </c>
      <c r="C144" s="29" t="inlineStr">
        <is>
          <t>Prive</t>
        </is>
      </c>
      <c r="D144" s="29" t="inlineStr">
        <is>
          <t>Abidjan - Cocody</t>
        </is>
      </c>
      <c r="E144" s="29" t="inlineStr">
        <is>
          <t>Abidjan, Cocody II Plateau 7e tranche, Rue L84 non loin du Autorité Nationale de la Presse</t>
        </is>
      </c>
      <c r="F144" s="29" t="inlineStr"/>
      <c r="G144" s="29" t="inlineStr"/>
      <c r="H144" s="29" t="inlineStr"/>
      <c r="I144" s="29" t="inlineStr">
        <is>
          <t>contact@ihepafrique.com</t>
        </is>
      </c>
      <c r="J144" s="29" t="inlineStr">
        <is>
          <t>https://www.ihepinstitut.com</t>
        </is>
      </c>
      <c r="K144" s="29" t="inlineStr">
        <is>
          <t>Directeur des Etudes</t>
        </is>
      </c>
      <c r="L144" s="30" t="inlineStr">
        <is>
          <t>Haute</t>
        </is>
      </c>
      <c r="M144" s="29" t="inlineStr">
        <is>
          <t>MESRS - liste officielle grandes ecoles</t>
        </is>
      </c>
      <c r="N144" s="29" t="inlineStr">
        <is>
          <t>domaine propre</t>
        </is>
      </c>
      <c r="O144" s="14" t="inlineStr">
        <is>
          <t>a verifier</t>
        </is>
      </c>
      <c r="P144" s="29" t="inlineStr">
        <is>
          <t>commerce</t>
        </is>
      </c>
    </row>
    <row r="145">
      <c r="A145" s="29" t="inlineStr">
        <is>
          <t>INSTITUT DES HAUTES ETUDES SUPERIEURES AVICENNE (IHES AVICENNE)</t>
        </is>
      </c>
      <c r="B145" s="29" t="inlineStr">
        <is>
          <t>Grande ecole BTS - electrotechnique, finances comptabilite, gestion commerciale</t>
        </is>
      </c>
      <c r="C145" s="29" t="inlineStr">
        <is>
          <t>Prive</t>
        </is>
      </c>
      <c r="D145" s="29" t="inlineStr">
        <is>
          <t>Abidjan - Cocody</t>
        </is>
      </c>
      <c r="E145" s="29" t="inlineStr">
        <is>
          <t>COCODY RIVIERA PALMERAIE</t>
        </is>
      </c>
      <c r="F145" s="29" t="inlineStr">
        <is>
          <t>+225 27 22 49 27 54</t>
        </is>
      </c>
      <c r="G145" s="29" t="inlineStr"/>
      <c r="H145" s="29" t="inlineStr"/>
      <c r="I145" s="29" t="inlineStr">
        <is>
          <t>gsavicenne@gmail.com</t>
        </is>
      </c>
      <c r="J145" s="29" t="inlineStr">
        <is>
          <t>https://groupescolaireavicenne.com</t>
        </is>
      </c>
      <c r="K145" s="29" t="inlineStr">
        <is>
          <t>Directeur des Etudes</t>
        </is>
      </c>
      <c r="L145" s="30" t="inlineStr">
        <is>
          <t>Haute</t>
        </is>
      </c>
      <c r="M145" s="29" t="inlineStr">
        <is>
          <t>MESRS - liste officielle grandes ecoles</t>
        </is>
      </c>
      <c r="N145" s="29" t="inlineStr">
        <is>
          <t>gratuite</t>
        </is>
      </c>
      <c r="O145" s="14" t="inlineStr">
        <is>
          <t>a verifier</t>
        </is>
      </c>
      <c r="P145" s="29" t="inlineStr">
        <is>
          <t>commerce</t>
        </is>
      </c>
    </row>
    <row r="146">
      <c r="A146" s="29" t="inlineStr">
        <is>
          <t>INSTITUT DES SCIENCES ET INGENIERIES DE DEVELOPPEMENT (ISID)</t>
        </is>
      </c>
      <c r="B146" s="29" t="inlineStr">
        <is>
          <t>Grande ecole BTS - agriculture tropicale, finances comptabilite, genie civil</t>
        </is>
      </c>
      <c r="C146" s="29" t="inlineStr">
        <is>
          <t>Prive</t>
        </is>
      </c>
      <c r="D146" s="29" t="inlineStr">
        <is>
          <t>Abidjan - Cocody</t>
        </is>
      </c>
      <c r="E146" s="29" t="inlineStr">
        <is>
          <t>Cocody Angré 8ème Tranche, Cité Soleil 3, près du carrefour Prière.</t>
        </is>
      </c>
      <c r="F146" s="29" t="inlineStr">
        <is>
          <t>+225 27 22 21 26 72</t>
        </is>
      </c>
      <c r="G146" s="29" t="inlineStr">
        <is>
          <t>+225 05 04 32 30 64</t>
        </is>
      </c>
      <c r="H146" s="29" t="inlineStr">
        <is>
          <t>+225 05 04 32 30 64</t>
        </is>
      </c>
      <c r="I146" s="29" t="inlineStr">
        <is>
          <t>koodal.isid@gmail.com</t>
        </is>
      </c>
      <c r="J146" s="29" t="inlineStr">
        <is>
          <t>https://www.isidci.com</t>
        </is>
      </c>
      <c r="K146" s="29" t="inlineStr">
        <is>
          <t>Directeur des Etudes</t>
        </is>
      </c>
      <c r="L146" s="30" t="inlineStr">
        <is>
          <t>Haute</t>
        </is>
      </c>
      <c r="M146" s="29" t="inlineStr">
        <is>
          <t>MESRS - liste officielle grandes ecoles</t>
        </is>
      </c>
      <c r="N146" s="29" t="inlineStr">
        <is>
          <t>gratuite</t>
        </is>
      </c>
      <c r="O146" s="14" t="inlineStr">
        <is>
          <t>a verifier</t>
        </is>
      </c>
      <c r="P146" s="29" t="inlineStr">
        <is>
          <t>commerce</t>
        </is>
      </c>
    </row>
    <row r="147">
      <c r="A147" s="29" t="inlineStr">
        <is>
          <t>INSTITUT FAMAH ANGRE (IF ANGRE)</t>
        </is>
      </c>
      <c r="B147" s="29" t="inlineStr">
        <is>
          <t>Grande ecole BTS - assistanat de direction, agriculture tropicale, communication visuelle</t>
        </is>
      </c>
      <c r="C147" s="29" t="inlineStr">
        <is>
          <t>Prive</t>
        </is>
      </c>
      <c r="D147" s="29" t="inlineStr">
        <is>
          <t>Abidjan - Cocody</t>
        </is>
      </c>
      <c r="E147" s="29" t="inlineStr">
        <is>
          <t>Cocody Angré non loin du 22eme Arrondissement</t>
        </is>
      </c>
      <c r="F147" s="29" t="inlineStr">
        <is>
          <t>+225 07 77 39 33 71</t>
        </is>
      </c>
      <c r="G147" s="29" t="inlineStr">
        <is>
          <t>+225 07 08 76 08 08</t>
        </is>
      </c>
      <c r="H147" s="29" t="inlineStr">
        <is>
          <t>+225 07 77 39 33 71</t>
        </is>
      </c>
      <c r="I147" s="29" t="inlineStr">
        <is>
          <t>josiasfodio256@gmail.com</t>
        </is>
      </c>
      <c r="J147" s="29" t="inlineStr">
        <is>
          <t>https://www.uns-if.ci</t>
        </is>
      </c>
      <c r="K147" s="29" t="inlineStr">
        <is>
          <t>Directeur des Etudes</t>
        </is>
      </c>
      <c r="L147" s="30" t="inlineStr">
        <is>
          <t>Haute</t>
        </is>
      </c>
      <c r="M147" s="29" t="inlineStr">
        <is>
          <t>MESRS - liste officielle grandes ecoles</t>
        </is>
      </c>
      <c r="N147" s="29" t="inlineStr">
        <is>
          <t>gratuite</t>
        </is>
      </c>
      <c r="O147" s="14" t="inlineStr">
        <is>
          <t>a verifier</t>
        </is>
      </c>
      <c r="P147" s="29" t="inlineStr">
        <is>
          <t>commerce</t>
        </is>
      </c>
    </row>
    <row r="148">
      <c r="A148" s="29" t="inlineStr">
        <is>
          <t>INSTITUT FAMAH BONOUMIN (IF BONOUMIN)</t>
        </is>
      </c>
      <c r="B148" s="29" t="inlineStr">
        <is>
          <t>Grande ecole BTS - assistanat de direction, agriculture tropicale, communication visuelle</t>
        </is>
      </c>
      <c r="C148" s="29" t="inlineStr">
        <is>
          <t>Prive</t>
        </is>
      </c>
      <c r="D148" s="29" t="inlineStr">
        <is>
          <t>Abidjan - Cocody</t>
        </is>
      </c>
      <c r="E148" s="29" t="inlineStr">
        <is>
          <t>Bonoumin riviera2 derrière le nouveau siège de la CAF.</t>
        </is>
      </c>
      <c r="F148" s="29" t="inlineStr">
        <is>
          <t>+225 07 09 64 43 25</t>
        </is>
      </c>
      <c r="G148" s="29" t="inlineStr"/>
      <c r="H148" s="29" t="inlineStr">
        <is>
          <t>+225 07 09 64 43 25</t>
        </is>
      </c>
      <c r="I148" s="29" t="inlineStr">
        <is>
          <t>ursystaline@gmail.com</t>
        </is>
      </c>
      <c r="J148" s="29" t="inlineStr">
        <is>
          <t>https://www.uns-if.ci</t>
        </is>
      </c>
      <c r="K148" s="29" t="inlineStr">
        <is>
          <t>Directeur des Etudes</t>
        </is>
      </c>
      <c r="L148" s="30" t="inlineStr">
        <is>
          <t>Haute</t>
        </is>
      </c>
      <c r="M148" s="29" t="inlineStr">
        <is>
          <t>MESRS - liste officielle grandes ecoles</t>
        </is>
      </c>
      <c r="N148" s="29" t="inlineStr">
        <is>
          <t>gratuite</t>
        </is>
      </c>
      <c r="O148" s="14" t="inlineStr">
        <is>
          <t>a verifier</t>
        </is>
      </c>
      <c r="P148" s="29" t="inlineStr">
        <is>
          <t>commerce</t>
        </is>
      </c>
    </row>
    <row r="149">
      <c r="A149" s="29" t="inlineStr">
        <is>
          <t>INSTITUT FAMAH COCODY VALLON (IF COCODY VALLON)</t>
        </is>
      </c>
      <c r="B149" s="29" t="inlineStr">
        <is>
          <t>Grande ecole BTS - assistanat de direction, agriculture tropicale, communication visuelle</t>
        </is>
      </c>
      <c r="C149" s="29" t="inlineStr">
        <is>
          <t>Prive</t>
        </is>
      </c>
      <c r="D149" s="29" t="inlineStr">
        <is>
          <t>Abidjan - Cocody</t>
        </is>
      </c>
      <c r="E149" s="29" t="inlineStr">
        <is>
          <t>Cocody Valon , rue des jardins</t>
        </is>
      </c>
      <c r="F149" s="29" t="inlineStr">
        <is>
          <t>+225 07 08 18 85 31</t>
        </is>
      </c>
      <c r="G149" s="29" t="inlineStr">
        <is>
          <t>+225 07 89 29 19 25</t>
        </is>
      </c>
      <c r="H149" s="29" t="inlineStr">
        <is>
          <t>+225 07 08 18 85 31</t>
        </is>
      </c>
      <c r="I149" s="29" t="inlineStr">
        <is>
          <t>bambayaya1431@gmail.com</t>
        </is>
      </c>
      <c r="J149" s="29" t="inlineStr">
        <is>
          <t>https://www.uns-if.ci</t>
        </is>
      </c>
      <c r="K149" s="29" t="inlineStr">
        <is>
          <t>Directeur des Etudes</t>
        </is>
      </c>
      <c r="L149" s="30" t="inlineStr">
        <is>
          <t>Haute</t>
        </is>
      </c>
      <c r="M149" s="29" t="inlineStr">
        <is>
          <t>MESRS - liste officielle grandes ecoles</t>
        </is>
      </c>
      <c r="N149" s="29" t="inlineStr">
        <is>
          <t>gratuite</t>
        </is>
      </c>
      <c r="O149" s="14" t="inlineStr">
        <is>
          <t>a verifier</t>
        </is>
      </c>
      <c r="P149" s="29" t="inlineStr">
        <is>
          <t>commerce</t>
        </is>
      </c>
    </row>
    <row r="150">
      <c r="A150" s="29" t="inlineStr">
        <is>
          <t>INSTITUT FAMAH RIVIERA ATTOBAN (IF ATTOBAN)</t>
        </is>
      </c>
      <c r="B150" s="29" t="inlineStr">
        <is>
          <t>Grande ecole BTS - assistanat de direction, agriculture tropicale, communication visuelle</t>
        </is>
      </c>
      <c r="C150" s="29" t="inlineStr">
        <is>
          <t>Prive</t>
        </is>
      </c>
      <c r="D150" s="29" t="inlineStr">
        <is>
          <t>Abidjan - Cocody</t>
        </is>
      </c>
      <c r="E150" s="29" t="inlineStr">
        <is>
          <t>Riviera Attoban à 200m du commissariat du 30e Arrondissement</t>
        </is>
      </c>
      <c r="F150" s="29" t="inlineStr">
        <is>
          <t>+225 07 09 64 43 25</t>
        </is>
      </c>
      <c r="G150" s="29" t="inlineStr"/>
      <c r="H150" s="29" t="inlineStr">
        <is>
          <t>+225 07 09 64 43 25</t>
        </is>
      </c>
      <c r="I150" s="29" t="inlineStr">
        <is>
          <t>ursystaline@gmail.com</t>
        </is>
      </c>
      <c r="J150" s="29" t="inlineStr">
        <is>
          <t>https://www.uns-if.ci</t>
        </is>
      </c>
      <c r="K150" s="29" t="inlineStr">
        <is>
          <t>Directeur des Etudes</t>
        </is>
      </c>
      <c r="L150" s="30" t="inlineStr">
        <is>
          <t>Haute</t>
        </is>
      </c>
      <c r="M150" s="29" t="inlineStr">
        <is>
          <t>MESRS - liste officielle grandes ecoles</t>
        </is>
      </c>
      <c r="N150" s="29" t="inlineStr">
        <is>
          <t>gratuite</t>
        </is>
      </c>
      <c r="O150" s="14" t="inlineStr">
        <is>
          <t>a verifier</t>
        </is>
      </c>
      <c r="P150" s="29" t="inlineStr">
        <is>
          <t>commerce</t>
        </is>
      </c>
    </row>
    <row r="151">
      <c r="A151" s="29" t="inlineStr">
        <is>
          <t>INSTITUT IMPERIAL (2I)</t>
        </is>
      </c>
      <c r="B151" s="29" t="inlineStr">
        <is>
          <t>Grande ecole BTS - assistanat de direction, agriculture tropicale, finances comptabilite</t>
        </is>
      </c>
      <c r="C151" s="29" t="inlineStr">
        <is>
          <t>Prive</t>
        </is>
      </c>
      <c r="D151" s="29" t="inlineStr">
        <is>
          <t>Abidjan - Cocody</t>
        </is>
      </c>
      <c r="E151" s="29" t="inlineStr">
        <is>
          <t>COCODY ANGRE AMBASSADE DE CHINE</t>
        </is>
      </c>
      <c r="F151" s="29" t="inlineStr">
        <is>
          <t>+225 27 22 42 01 38</t>
        </is>
      </c>
      <c r="G151" s="29" t="inlineStr"/>
      <c r="H151" s="29" t="inlineStr"/>
      <c r="I151" s="29" t="inlineStr">
        <is>
          <t>info@institut-imperial.com</t>
        </is>
      </c>
      <c r="J151" s="29" t="inlineStr"/>
      <c r="K151" s="29" t="inlineStr">
        <is>
          <t>Directeur des Etudes</t>
        </is>
      </c>
      <c r="L151" s="30" t="inlineStr">
        <is>
          <t>Haute</t>
        </is>
      </c>
      <c r="M151" s="29" t="inlineStr">
        <is>
          <t>MESRS - liste officielle grandes ecoles</t>
        </is>
      </c>
      <c r="N151" s="29" t="inlineStr">
        <is>
          <t>domaine propre</t>
        </is>
      </c>
      <c r="O151" s="14" t="inlineStr">
        <is>
          <t>a verifier</t>
        </is>
      </c>
      <c r="P151" s="29" t="inlineStr">
        <is>
          <t>commerce</t>
        </is>
      </c>
    </row>
    <row r="152">
      <c r="A152" s="29" t="inlineStr">
        <is>
          <t>INSTITUT INTERNATIONAL D'ADMINISTRATION ET DE MANAGEMENT (2IAM)</t>
        </is>
      </c>
      <c r="B152" s="29" t="inlineStr">
        <is>
          <t>Grande ecole BTS - assistanat de direction, electrotechnique, finances comptabilite</t>
        </is>
      </c>
      <c r="C152" s="29" t="inlineStr">
        <is>
          <t>Prive</t>
        </is>
      </c>
      <c r="D152" s="29" t="inlineStr">
        <is>
          <t>Abidjan - Cocody</t>
        </is>
      </c>
      <c r="E152" s="29" t="inlineStr"/>
      <c r="F152" s="29" t="inlineStr"/>
      <c r="G152" s="29" t="inlineStr"/>
      <c r="H152" s="29" t="inlineStr"/>
      <c r="I152" s="29" t="inlineStr"/>
      <c r="J152" s="29" t="inlineStr"/>
      <c r="K152" s="29" t="inlineStr">
        <is>
          <t>Directeur des Etudes</t>
        </is>
      </c>
      <c r="L152" s="30" t="inlineStr">
        <is>
          <t>Haute</t>
        </is>
      </c>
      <c r="M152" s="29" t="inlineStr">
        <is>
          <t>MESRS - liste officielle grandes ecoles</t>
        </is>
      </c>
      <c r="N152" s="29" t="inlineStr"/>
      <c r="O152" s="31" t="inlineStr">
        <is>
          <t>sans email</t>
        </is>
      </c>
      <c r="P152" s="29" t="inlineStr">
        <is>
          <t>commerce</t>
        </is>
      </c>
    </row>
    <row r="153">
      <c r="A153" s="29" t="inlineStr">
        <is>
          <t>Institut International de Formation en Gestion et en Technologie (2IFGT) Cocody</t>
        </is>
      </c>
      <c r="B153" s="29" t="inlineStr">
        <is>
          <t>Grande ecole BTS - assistanat de direction, agriculture tropicale, carrieres juridiques</t>
        </is>
      </c>
      <c r="C153" s="29" t="inlineStr">
        <is>
          <t>Prive</t>
        </is>
      </c>
      <c r="D153" s="29" t="inlineStr">
        <is>
          <t>Abidjan - Cocody</t>
        </is>
      </c>
      <c r="E153" s="29" t="inlineStr">
        <is>
          <t>COCODY ANGRE PETRO IVOIRE APRES SOCOFRAIS</t>
        </is>
      </c>
      <c r="F153" s="29" t="inlineStr">
        <is>
          <t>+225 05 05 35 25 29</t>
        </is>
      </c>
      <c r="G153" s="29" t="inlineStr">
        <is>
          <t>+225 07 58 05 36 40</t>
        </is>
      </c>
      <c r="H153" s="29" t="inlineStr">
        <is>
          <t>+225 05 05 35 25 29</t>
        </is>
      </c>
      <c r="I153" s="29" t="inlineStr">
        <is>
          <t>2ifgt.info@gmail.com</t>
        </is>
      </c>
      <c r="J153" s="29" t="inlineStr">
        <is>
          <t>https://www.2ifgt.com</t>
        </is>
      </c>
      <c r="K153" s="29" t="inlineStr">
        <is>
          <t>Directeur des Etudes</t>
        </is>
      </c>
      <c r="L153" s="30" t="inlineStr">
        <is>
          <t>Haute</t>
        </is>
      </c>
      <c r="M153" s="29" t="inlineStr">
        <is>
          <t>MESRS - liste officielle grandes ecoles</t>
        </is>
      </c>
      <c r="N153" s="29" t="inlineStr">
        <is>
          <t>gratuite</t>
        </is>
      </c>
      <c r="O153" s="14" t="inlineStr">
        <is>
          <t>a verifier</t>
        </is>
      </c>
      <c r="P153" s="29" t="inlineStr">
        <is>
          <t>numerique</t>
        </is>
      </c>
    </row>
    <row r="154">
      <c r="A154" s="29" t="inlineStr">
        <is>
          <t>INSTITUT INTERNATIONAL DE TECHNOLOGIE SUPERIEURE (2ITS)</t>
        </is>
      </c>
      <c r="B154" s="29" t="inlineStr">
        <is>
          <t>Grande ecole BTS - finances comptabilite, gestion commerciale, informatique developpeur d'applications</t>
        </is>
      </c>
      <c r="C154" s="29" t="inlineStr">
        <is>
          <t>Prive</t>
        </is>
      </c>
      <c r="D154" s="29" t="inlineStr">
        <is>
          <t>Abidjan - Cocody</t>
        </is>
      </c>
      <c r="E154" s="29" t="inlineStr">
        <is>
          <t>Sipim 2 carrefour Hamed Ouattara</t>
        </is>
      </c>
      <c r="F154" s="29" t="inlineStr">
        <is>
          <t>+225 01 40 13 60 60</t>
        </is>
      </c>
      <c r="G154" s="29" t="inlineStr">
        <is>
          <t>+225 05 75 94 81 81</t>
        </is>
      </c>
      <c r="H154" s="29" t="inlineStr">
        <is>
          <t>+225 01 40 13 60 60</t>
        </is>
      </c>
      <c r="I154" s="29" t="inlineStr">
        <is>
          <t>info@2its.ci</t>
        </is>
      </c>
      <c r="J154" s="29" t="inlineStr"/>
      <c r="K154" s="29" t="inlineStr">
        <is>
          <t>Directeur des Etudes</t>
        </is>
      </c>
      <c r="L154" s="30" t="inlineStr">
        <is>
          <t>Haute</t>
        </is>
      </c>
      <c r="M154" s="29" t="inlineStr">
        <is>
          <t>MESRS - liste officielle grandes ecoles</t>
        </is>
      </c>
      <c r="N154" s="29" t="inlineStr">
        <is>
          <t>domaine propre</t>
        </is>
      </c>
      <c r="O154" s="14" t="inlineStr">
        <is>
          <t>a verifier</t>
        </is>
      </c>
      <c r="P154" s="29" t="inlineStr">
        <is>
          <t>numerique</t>
        </is>
      </c>
    </row>
    <row r="155">
      <c r="A155" s="29" t="inlineStr">
        <is>
          <t>INSTITUT INTERNATIONAL DES ARTS ET METIERS DE COTE D IVOIRE (2IAM)</t>
        </is>
      </c>
      <c r="B155" s="29" t="inlineStr">
        <is>
          <t>Grande ecole BTS - finances comptabilite, gestion commerciale, informatique developpeur d'applications</t>
        </is>
      </c>
      <c r="C155" s="29" t="inlineStr">
        <is>
          <t>Prive</t>
        </is>
      </c>
      <c r="D155" s="29" t="inlineStr">
        <is>
          <t>Abidjan - Cocody</t>
        </is>
      </c>
      <c r="E155" s="29" t="inlineStr">
        <is>
          <t>COCODY RIVIERA PALMERAIE EPHRATA ROUTE CITE SIR PRES DE LA CITE BNETD</t>
        </is>
      </c>
      <c r="F155" s="29" t="inlineStr">
        <is>
          <t>+225 05 54 56 78 24</t>
        </is>
      </c>
      <c r="G155" s="29" t="inlineStr">
        <is>
          <t>+225 07 77 15 08 71</t>
        </is>
      </c>
      <c r="H155" s="29" t="inlineStr">
        <is>
          <t>+225 05 54 56 78 24</t>
        </is>
      </c>
      <c r="I155" s="29" t="inlineStr">
        <is>
          <t>infos@2iam.edu.ci</t>
        </is>
      </c>
      <c r="J155" s="29" t="inlineStr">
        <is>
          <t>https://www.2iam.edu.ci</t>
        </is>
      </c>
      <c r="K155" s="29" t="inlineStr">
        <is>
          <t>Directeur des Etudes</t>
        </is>
      </c>
      <c r="L155" s="30" t="inlineStr">
        <is>
          <t>Haute</t>
        </is>
      </c>
      <c r="M155" s="29" t="inlineStr">
        <is>
          <t>MESRS - liste officielle grandes ecoles</t>
        </is>
      </c>
      <c r="N155" s="29" t="inlineStr">
        <is>
          <t>domaine propre</t>
        </is>
      </c>
      <c r="O155" s="14" t="inlineStr">
        <is>
          <t>a verifier</t>
        </is>
      </c>
      <c r="P155" s="29" t="inlineStr">
        <is>
          <t>communication</t>
        </is>
      </c>
    </row>
    <row r="156">
      <c r="A156" s="29" t="inlineStr">
        <is>
          <t>INSTITUT INTERNATIONAL POLYTECHNIQUE DES ELITES D'ABIDJAN (IIPEA ANGRE)</t>
        </is>
      </c>
      <c r="B156" s="29" t="inlineStr">
        <is>
          <t>Grande ecole BTS - assistanat de direction, finances comptabilite, gestion commerciale</t>
        </is>
      </c>
      <c r="C156" s="29" t="inlineStr">
        <is>
          <t>Prive</t>
        </is>
      </c>
      <c r="D156" s="29" t="inlineStr">
        <is>
          <t>Abidjan - Cocody</t>
        </is>
      </c>
      <c r="E156" s="29" t="inlineStr">
        <is>
          <t>Angré 7ieme tranche au niveau de la station Shell</t>
        </is>
      </c>
      <c r="F156" s="29" t="inlineStr">
        <is>
          <t>+225 07 68 68 84 84</t>
        </is>
      </c>
      <c r="G156" s="29" t="inlineStr">
        <is>
          <t>+225 07 00 94 19 71</t>
        </is>
      </c>
      <c r="H156" s="29" t="inlineStr">
        <is>
          <t>+225 07 68 68 84 84</t>
        </is>
      </c>
      <c r="I156" s="29" t="inlineStr">
        <is>
          <t>secretariat@iipea.com</t>
        </is>
      </c>
      <c r="J156" s="29" t="inlineStr">
        <is>
          <t>https://www.iipea.com</t>
        </is>
      </c>
      <c r="K156" s="29" t="inlineStr">
        <is>
          <t>Directeur des Etudes</t>
        </is>
      </c>
      <c r="L156" s="30" t="inlineStr">
        <is>
          <t>Haute</t>
        </is>
      </c>
      <c r="M156" s="29" t="inlineStr">
        <is>
          <t>MESRS - liste officielle grandes ecoles</t>
        </is>
      </c>
      <c r="N156" s="29" t="inlineStr">
        <is>
          <t>domaine propre</t>
        </is>
      </c>
      <c r="O156" s="14" t="inlineStr">
        <is>
          <t>a verifier</t>
        </is>
      </c>
      <c r="P156" s="29" t="inlineStr">
        <is>
          <t>ingenieur</t>
        </is>
      </c>
    </row>
    <row r="157">
      <c r="A157" s="29" t="inlineStr">
        <is>
          <t>INSTITUT INTERNATIONAL POLYTECHNIQUE DES ELITES D'ABIDJAN (IIPEA RIVIERA)</t>
        </is>
      </c>
      <c r="B157" s="29" t="inlineStr">
        <is>
          <t>Grande ecole BTS - assistanat de direction, communication visuelle, finances comptabilite</t>
        </is>
      </c>
      <c r="C157" s="29" t="inlineStr">
        <is>
          <t>Prive</t>
        </is>
      </c>
      <c r="D157" s="29" t="inlineStr">
        <is>
          <t>Abidjan - Cocody</t>
        </is>
      </c>
      <c r="E157" s="29" t="inlineStr">
        <is>
          <t>Riviera Palmeraie Triangle non loin du feu du nouveau camp</t>
        </is>
      </c>
      <c r="F157" s="29" t="inlineStr">
        <is>
          <t>+225 07 68 68 82 82</t>
        </is>
      </c>
      <c r="G157" s="29" t="inlineStr">
        <is>
          <t>+225 05 56 28 41 41</t>
        </is>
      </c>
      <c r="H157" s="29" t="inlineStr">
        <is>
          <t>+225 07 68 68 82 82</t>
        </is>
      </c>
      <c r="I157" s="29" t="inlineStr">
        <is>
          <t>secretariat@iipea.com</t>
        </is>
      </c>
      <c r="J157" s="29" t="inlineStr">
        <is>
          <t>https://www.iipea.com</t>
        </is>
      </c>
      <c r="K157" s="29" t="inlineStr">
        <is>
          <t>Directeur des Etudes</t>
        </is>
      </c>
      <c r="L157" s="30" t="inlineStr">
        <is>
          <t>Haute</t>
        </is>
      </c>
      <c r="M157" s="29" t="inlineStr">
        <is>
          <t>MESRS - liste officielle grandes ecoles</t>
        </is>
      </c>
      <c r="N157" s="29" t="inlineStr">
        <is>
          <t>domaine propre</t>
        </is>
      </c>
      <c r="O157" s="14" t="inlineStr">
        <is>
          <t>a verifier</t>
        </is>
      </c>
      <c r="P157" s="29" t="inlineStr">
        <is>
          <t>ingenieur</t>
        </is>
      </c>
    </row>
    <row r="158">
      <c r="A158" s="29" t="inlineStr">
        <is>
          <t>INSTITUT IRAO COCODY</t>
        </is>
      </c>
      <c r="B158" s="29" t="inlineStr">
        <is>
          <t>Grande ecole BTS - assistanat de direction, agriculture tropicale, communication visuelle</t>
        </is>
      </c>
      <c r="C158" s="29" t="inlineStr">
        <is>
          <t>Prive</t>
        </is>
      </c>
      <c r="D158" s="29" t="inlineStr">
        <is>
          <t>Abidjan - Cocody</t>
        </is>
      </c>
      <c r="E158" s="29" t="inlineStr">
        <is>
          <t>: Cocody Deux Plateaux 7ème Tranche Boulevard Latrille - Tournez à droite au Carrefour Glacier des Oscars en allant au 22ème puis prenez la 3ème rue à votre gauche en face de l'ex ADDR en direction du Carrefour Bluetooth (Pour la géolocalisation google maps, entrez les coordonnées suivantes : 92V6+XFW, Angré, Abidjan)</t>
        </is>
      </c>
      <c r="F158" s="29" t="inlineStr"/>
      <c r="G158" s="29" t="inlineStr"/>
      <c r="H158" s="29" t="inlineStr"/>
      <c r="I158" s="29" t="inlineStr">
        <is>
          <t>rusta.irao@gmail.com</t>
        </is>
      </c>
      <c r="J158" s="29" t="inlineStr">
        <is>
          <t>https://www.irao-cocody.com</t>
        </is>
      </c>
      <c r="K158" s="29" t="inlineStr">
        <is>
          <t>Directeur des Etudes</t>
        </is>
      </c>
      <c r="L158" s="30" t="inlineStr">
        <is>
          <t>Haute</t>
        </is>
      </c>
      <c r="M158" s="29" t="inlineStr">
        <is>
          <t>MESRS - liste officielle grandes ecoles</t>
        </is>
      </c>
      <c r="N158" s="29" t="inlineStr">
        <is>
          <t>gratuite</t>
        </is>
      </c>
      <c r="O158" s="14" t="inlineStr">
        <is>
          <t>a verifier</t>
        </is>
      </c>
      <c r="P158" s="29" t="inlineStr">
        <is>
          <t>commerce</t>
        </is>
      </c>
    </row>
    <row r="159">
      <c r="A159" s="29" t="inlineStr">
        <is>
          <t>INSTITUT POLYTECHNIQUE DU SUD (IPS)</t>
        </is>
      </c>
      <c r="B159" s="29" t="inlineStr">
        <is>
          <t>Grande ecole BTS - assistanat de direction, electrotechnique, finances comptabilite</t>
        </is>
      </c>
      <c r="C159" s="29" t="inlineStr">
        <is>
          <t>Prive</t>
        </is>
      </c>
      <c r="D159" s="29" t="inlineStr">
        <is>
          <t>Abidjan - Cocody</t>
        </is>
      </c>
      <c r="E159" s="29" t="inlineStr"/>
      <c r="F159" s="29" t="inlineStr">
        <is>
          <t>+225 07 08 75 33 33</t>
        </is>
      </c>
      <c r="G159" s="29" t="inlineStr">
        <is>
          <t>+225 01 02 34 34 66</t>
        </is>
      </c>
      <c r="H159" s="29" t="inlineStr">
        <is>
          <t>+225 07 08 75 33 33</t>
        </is>
      </c>
      <c r="I159" s="29" t="inlineStr"/>
      <c r="J159" s="29" t="inlineStr"/>
      <c r="K159" s="29" t="inlineStr">
        <is>
          <t>Directeur des Etudes</t>
        </is>
      </c>
      <c r="L159" s="30" t="inlineStr">
        <is>
          <t>Haute</t>
        </is>
      </c>
      <c r="M159" s="29" t="inlineStr">
        <is>
          <t>MESRS - liste officielle grandes ecoles</t>
        </is>
      </c>
      <c r="N159" s="29" t="inlineStr"/>
      <c r="O159" s="31" t="inlineStr">
        <is>
          <t>sans email</t>
        </is>
      </c>
      <c r="P159" s="29" t="inlineStr">
        <is>
          <t>ingenieur</t>
        </is>
      </c>
    </row>
    <row r="160">
      <c r="A160" s="29" t="inlineStr">
        <is>
          <t>INSTITUT POLYTECHNIQUE INTERNATIONALE FRANÇOIS (IPIF)</t>
        </is>
      </c>
      <c r="B160" s="29" t="inlineStr">
        <is>
          <t>Grande ecole BTS/Licence - moteur, electrotechnique, finances comptabilite</t>
        </is>
      </c>
      <c r="C160" s="29" t="inlineStr">
        <is>
          <t>Prive</t>
        </is>
      </c>
      <c r="D160" s="29" t="inlineStr">
        <is>
          <t>Abidjan - Cocody</t>
        </is>
      </c>
      <c r="E160" s="29" t="inlineStr">
        <is>
          <t>2 PLATEAUX 7ème TRANCHE NON LOIN DU CAFE DE VERSAILLES</t>
        </is>
      </c>
      <c r="F160" s="29" t="inlineStr">
        <is>
          <t>+225 27 22 42 99 59</t>
        </is>
      </c>
      <c r="G160" s="29" t="inlineStr"/>
      <c r="H160" s="29" t="inlineStr"/>
      <c r="I160" s="29" t="inlineStr">
        <is>
          <t>ehui.enoh@topautoci.com</t>
        </is>
      </c>
      <c r="J160" s="29" t="inlineStr"/>
      <c r="K160" s="29" t="inlineStr">
        <is>
          <t>Directeur des Etudes</t>
        </is>
      </c>
      <c r="L160" s="30" t="inlineStr">
        <is>
          <t>Haute</t>
        </is>
      </c>
      <c r="M160" s="29" t="inlineStr">
        <is>
          <t>MESRS - liste officielle grandes ecoles</t>
        </is>
      </c>
      <c r="N160" s="29" t="inlineStr">
        <is>
          <t>domaine propre</t>
        </is>
      </c>
      <c r="O160" s="14" t="inlineStr">
        <is>
          <t>a verifier</t>
        </is>
      </c>
      <c r="P160" s="29" t="inlineStr">
        <is>
          <t>ingenieur</t>
        </is>
      </c>
    </row>
    <row r="161">
      <c r="A161" s="29" t="inlineStr">
        <is>
          <t>INSTITUT POLYVALENT DES AFFAIRES ET DU MANAGEMENT (IPAM)</t>
        </is>
      </c>
      <c r="B161" s="29" t="inlineStr">
        <is>
          <t>Grande ecole BTS - assistanat de direction, finances comptabilite, genie civil</t>
        </is>
      </c>
      <c r="C161" s="29" t="inlineStr">
        <is>
          <t>Prive</t>
        </is>
      </c>
      <c r="D161" s="29" t="inlineStr">
        <is>
          <t>Abidjan - Cocody</t>
        </is>
      </c>
      <c r="E161" s="29" t="inlineStr">
        <is>
          <t>Cocody 2 plateaux 7ieme Tranche non loin du carrefour LAS PALMAS</t>
        </is>
      </c>
      <c r="F161" s="29" t="inlineStr"/>
      <c r="G161" s="29" t="inlineStr"/>
      <c r="H161" s="29" t="inlineStr"/>
      <c r="I161" s="29" t="inlineStr">
        <is>
          <t>info@ipam.ci</t>
        </is>
      </c>
      <c r="J161" s="29" t="inlineStr">
        <is>
          <t>https://www.ipam.ci</t>
        </is>
      </c>
      <c r="K161" s="29" t="inlineStr">
        <is>
          <t>Directeur des Etudes</t>
        </is>
      </c>
      <c r="L161" s="30" t="inlineStr">
        <is>
          <t>Haute</t>
        </is>
      </c>
      <c r="M161" s="29" t="inlineStr">
        <is>
          <t>MESRS - liste officielle grandes ecoles</t>
        </is>
      </c>
      <c r="N161" s="29" t="inlineStr">
        <is>
          <t>domaine propre</t>
        </is>
      </c>
      <c r="O161" s="14" t="inlineStr">
        <is>
          <t>a verifier</t>
        </is>
      </c>
      <c r="P161" s="29" t="inlineStr">
        <is>
          <t>commerce</t>
        </is>
      </c>
    </row>
    <row r="162">
      <c r="A162" s="29" t="inlineStr">
        <is>
          <t>INSTITUT SUPEREIRUR DE GESTION D'ECONOMIE ET DE MANAGEMENT (ISGEMA)</t>
        </is>
      </c>
      <c r="B162" s="29" t="inlineStr">
        <is>
          <t>Grande ecole BTS/Licence - assistanat de direction, finances comptabilite, gestion commerciale</t>
        </is>
      </c>
      <c r="C162" s="29" t="inlineStr">
        <is>
          <t>Prive</t>
        </is>
      </c>
      <c r="D162" s="29" t="inlineStr">
        <is>
          <t>Abidjan - Cocody</t>
        </is>
      </c>
      <c r="E162" s="29" t="inlineStr">
        <is>
          <t>COCODY DANGA</t>
        </is>
      </c>
      <c r="F162" s="29" t="inlineStr">
        <is>
          <t>+225 27 22 48 82 32</t>
        </is>
      </c>
      <c r="G162" s="29" t="inlineStr"/>
      <c r="H162" s="29" t="inlineStr"/>
      <c r="I162" s="29" t="inlineStr">
        <is>
          <t>cepibformation@yahoo.fr</t>
        </is>
      </c>
      <c r="J162" s="29" t="inlineStr">
        <is>
          <t>https://www.cepibformation.ci</t>
        </is>
      </c>
      <c r="K162" s="29" t="inlineStr">
        <is>
          <t>Directeur des Etudes</t>
        </is>
      </c>
      <c r="L162" s="30" t="inlineStr">
        <is>
          <t>Haute</t>
        </is>
      </c>
      <c r="M162" s="29" t="inlineStr">
        <is>
          <t>MESRS - liste officielle grandes ecoles</t>
        </is>
      </c>
      <c r="N162" s="29" t="inlineStr">
        <is>
          <t>gratuite</t>
        </is>
      </c>
      <c r="O162" s="14" t="inlineStr">
        <is>
          <t>a verifier</t>
        </is>
      </c>
      <c r="P162" s="29" t="inlineStr">
        <is>
          <t>commerce</t>
        </is>
      </c>
    </row>
    <row r="163">
      <c r="A163" s="29" t="inlineStr">
        <is>
          <t>INSTITUT SUPERIEUR AKANDJI (IS AKANDJI)</t>
        </is>
      </c>
      <c r="B163" s="29" t="inlineStr">
        <is>
          <t>Grande ecole BTS - finances comptabilite, gestion commerciale, informatique developpeur d'applications</t>
        </is>
      </c>
      <c r="C163" s="29" t="inlineStr">
        <is>
          <t>Prive</t>
        </is>
      </c>
      <c r="D163" s="29" t="inlineStr">
        <is>
          <t>Abidjan - Cocody</t>
        </is>
      </c>
      <c r="E163" s="29" t="inlineStr">
        <is>
          <t>Abidjan Cocody Riviera 5 fin Boulevard Mitterrand nouvelle école</t>
        </is>
      </c>
      <c r="F163" s="29" t="inlineStr">
        <is>
          <t>+225 07 48 97 47 61</t>
        </is>
      </c>
      <c r="G163" s="29" t="inlineStr">
        <is>
          <t>+225 01 43 43 32 65</t>
        </is>
      </c>
      <c r="H163" s="29" t="inlineStr">
        <is>
          <t>+225 07 48 97 47 61</t>
        </is>
      </c>
      <c r="I163" s="29" t="inlineStr">
        <is>
          <t>info@instituteakanji.com</t>
        </is>
      </c>
      <c r="J163" s="29" t="inlineStr">
        <is>
          <t>https://www.instituteakanji.com</t>
        </is>
      </c>
      <c r="K163" s="29" t="inlineStr">
        <is>
          <t>Directeur des Etudes</t>
        </is>
      </c>
      <c r="L163" s="30" t="inlineStr">
        <is>
          <t>Haute</t>
        </is>
      </c>
      <c r="M163" s="29" t="inlineStr">
        <is>
          <t>MESRS - liste officielle grandes ecoles</t>
        </is>
      </c>
      <c r="N163" s="29" t="inlineStr">
        <is>
          <t>domaine propre</t>
        </is>
      </c>
      <c r="O163" s="14" t="inlineStr">
        <is>
          <t>a verifier</t>
        </is>
      </c>
      <c r="P163" s="29" t="inlineStr">
        <is>
          <t>commerce</t>
        </is>
      </c>
    </row>
    <row r="164">
      <c r="A164" s="29" t="inlineStr">
        <is>
          <t>INSTITUT SUPERIEUR ARC-EN-CIEL (ISA)</t>
        </is>
      </c>
      <c r="B164" s="29" t="inlineStr">
        <is>
          <t>Grande ecole BTS - assistanat de direction, electrotechnique, finances comptabilite</t>
        </is>
      </c>
      <c r="C164" s="29" t="inlineStr">
        <is>
          <t>Prive</t>
        </is>
      </c>
      <c r="D164" s="29" t="inlineStr">
        <is>
          <t>Abidjan - Cocody</t>
        </is>
      </c>
      <c r="E164" s="29" t="inlineStr">
        <is>
          <t>COCODY DEUX PLATEAUX LES PERLES QUARTIER COMMANDANT SANON</t>
        </is>
      </c>
      <c r="F164" s="29" t="inlineStr">
        <is>
          <t>+225 07 99 50 04 11</t>
        </is>
      </c>
      <c r="G164" s="29" t="inlineStr"/>
      <c r="H164" s="29" t="inlineStr">
        <is>
          <t>+225 07 99 50 04 11</t>
        </is>
      </c>
      <c r="I164" s="29" t="inlineStr">
        <is>
          <t>info@groupeisa.ci</t>
        </is>
      </c>
      <c r="J164" s="29" t="inlineStr">
        <is>
          <t>http://www.groupeisa.ci</t>
        </is>
      </c>
      <c r="K164" s="29" t="inlineStr">
        <is>
          <t>Directeur des Etudes</t>
        </is>
      </c>
      <c r="L164" s="30" t="inlineStr">
        <is>
          <t>Haute</t>
        </is>
      </c>
      <c r="M164" s="29" t="inlineStr">
        <is>
          <t>MESRS - liste officielle grandes ecoles</t>
        </is>
      </c>
      <c r="N164" s="29" t="inlineStr">
        <is>
          <t>domaine propre</t>
        </is>
      </c>
      <c r="O164" s="14" t="inlineStr">
        <is>
          <t>a verifier</t>
        </is>
      </c>
      <c r="P164" s="29" t="inlineStr">
        <is>
          <t>commerce</t>
        </is>
      </c>
    </row>
    <row r="165">
      <c r="A165" s="29" t="inlineStr">
        <is>
          <t>INSTITUT SUPERIEUR BOSOL (ISB ABIDJAN)</t>
        </is>
      </c>
      <c r="B165" s="29" t="inlineStr">
        <is>
          <t>Grande ecole BTS - finances comptabilite, genie civil, gestion commerciale</t>
        </is>
      </c>
      <c r="C165" s="29" t="inlineStr">
        <is>
          <t>Prive</t>
        </is>
      </c>
      <c r="D165" s="29" t="inlineStr">
        <is>
          <t>Abidjan - Cocody</t>
        </is>
      </c>
      <c r="E165" s="29" t="inlineStr">
        <is>
          <t>Riviera palmeraie immeuble de la PHARMACIE MARIE S ESTHER</t>
        </is>
      </c>
      <c r="F165" s="29" t="inlineStr">
        <is>
          <t>+225 01 03 74 32 80</t>
        </is>
      </c>
      <c r="G165" s="29" t="inlineStr">
        <is>
          <t>+225 07 09 82 07 57</t>
        </is>
      </c>
      <c r="H165" s="29" t="inlineStr">
        <is>
          <t>+225 01 03 74 32 80</t>
        </is>
      </c>
      <c r="I165" s="29" t="inlineStr">
        <is>
          <t>institutbosol.abidjan@gmail.com</t>
        </is>
      </c>
      <c r="J165" s="29" t="inlineStr"/>
      <c r="K165" s="29" t="inlineStr">
        <is>
          <t>Directeur des Etudes</t>
        </is>
      </c>
      <c r="L165" s="30" t="inlineStr">
        <is>
          <t>Haute</t>
        </is>
      </c>
      <c r="M165" s="29" t="inlineStr">
        <is>
          <t>MESRS - liste officielle grandes ecoles</t>
        </is>
      </c>
      <c r="N165" s="29" t="inlineStr">
        <is>
          <t>gratuite</t>
        </is>
      </c>
      <c r="O165" s="14" t="inlineStr">
        <is>
          <t>a verifier</t>
        </is>
      </c>
      <c r="P165" s="29" t="inlineStr">
        <is>
          <t>commerce</t>
        </is>
      </c>
    </row>
    <row r="166">
      <c r="A166" s="29" t="inlineStr">
        <is>
          <t>INSTITUT SUPERIEUR D'ADMINISTRATION D'ENTREPRISE (ISAE ABIDJAN)</t>
        </is>
      </c>
      <c r="B166" s="29" t="inlineStr">
        <is>
          <t>Grande ecole BTS - finances comptabilite, gestion commerciale, informatique developpeur d'applications</t>
        </is>
      </c>
      <c r="C166" s="29" t="inlineStr">
        <is>
          <t>Prive</t>
        </is>
      </c>
      <c r="D166" s="29" t="inlineStr">
        <is>
          <t>Abidjan - Cocody</t>
        </is>
      </c>
      <c r="E166" s="29" t="inlineStr">
        <is>
          <t>RIVIERA BONOUMIN CARREFOUR DORAVILLE</t>
        </is>
      </c>
      <c r="F166" s="29" t="inlineStr">
        <is>
          <t>+225 27 22 43 54 05</t>
        </is>
      </c>
      <c r="G166" s="29" t="inlineStr">
        <is>
          <t>+225 07 09 74 28 16</t>
        </is>
      </c>
      <c r="H166" s="29" t="inlineStr">
        <is>
          <t>+225 07 09 74 28 16</t>
        </is>
      </c>
      <c r="I166" s="29" t="inlineStr">
        <is>
          <t>info@isaeci.com</t>
        </is>
      </c>
      <c r="J166" s="29" t="inlineStr">
        <is>
          <t>https://www.isaeci.com</t>
        </is>
      </c>
      <c r="K166" s="29" t="inlineStr">
        <is>
          <t>Directeur des Etudes</t>
        </is>
      </c>
      <c r="L166" s="30" t="inlineStr">
        <is>
          <t>Haute</t>
        </is>
      </c>
      <c r="M166" s="29" t="inlineStr">
        <is>
          <t>MESRS - liste officielle grandes ecoles</t>
        </is>
      </c>
      <c r="N166" s="29" t="inlineStr">
        <is>
          <t>domaine propre</t>
        </is>
      </c>
      <c r="O166" s="14" t="inlineStr">
        <is>
          <t>a verifier</t>
        </is>
      </c>
      <c r="P166" s="29" t="inlineStr">
        <is>
          <t>commerce</t>
        </is>
      </c>
    </row>
    <row r="167">
      <c r="A167" s="29" t="inlineStr">
        <is>
          <t>INSTITUT SUPERIEUR DE COMMERCE D'ADMINISTRATION ET DE TECHNOLOGIE (ISCAT)</t>
        </is>
      </c>
      <c r="B167" s="29" t="inlineStr">
        <is>
          <t>Grande ecole BTS - communication visuelle, finances comptabilite, informatique developpeur d'applications</t>
        </is>
      </c>
      <c r="C167" s="29" t="inlineStr">
        <is>
          <t>Prive</t>
        </is>
      </c>
      <c r="D167" s="29" t="inlineStr">
        <is>
          <t>Abidjan - Cocody</t>
        </is>
      </c>
      <c r="E167" s="29" t="inlineStr">
        <is>
          <t>RIVIERA PALMERAIE / ROND POINT DE SAINT VIATEUR</t>
        </is>
      </c>
      <c r="F167" s="29" t="inlineStr">
        <is>
          <t>+225 07 06 66 66 63</t>
        </is>
      </c>
      <c r="G167" s="29" t="inlineStr">
        <is>
          <t>+225 07 68 85 85 85</t>
        </is>
      </c>
      <c r="H167" s="29" t="inlineStr">
        <is>
          <t>+225 07 06 66 66 63</t>
        </is>
      </c>
      <c r="I167" s="29" t="inlineStr"/>
      <c r="J167" s="29" t="inlineStr"/>
      <c r="K167" s="29" t="inlineStr">
        <is>
          <t>Directeur des Etudes</t>
        </is>
      </c>
      <c r="L167" s="30" t="inlineStr">
        <is>
          <t>Haute</t>
        </is>
      </c>
      <c r="M167" s="29" t="inlineStr">
        <is>
          <t>MESRS - liste officielle grandes ecoles</t>
        </is>
      </c>
      <c r="N167" s="29" t="inlineStr"/>
      <c r="O167" s="31" t="inlineStr">
        <is>
          <t>sans email</t>
        </is>
      </c>
      <c r="P167" s="29" t="inlineStr">
        <is>
          <t>numerique</t>
        </is>
      </c>
    </row>
    <row r="168">
      <c r="A168" s="29" t="inlineStr">
        <is>
          <t>INSTITUT SUPERIEUR DE COMMERCE ET DE MANAGEMENT (ISCM)</t>
        </is>
      </c>
      <c r="B168" s="29" t="inlineStr">
        <is>
          <t>Grande ecole BTS - finances comptabilite, gestion commerciale, informatique developpeur d'applications</t>
        </is>
      </c>
      <c r="C168" s="29" t="inlineStr">
        <is>
          <t>Prive</t>
        </is>
      </c>
      <c r="D168" s="29" t="inlineStr">
        <is>
          <t>Abidjan - Cocody</t>
        </is>
      </c>
      <c r="E168" s="29" t="inlineStr">
        <is>
          <t>ABIDJAN COCODY DEUX PLATEAUX, Bd LATRILLE, Carrefour les OSCARS, FACE GAOU PRODUCTION.</t>
        </is>
      </c>
      <c r="F168" s="29" t="inlineStr">
        <is>
          <t>+225 27 22 42 80 47</t>
        </is>
      </c>
      <c r="G168" s="29" t="inlineStr"/>
      <c r="H168" s="29" t="inlineStr"/>
      <c r="I168" s="29" t="inlineStr">
        <is>
          <t>iscmabidjan@gmail.com</t>
        </is>
      </c>
      <c r="J168" s="29" t="inlineStr">
        <is>
          <t>http://www.iscm-ci.net/</t>
        </is>
      </c>
      <c r="K168" s="29" t="inlineStr">
        <is>
          <t>Directeur des Etudes</t>
        </is>
      </c>
      <c r="L168" s="30" t="inlineStr">
        <is>
          <t>Haute</t>
        </is>
      </c>
      <c r="M168" s="29" t="inlineStr">
        <is>
          <t>MESRS - liste officielle grandes ecoles</t>
        </is>
      </c>
      <c r="N168" s="29" t="inlineStr">
        <is>
          <t>gratuite</t>
        </is>
      </c>
      <c r="O168" s="14" t="inlineStr">
        <is>
          <t>a verifier</t>
        </is>
      </c>
      <c r="P168" s="29" t="inlineStr">
        <is>
          <t>commerce</t>
        </is>
      </c>
    </row>
    <row r="169">
      <c r="A169" s="29" t="inlineStr">
        <is>
          <t>INSTITUT SUPERIEUR DE COMMERCE, D'AGRICULTURE ET DE NOUVELLES TECHNOLOGIES (ISCANT)</t>
        </is>
      </c>
      <c r="B169" s="29" t="inlineStr">
        <is>
          <t>Grande ecole BTS - assistanat de direction, agriculture tropicale, communication visuelle</t>
        </is>
      </c>
      <c r="C169" s="29" t="inlineStr">
        <is>
          <t>Prive</t>
        </is>
      </c>
      <c r="D169" s="29" t="inlineStr">
        <is>
          <t>Abidjan - Cocody</t>
        </is>
      </c>
      <c r="E169" s="29" t="inlineStr">
        <is>
          <t>RIVIERA BONOUMIN CARREFOUR SACRE CŒUR EN FACE DE LA PHARMACIE SAINT PAUL</t>
        </is>
      </c>
      <c r="F169" s="29" t="inlineStr">
        <is>
          <t>+225 07 48 80 93 52</t>
        </is>
      </c>
      <c r="G169" s="29" t="inlineStr">
        <is>
          <t>+225 05 06 34 98 40</t>
        </is>
      </c>
      <c r="H169" s="29" t="inlineStr">
        <is>
          <t>+225 07 48 80 93 52</t>
        </is>
      </c>
      <c r="I169" s="29" t="inlineStr"/>
      <c r="J169" s="29" t="inlineStr"/>
      <c r="K169" s="29" t="inlineStr">
        <is>
          <t>Directeur des Etudes</t>
        </is>
      </c>
      <c r="L169" s="30" t="inlineStr">
        <is>
          <t>Haute</t>
        </is>
      </c>
      <c r="M169" s="29" t="inlineStr">
        <is>
          <t>MESRS - liste officielle grandes ecoles</t>
        </is>
      </c>
      <c r="N169" s="29" t="inlineStr"/>
      <c r="O169" s="31" t="inlineStr">
        <is>
          <t>sans email</t>
        </is>
      </c>
      <c r="P169" s="29" t="inlineStr">
        <is>
          <t>agro</t>
        </is>
      </c>
    </row>
    <row r="170">
      <c r="A170" s="29" t="inlineStr">
        <is>
          <t>INSTITUT SUPERIEUR DE FORMATION EN COMMERCE ET GESTION D'ABIDJAN (ISFCG)</t>
        </is>
      </c>
      <c r="B170" s="29" t="inlineStr">
        <is>
          <t>Grande ecole BTS - assistanat de direction, electrotechnique, finances comptabilite</t>
        </is>
      </c>
      <c r="C170" s="29" t="inlineStr">
        <is>
          <t>Prive</t>
        </is>
      </c>
      <c r="D170" s="29" t="inlineStr">
        <is>
          <t>Abidjan - Cocody</t>
        </is>
      </c>
      <c r="E170" s="29" t="inlineStr">
        <is>
          <t>Angré star 2</t>
        </is>
      </c>
      <c r="F170" s="29" t="inlineStr">
        <is>
          <t>+225 27 22 52 49 48</t>
        </is>
      </c>
      <c r="G170" s="29" t="inlineStr">
        <is>
          <t>+225 07 48 36 37 22</t>
        </is>
      </c>
      <c r="H170" s="29" t="inlineStr">
        <is>
          <t>+225 07 48 36 37 22</t>
        </is>
      </c>
      <c r="I170" s="29" t="inlineStr"/>
      <c r="J170" s="29" t="inlineStr"/>
      <c r="K170" s="29" t="inlineStr">
        <is>
          <t>Directeur des Etudes</t>
        </is>
      </c>
      <c r="L170" s="30" t="inlineStr">
        <is>
          <t>Haute</t>
        </is>
      </c>
      <c r="M170" s="29" t="inlineStr">
        <is>
          <t>MESRS - liste officielle grandes ecoles</t>
        </is>
      </c>
      <c r="N170" s="29" t="inlineStr"/>
      <c r="O170" s="31" t="inlineStr">
        <is>
          <t>sans email</t>
        </is>
      </c>
      <c r="P170" s="29" t="inlineStr">
        <is>
          <t>commerce</t>
        </is>
      </c>
    </row>
    <row r="171">
      <c r="A171" s="29" t="inlineStr">
        <is>
          <t>INSTITUT SUPERIEUR DE FORMATION ET D'INNOVATION D'ABIDJAN - ISFIA</t>
        </is>
      </c>
      <c r="B171" s="29" t="inlineStr">
        <is>
          <t>Grande ecole BTS - assistanat de direction, electrotechnique, finances comptabilite</t>
        </is>
      </c>
      <c r="C171" s="29" t="inlineStr">
        <is>
          <t>Prive</t>
        </is>
      </c>
      <c r="D171" s="29" t="inlineStr">
        <is>
          <t>Abidjan - Cocody</t>
        </is>
      </c>
      <c r="E171" s="29" t="inlineStr">
        <is>
          <t>RIVIERA AKOUEDO ATCI (entre l'ancien et le nouveau camps militaires d'Akouédo)</t>
        </is>
      </c>
      <c r="F171" s="29" t="inlineStr"/>
      <c r="G171" s="29" t="inlineStr"/>
      <c r="H171" s="29" t="inlineStr"/>
      <c r="I171" s="29" t="inlineStr">
        <is>
          <t>isfiaabidjan@gmail.com</t>
        </is>
      </c>
      <c r="J171" s="29" t="inlineStr">
        <is>
          <t>https://isfia.edu.ci</t>
        </is>
      </c>
      <c r="K171" s="29" t="inlineStr">
        <is>
          <t>Directeur des Etudes</t>
        </is>
      </c>
      <c r="L171" s="30" t="inlineStr">
        <is>
          <t>Haute</t>
        </is>
      </c>
      <c r="M171" s="29" t="inlineStr">
        <is>
          <t>MESRS - liste officielle grandes ecoles</t>
        </is>
      </c>
      <c r="N171" s="29" t="inlineStr">
        <is>
          <t>gratuite</t>
        </is>
      </c>
      <c r="O171" s="14" t="inlineStr">
        <is>
          <t>a verifier</t>
        </is>
      </c>
      <c r="P171" s="29" t="inlineStr">
        <is>
          <t>commerce</t>
        </is>
      </c>
    </row>
    <row r="172">
      <c r="A172" s="29" t="inlineStr">
        <is>
          <t>INSTITUT SUPERIEUR DE GESTION DES ENTREPRISES (ISGE)</t>
        </is>
      </c>
      <c r="B172" s="29" t="inlineStr">
        <is>
          <t>Grande ecole BTS - assistanat de direction, finances comptabilite, genie civil</t>
        </is>
      </c>
      <c r="C172" s="29" t="inlineStr">
        <is>
          <t>Prive</t>
        </is>
      </c>
      <c r="D172" s="29" t="inlineStr">
        <is>
          <t>Abidjan - Cocody</t>
        </is>
      </c>
      <c r="E172" s="29" t="inlineStr">
        <is>
          <t>COCODY DANGA, non loin de la nouvelle EDIPRESS</t>
        </is>
      </c>
      <c r="F172" s="29" t="inlineStr">
        <is>
          <t>+225 27 22 44 23 00</t>
        </is>
      </c>
      <c r="G172" s="29" t="inlineStr">
        <is>
          <t>+225 27 22 29 07 05</t>
        </is>
      </c>
      <c r="H172" s="29" t="inlineStr"/>
      <c r="I172" s="29" t="inlineStr"/>
      <c r="J172" s="29" t="inlineStr"/>
      <c r="K172" s="29" t="inlineStr">
        <is>
          <t>Directeur des Etudes</t>
        </is>
      </c>
      <c r="L172" s="30" t="inlineStr">
        <is>
          <t>Haute</t>
        </is>
      </c>
      <c r="M172" s="29" t="inlineStr">
        <is>
          <t>MESRS - liste officielle grandes ecoles</t>
        </is>
      </c>
      <c r="N172" s="29" t="inlineStr"/>
      <c r="O172" s="31" t="inlineStr">
        <is>
          <t>sans email</t>
        </is>
      </c>
      <c r="P172" s="29" t="inlineStr">
        <is>
          <t>commerce</t>
        </is>
      </c>
    </row>
    <row r="173">
      <c r="A173" s="29" t="inlineStr">
        <is>
          <t>INSTITUT SUPERIEUR DE LA CULTURE ET DES ARTS (INSCA)</t>
        </is>
      </c>
      <c r="B173" s="29" t="inlineStr">
        <is>
          <t>Grande ecole BTS/Licence - assistanat de direction, ressources humaines, sciences de l'information</t>
        </is>
      </c>
      <c r="C173" s="29" t="inlineStr">
        <is>
          <t>Prive</t>
        </is>
      </c>
      <c r="D173" s="29" t="inlineStr">
        <is>
          <t>Abidjan - Cocody</t>
        </is>
      </c>
      <c r="E173" s="29" t="inlineStr">
        <is>
          <t>- Rue des Jardins – Vallon – Cité des Cadres – Rue J4 , - Derrière le Centre de Vérification de la Direction Générale des Impôts (DGI), - Par la Pharmacie Saint-Gil , - En face de l’Office Ivoirien de la Propriété Intellectuelle (OIPI).</t>
        </is>
      </c>
      <c r="F173" s="29" t="inlineStr">
        <is>
          <t>+225 27 22 41 81 25</t>
        </is>
      </c>
      <c r="G173" s="29" t="inlineStr">
        <is>
          <t>+225 07 47 80 67 24</t>
        </is>
      </c>
      <c r="H173" s="29" t="inlineStr">
        <is>
          <t>+225 07 47 80 67 24</t>
        </is>
      </c>
      <c r="I173" s="29" t="inlineStr">
        <is>
          <t>inscafor@yahoo.fr</t>
        </is>
      </c>
      <c r="J173" s="29" t="inlineStr">
        <is>
          <t>https://www.insca16.com</t>
        </is>
      </c>
      <c r="K173" s="29" t="inlineStr">
        <is>
          <t>Directeur des Etudes</t>
        </is>
      </c>
      <c r="L173" s="30" t="inlineStr">
        <is>
          <t>Haute</t>
        </is>
      </c>
      <c r="M173" s="29" t="inlineStr">
        <is>
          <t>MESRS - liste officielle grandes ecoles</t>
        </is>
      </c>
      <c r="N173" s="29" t="inlineStr">
        <is>
          <t>gratuite</t>
        </is>
      </c>
      <c r="O173" s="14" t="inlineStr">
        <is>
          <t>a verifier</t>
        </is>
      </c>
      <c r="P173" s="29" t="inlineStr">
        <is>
          <t>communication</t>
        </is>
      </c>
    </row>
    <row r="174">
      <c r="A174" s="29" t="inlineStr">
        <is>
          <t>INSTITUT SUPERIEUR DE MANAGEMENT ADONAÏ (ISM ADONAÏ)</t>
        </is>
      </c>
      <c r="B174" s="29" t="inlineStr">
        <is>
          <t>Grande ecole BTS - assistanat de direction, finances comptabilite, gestion des collectivites territoriales</t>
        </is>
      </c>
      <c r="C174" s="29" t="inlineStr">
        <is>
          <t>Prive</t>
        </is>
      </c>
      <c r="D174" s="29" t="inlineStr">
        <is>
          <t>Abidjan - Cocody</t>
        </is>
      </c>
      <c r="E174" s="29" t="inlineStr">
        <is>
          <t>COCODY II Plateaux 7ème Tranche Immeuble Ex SONATT</t>
        </is>
      </c>
      <c r="F174" s="29" t="inlineStr">
        <is>
          <t>+225 01 41 80 55 12</t>
        </is>
      </c>
      <c r="G174" s="29" t="inlineStr">
        <is>
          <t>+225 07 87 83 48 87</t>
        </is>
      </c>
      <c r="H174" s="29" t="inlineStr">
        <is>
          <t>+225 01 41 80 55 12</t>
        </is>
      </c>
      <c r="I174" s="29" t="inlineStr">
        <is>
          <t>infoismadonaici@ismadonai.net</t>
        </is>
      </c>
      <c r="J174" s="29" t="inlineStr">
        <is>
          <t>http://www.ismadonai.net</t>
        </is>
      </c>
      <c r="K174" s="29" t="inlineStr">
        <is>
          <t>Directeur des Etudes</t>
        </is>
      </c>
      <c r="L174" s="30" t="inlineStr">
        <is>
          <t>Haute</t>
        </is>
      </c>
      <c r="M174" s="29" t="inlineStr">
        <is>
          <t>MESRS - liste officielle grandes ecoles</t>
        </is>
      </c>
      <c r="N174" s="29" t="inlineStr">
        <is>
          <t>domaine propre</t>
        </is>
      </c>
      <c r="O174" s="14" t="inlineStr">
        <is>
          <t>a verifier</t>
        </is>
      </c>
      <c r="P174" s="29" t="inlineStr">
        <is>
          <t>commerce</t>
        </is>
      </c>
    </row>
    <row r="175">
      <c r="A175" s="29" t="inlineStr">
        <is>
          <t>INSTITUT SUPERIEUR DE MARKETING ET DE COMPTABILITE COCODY (ISMC COCODY)</t>
        </is>
      </c>
      <c r="B175" s="29" t="inlineStr">
        <is>
          <t>Grande ecole BTS - assistanat de direction, agriculture tropicale, finances comptabilite</t>
        </is>
      </c>
      <c r="C175" s="29" t="inlineStr">
        <is>
          <t>Prive</t>
        </is>
      </c>
      <c r="D175" s="29" t="inlineStr">
        <is>
          <t>Abidjan - Cocody</t>
        </is>
      </c>
      <c r="E175" s="29" t="inlineStr">
        <is>
          <t>ABATTA NOUVEAU GOUDRON CARREFOUR COQIVOIR</t>
        </is>
      </c>
      <c r="F175" s="29" t="inlineStr">
        <is>
          <t>+225 07 07 74 82 34</t>
        </is>
      </c>
      <c r="G175" s="29" t="inlineStr">
        <is>
          <t>+225 07 09 20 76 83</t>
        </is>
      </c>
      <c r="H175" s="29" t="inlineStr">
        <is>
          <t>+225 07 07 74 82 34</t>
        </is>
      </c>
      <c r="I175" s="29" t="inlineStr">
        <is>
          <t>ismcabatta@gmail.com</t>
        </is>
      </c>
      <c r="J175" s="29" t="inlineStr">
        <is>
          <t>https://www.ismc-abatta.com</t>
        </is>
      </c>
      <c r="K175" s="29" t="inlineStr">
        <is>
          <t>Directeur des Etudes</t>
        </is>
      </c>
      <c r="L175" s="30" t="inlineStr">
        <is>
          <t>Haute</t>
        </is>
      </c>
      <c r="M175" s="29" t="inlineStr">
        <is>
          <t>MESRS - liste officielle grandes ecoles</t>
        </is>
      </c>
      <c r="N175" s="29" t="inlineStr">
        <is>
          <t>gratuite</t>
        </is>
      </c>
      <c r="O175" s="14" t="inlineStr">
        <is>
          <t>a verifier</t>
        </is>
      </c>
      <c r="P175" s="29" t="inlineStr">
        <is>
          <t>commerce</t>
        </is>
      </c>
    </row>
    <row r="176">
      <c r="A176" s="29" t="inlineStr">
        <is>
          <t>INSTITUT SUPERIEUR DE STATISTIQUE D'ECONOMETRIE ET DE DATA SCIENCE (INSSEDS)</t>
        </is>
      </c>
      <c r="B176" s="29" t="inlineStr">
        <is>
          <t>Grande ecole BTS - finances comptabilite, gestion commerciale, ressources humaines</t>
        </is>
      </c>
      <c r="C176" s="29" t="inlineStr">
        <is>
          <t>Prive</t>
        </is>
      </c>
      <c r="D176" s="29" t="inlineStr">
        <is>
          <t>Abidjan - Cocody</t>
        </is>
      </c>
      <c r="E176" s="29" t="inlineStr">
        <is>
          <t>Cocody Angré route du Mahou</t>
        </is>
      </c>
      <c r="F176" s="29" t="inlineStr">
        <is>
          <t>+225 07 08 08 91 29</t>
        </is>
      </c>
      <c r="G176" s="29" t="inlineStr">
        <is>
          <t>+225 07 77 24 19 96</t>
        </is>
      </c>
      <c r="H176" s="29" t="inlineStr">
        <is>
          <t>+225 07 08 08 91 29</t>
        </is>
      </c>
      <c r="I176" s="29" t="inlineStr">
        <is>
          <t>infos@insseds-edu.com</t>
        </is>
      </c>
      <c r="J176" s="29" t="inlineStr">
        <is>
          <t>https://www.insseds-edu.com</t>
        </is>
      </c>
      <c r="K176" s="29" t="inlineStr">
        <is>
          <t>Directeur des Etudes</t>
        </is>
      </c>
      <c r="L176" s="30" t="inlineStr">
        <is>
          <t>Haute</t>
        </is>
      </c>
      <c r="M176" s="29" t="inlineStr">
        <is>
          <t>MESRS - liste officielle grandes ecoles</t>
        </is>
      </c>
      <c r="N176" s="29" t="inlineStr">
        <is>
          <t>domaine propre</t>
        </is>
      </c>
      <c r="O176" s="14" t="inlineStr">
        <is>
          <t>a verifier</t>
        </is>
      </c>
      <c r="P176" s="29" t="inlineStr">
        <is>
          <t>commerce</t>
        </is>
      </c>
    </row>
    <row r="177">
      <c r="A177" s="29" t="inlineStr">
        <is>
          <t>INSTITUT SUPERIEUR DE TECHNOLOGIE DE COTE D'IVOIRE COCODY (ISTCI COCODY) (ISTCI-2PLATEAUX)</t>
        </is>
      </c>
      <c r="B177" s="29" t="inlineStr">
        <is>
          <t>Grande ecole BTS - communication visuelle, electrotechnique, finances comptabilite</t>
        </is>
      </c>
      <c r="C177" s="29" t="inlineStr">
        <is>
          <t>Prive</t>
        </is>
      </c>
      <c r="D177" s="29" t="inlineStr">
        <is>
          <t>Abidjan - Cocody</t>
        </is>
      </c>
      <c r="E177" s="29" t="inlineStr">
        <is>
          <t>2 Plateaux, Rue en face de l’entrée principale de SOCOCE (Pour la géolocalisation google maps, entrez le coordonnées suivantes : 92C3+M9P, Abidjan)</t>
        </is>
      </c>
      <c r="F177" s="29" t="inlineStr"/>
      <c r="G177" s="29" t="inlineStr"/>
      <c r="H177" s="29" t="inlineStr"/>
      <c r="I177" s="29" t="inlineStr">
        <is>
          <t>rusta.istci2@gmail.com</t>
        </is>
      </c>
      <c r="J177" s="29" t="inlineStr">
        <is>
          <t>https:// www.istci-2plateaux.com</t>
        </is>
      </c>
      <c r="K177" s="29" t="inlineStr">
        <is>
          <t>Directeur des Etudes</t>
        </is>
      </c>
      <c r="L177" s="30" t="inlineStr">
        <is>
          <t>Haute</t>
        </is>
      </c>
      <c r="M177" s="29" t="inlineStr">
        <is>
          <t>MESRS - liste officielle grandes ecoles</t>
        </is>
      </c>
      <c r="N177" s="29" t="inlineStr">
        <is>
          <t>gratuite</t>
        </is>
      </c>
      <c r="O177" s="14" t="inlineStr">
        <is>
          <t>a verifier</t>
        </is>
      </c>
      <c r="P177" s="29" t="inlineStr">
        <is>
          <t>numerique</t>
        </is>
      </c>
    </row>
    <row r="178">
      <c r="A178" s="29" t="inlineStr">
        <is>
          <t>INSTITUT SUPERIEUR DES CARRIERES COMMERCIALES COCODY (ISCC COCODY)</t>
        </is>
      </c>
      <c r="B178" s="29" t="inlineStr">
        <is>
          <t>Grande ecole BTS - assistanat de direction, gestion commerciale, ressources humaines</t>
        </is>
      </c>
      <c r="C178" s="29" t="inlineStr">
        <is>
          <t>Prive</t>
        </is>
      </c>
      <c r="D178" s="29" t="inlineStr">
        <is>
          <t>Abidjan - Cocody</t>
        </is>
      </c>
      <c r="E178" s="29" t="inlineStr"/>
      <c r="F178" s="29" t="inlineStr"/>
      <c r="G178" s="29" t="inlineStr"/>
      <c r="H178" s="29" t="inlineStr"/>
      <c r="I178" s="29" t="inlineStr"/>
      <c r="J178" s="29" t="inlineStr"/>
      <c r="K178" s="29" t="inlineStr">
        <is>
          <t>Directeur des Etudes</t>
        </is>
      </c>
      <c r="L178" s="30" t="inlineStr">
        <is>
          <t>Haute</t>
        </is>
      </c>
      <c r="M178" s="29" t="inlineStr">
        <is>
          <t>MESRS - liste officielle grandes ecoles</t>
        </is>
      </c>
      <c r="N178" s="29" t="inlineStr"/>
      <c r="O178" s="31" t="inlineStr">
        <is>
          <t>sans email</t>
        </is>
      </c>
      <c r="P178" s="29" t="inlineStr">
        <is>
          <t>commerce</t>
        </is>
      </c>
    </row>
    <row r="179">
      <c r="A179" s="29" t="inlineStr">
        <is>
          <t>INSTITUT SUPERIEUR DES METIERS DE GESTION ET DE TECHNOLOGIE (ISMGT)</t>
        </is>
      </c>
      <c r="B179" s="29" t="inlineStr">
        <is>
          <t>Grande ecole BTS - assistanat de direction, finances comptabilite, genie civil</t>
        </is>
      </c>
      <c r="C179" s="29" t="inlineStr">
        <is>
          <t>Prive</t>
        </is>
      </c>
      <c r="D179" s="29" t="inlineStr">
        <is>
          <t>Abidjan - Cocody</t>
        </is>
      </c>
      <c r="E179" s="29" t="inlineStr"/>
      <c r="F179" s="29" t="inlineStr"/>
      <c r="G179" s="29" t="inlineStr"/>
      <c r="H179" s="29" t="inlineStr"/>
      <c r="I179" s="29" t="inlineStr"/>
      <c r="J179" s="29" t="inlineStr"/>
      <c r="K179" s="29" t="inlineStr">
        <is>
          <t>Directeur des Etudes</t>
        </is>
      </c>
      <c r="L179" s="30" t="inlineStr">
        <is>
          <t>Haute</t>
        </is>
      </c>
      <c r="M179" s="29" t="inlineStr">
        <is>
          <t>MESRS - liste officielle grandes ecoles</t>
        </is>
      </c>
      <c r="N179" s="29" t="inlineStr"/>
      <c r="O179" s="31" t="inlineStr">
        <is>
          <t>sans email</t>
        </is>
      </c>
      <c r="P179" s="29" t="inlineStr">
        <is>
          <t>numerique</t>
        </is>
      </c>
    </row>
    <row r="180">
      <c r="A180" s="29" t="inlineStr">
        <is>
          <t>INSTITUT SUPERIEUR DES SCIENCES APPLIQUEES (INSSA)</t>
        </is>
      </c>
      <c r="B180" s="29" t="inlineStr">
        <is>
          <t>Grande ecole BTS - assistanat de direction, finances comptabilite, gestion commerciale</t>
        </is>
      </c>
      <c r="C180" s="29" t="inlineStr">
        <is>
          <t>Prive</t>
        </is>
      </c>
      <c r="D180" s="29" t="inlineStr">
        <is>
          <t>Abidjan - Cocody</t>
        </is>
      </c>
      <c r="E180" s="29" t="inlineStr">
        <is>
          <t>ANGRE 8ème Tranche</t>
        </is>
      </c>
      <c r="F180" s="29" t="inlineStr">
        <is>
          <t>+225 27 22 42 48 48</t>
        </is>
      </c>
      <c r="G180" s="29" t="inlineStr"/>
      <c r="H180" s="29" t="inlineStr"/>
      <c r="I180" s="29" t="inlineStr">
        <is>
          <t>groupeinssa@hotmail.com</t>
        </is>
      </c>
      <c r="J180" s="29" t="inlineStr">
        <is>
          <t>http://groupe-inssa.wixsite.com/inssa-abidjan</t>
        </is>
      </c>
      <c r="K180" s="29" t="inlineStr">
        <is>
          <t>Directeur des Etudes</t>
        </is>
      </c>
      <c r="L180" s="30" t="inlineStr">
        <is>
          <t>Haute</t>
        </is>
      </c>
      <c r="M180" s="29" t="inlineStr">
        <is>
          <t>MESRS - liste officielle grandes ecoles</t>
        </is>
      </c>
      <c r="N180" s="29" t="inlineStr">
        <is>
          <t>gratuite</t>
        </is>
      </c>
      <c r="O180" s="14" t="inlineStr">
        <is>
          <t>a verifier</t>
        </is>
      </c>
      <c r="P180" s="29" t="inlineStr">
        <is>
          <t>commerce</t>
        </is>
      </c>
    </row>
    <row r="181">
      <c r="A181" s="29" t="inlineStr">
        <is>
          <t>INSTITUT SUPERIEUR DES SCIENCES DE L AGRICULTURE ET DE L ALIMENTATION (INSSA-AL EPHRATA)</t>
        </is>
      </c>
      <c r="B181" s="29" t="inlineStr">
        <is>
          <t>Grande ecole BTS - agriculture tropicale, gestion de l'environnement, industries agro-alimentaires</t>
        </is>
      </c>
      <c r="C181" s="29" t="inlineStr">
        <is>
          <t>Prive</t>
        </is>
      </c>
      <c r="D181" s="29" t="inlineStr">
        <is>
          <t>Abidjan - Cocody</t>
        </is>
      </c>
      <c r="E181" s="29" t="inlineStr">
        <is>
          <t>riviera palmeraie</t>
        </is>
      </c>
      <c r="F181" s="29" t="inlineStr">
        <is>
          <t>+225 27 22 47 25 22</t>
        </is>
      </c>
      <c r="G181" s="29" t="inlineStr">
        <is>
          <t>+225 07 47 29 65 02</t>
        </is>
      </c>
      <c r="H181" s="29" t="inlineStr">
        <is>
          <t>+225 07 47 29 65 02</t>
        </is>
      </c>
      <c r="I181" s="29" t="inlineStr"/>
      <c r="J181" s="29" t="inlineStr">
        <is>
          <t>https://www.universiteephrata.ci</t>
        </is>
      </c>
      <c r="K181" s="29" t="inlineStr">
        <is>
          <t>Directeur des Etudes</t>
        </is>
      </c>
      <c r="L181" s="30" t="inlineStr">
        <is>
          <t>Haute</t>
        </is>
      </c>
      <c r="M181" s="29" t="inlineStr">
        <is>
          <t>MESRS - liste officielle grandes ecoles</t>
        </is>
      </c>
      <c r="N181" s="29" t="inlineStr"/>
      <c r="O181" s="31" t="inlineStr">
        <is>
          <t>sans email</t>
        </is>
      </c>
      <c r="P181" s="29" t="inlineStr">
        <is>
          <t>agro</t>
        </is>
      </c>
    </row>
    <row r="182">
      <c r="A182" s="29" t="inlineStr">
        <is>
          <t>INSTITUT SUPERIEUR DES TECHNIQUES COMPTABLES, JURIDIQUES ET FISCALES COCODY (ISTCJF COCODY)</t>
        </is>
      </c>
      <c r="B182" s="29" t="inlineStr">
        <is>
          <t>Grande ecole BTS/Licence - assistanat de direction, agriculture tropicale, finances comptabilite</t>
        </is>
      </c>
      <c r="C182" s="29" t="inlineStr">
        <is>
          <t>Prive</t>
        </is>
      </c>
      <c r="D182" s="29" t="inlineStr">
        <is>
          <t>Abidjan - Cocody</t>
        </is>
      </c>
      <c r="E182" s="29" t="inlineStr">
        <is>
          <t>Boulevard de l'Université , derrière la RTI</t>
        </is>
      </c>
      <c r="F182" s="29" t="inlineStr">
        <is>
          <t>+225 27 22 40 40 07</t>
        </is>
      </c>
      <c r="G182" s="29" t="inlineStr">
        <is>
          <t>+225 01 01 70 63 88</t>
        </is>
      </c>
      <c r="H182" s="29" t="inlineStr">
        <is>
          <t>+225 01 01 70 63 88</t>
        </is>
      </c>
      <c r="I182" s="29" t="inlineStr">
        <is>
          <t>istcjfabidjan2018@gmail.com</t>
        </is>
      </c>
      <c r="J182" s="29" t="inlineStr">
        <is>
          <t>https://www.istcjf.ci</t>
        </is>
      </c>
      <c r="K182" s="29" t="inlineStr">
        <is>
          <t>Directeur des Etudes</t>
        </is>
      </c>
      <c r="L182" s="30" t="inlineStr">
        <is>
          <t>Haute</t>
        </is>
      </c>
      <c r="M182" s="29" t="inlineStr">
        <is>
          <t>MESRS - liste officielle grandes ecoles</t>
        </is>
      </c>
      <c r="N182" s="29" t="inlineStr">
        <is>
          <t>gratuite</t>
        </is>
      </c>
      <c r="O182" s="14" t="inlineStr">
        <is>
          <t>a verifier</t>
        </is>
      </c>
      <c r="P182" s="29" t="inlineStr">
        <is>
          <t>commerce</t>
        </is>
      </c>
    </row>
    <row r="183">
      <c r="A183" s="29" t="inlineStr">
        <is>
          <t>INSTITUT SUPERIEUR DES TECHNOLOGIES ET DE MANAGEMENT COCODY (ISTM COCODY)</t>
        </is>
      </c>
      <c r="B183" s="29" t="inlineStr">
        <is>
          <t>Grande ecole BTS - assistanat de direction, agriculture tropicale, electrotechnique</t>
        </is>
      </c>
      <c r="C183" s="29" t="inlineStr">
        <is>
          <t>Prive</t>
        </is>
      </c>
      <c r="D183" s="29" t="inlineStr">
        <is>
          <t>Abidjan - Cocody</t>
        </is>
      </c>
      <c r="E183" s="29" t="inlineStr">
        <is>
          <t>COCODY, près de l'université de Cocody</t>
        </is>
      </c>
      <c r="F183" s="29" t="inlineStr"/>
      <c r="G183" s="29" t="inlineStr"/>
      <c r="H183" s="29" t="inlineStr"/>
      <c r="I183" s="29" t="inlineStr">
        <is>
          <t>diaksidik@gmail.com</t>
        </is>
      </c>
      <c r="J183" s="29" t="inlineStr">
        <is>
          <t>https://www.istm-ci.com</t>
        </is>
      </c>
      <c r="K183" s="29" t="inlineStr">
        <is>
          <t>Directeur des Etudes</t>
        </is>
      </c>
      <c r="L183" s="30" t="inlineStr">
        <is>
          <t>Haute</t>
        </is>
      </c>
      <c r="M183" s="29" t="inlineStr">
        <is>
          <t>MESRS - liste officielle grandes ecoles</t>
        </is>
      </c>
      <c r="N183" s="29" t="inlineStr">
        <is>
          <t>gratuite</t>
        </is>
      </c>
      <c r="O183" s="14" t="inlineStr">
        <is>
          <t>a verifier</t>
        </is>
      </c>
      <c r="P183" s="29" t="inlineStr">
        <is>
          <t>numerique</t>
        </is>
      </c>
    </row>
    <row r="184">
      <c r="A184" s="29" t="inlineStr">
        <is>
          <t>INSTITUT SUPERIEUR FRED ET POPEE/EP2059</t>
        </is>
      </c>
      <c r="B184" s="29" t="inlineStr">
        <is>
          <t>Grande ecole BTS - electrotechnique, finances comptabilite, genie civil</t>
        </is>
      </c>
      <c r="C184" s="29" t="inlineStr">
        <is>
          <t>Prive</t>
        </is>
      </c>
      <c r="D184" s="29" t="inlineStr">
        <is>
          <t>Abidjan - Cocody</t>
        </is>
      </c>
      <c r="E184" s="29" t="inlineStr"/>
      <c r="F184" s="29" t="inlineStr"/>
      <c r="G184" s="29" t="inlineStr"/>
      <c r="H184" s="29" t="inlineStr"/>
      <c r="I184" s="29" t="inlineStr"/>
      <c r="J184" s="29" t="inlineStr"/>
      <c r="K184" s="29" t="inlineStr">
        <is>
          <t>Directeur des Etudes</t>
        </is>
      </c>
      <c r="L184" s="30" t="inlineStr">
        <is>
          <t>Haute</t>
        </is>
      </c>
      <c r="M184" s="29" t="inlineStr">
        <is>
          <t>MESRS - liste officielle grandes ecoles</t>
        </is>
      </c>
      <c r="N184" s="29" t="inlineStr"/>
      <c r="O184" s="31" t="inlineStr">
        <is>
          <t>sans email</t>
        </is>
      </c>
      <c r="P184" s="29" t="inlineStr">
        <is>
          <t>commerce</t>
        </is>
      </c>
    </row>
    <row r="185">
      <c r="A185" s="29" t="inlineStr">
        <is>
          <t>INSTITUT SUPERIEUR JONATHAN LEVIS (ISJL)</t>
        </is>
      </c>
      <c r="B185" s="29" t="inlineStr">
        <is>
          <t>Grande ecole BTS - assistanat de direction, finances comptabilite, genie civil</t>
        </is>
      </c>
      <c r="C185" s="29" t="inlineStr">
        <is>
          <t>Prive</t>
        </is>
      </c>
      <c r="D185" s="29" t="inlineStr">
        <is>
          <t>Abidjan - Cocody</t>
        </is>
      </c>
      <c r="E185" s="29" t="inlineStr">
        <is>
          <t>Cocody 2 plateaux 7 ieme tranche après puissance 6</t>
        </is>
      </c>
      <c r="F185" s="29" t="inlineStr">
        <is>
          <t>+225 07 47 53 10 96</t>
        </is>
      </c>
      <c r="G185" s="29" t="inlineStr">
        <is>
          <t>+225 07 02 77 01 91</t>
        </is>
      </c>
      <c r="H185" s="29" t="inlineStr">
        <is>
          <t>+225 07 47 53 10 96</t>
        </is>
      </c>
      <c r="I185" s="29" t="inlineStr">
        <is>
          <t>isjlevis@gmail.com</t>
        </is>
      </c>
      <c r="J185" s="29" t="inlineStr"/>
      <c r="K185" s="29" t="inlineStr">
        <is>
          <t>Directeur des Etudes</t>
        </is>
      </c>
      <c r="L185" s="30" t="inlineStr">
        <is>
          <t>Haute</t>
        </is>
      </c>
      <c r="M185" s="29" t="inlineStr">
        <is>
          <t>MESRS - liste officielle grandes ecoles</t>
        </is>
      </c>
      <c r="N185" s="29" t="inlineStr">
        <is>
          <t>gratuite</t>
        </is>
      </c>
      <c r="O185" s="14" t="inlineStr">
        <is>
          <t>a verifier</t>
        </is>
      </c>
      <c r="P185" s="29" t="inlineStr">
        <is>
          <t>commerce</t>
        </is>
      </c>
    </row>
    <row r="186">
      <c r="A186" s="29" t="inlineStr">
        <is>
          <t>INSTITUT SUPERIEUR KLEYS</t>
        </is>
      </c>
      <c r="B186" s="29" t="inlineStr">
        <is>
          <t>Grande ecole BTS - finances comptabilite, genie civil, gestion commerciale</t>
        </is>
      </c>
      <c r="C186" s="29" t="inlineStr">
        <is>
          <t>Prive</t>
        </is>
      </c>
      <c r="D186" s="29" t="inlineStr">
        <is>
          <t>Abidjan - Cocody</t>
        </is>
      </c>
      <c r="E186" s="29" t="inlineStr">
        <is>
          <t>Riviera Palmeraie-Ephrata, près de la cité bnetd(entrée annexe)</t>
        </is>
      </c>
      <c r="F186" s="29" t="inlineStr">
        <is>
          <t>+225 25 22 02 28 16</t>
        </is>
      </c>
      <c r="G186" s="29" t="inlineStr">
        <is>
          <t>+225 05 56 59 00 04</t>
        </is>
      </c>
      <c r="H186" s="29" t="inlineStr">
        <is>
          <t>+225 05 56 59 00 04</t>
        </is>
      </c>
      <c r="I186" s="29" t="inlineStr">
        <is>
          <t>infos@kleys.edu.ci</t>
        </is>
      </c>
      <c r="J186" s="29" t="inlineStr">
        <is>
          <t>https://www.kleys.edu.ci</t>
        </is>
      </c>
      <c r="K186" s="29" t="inlineStr">
        <is>
          <t>Directeur des Etudes</t>
        </is>
      </c>
      <c r="L186" s="30" t="inlineStr">
        <is>
          <t>Haute</t>
        </is>
      </c>
      <c r="M186" s="29" t="inlineStr">
        <is>
          <t>MESRS - liste officielle grandes ecoles</t>
        </is>
      </c>
      <c r="N186" s="29" t="inlineStr">
        <is>
          <t>domaine propre</t>
        </is>
      </c>
      <c r="O186" s="14" t="inlineStr">
        <is>
          <t>a verifier</t>
        </is>
      </c>
      <c r="P186" s="29" t="inlineStr">
        <is>
          <t>commerce</t>
        </is>
      </c>
    </row>
    <row r="187">
      <c r="A187" s="29" t="inlineStr">
        <is>
          <t>INSTITUT SUPERIEUR LE FROMAGER (IS LE FROMAGER)</t>
        </is>
      </c>
      <c r="B187" s="29" t="inlineStr">
        <is>
          <t>Grande ecole BTS - assistanat de direction, finances comptabilite, gestion commerciale</t>
        </is>
      </c>
      <c r="C187" s="29" t="inlineStr">
        <is>
          <t>Prive</t>
        </is>
      </c>
      <c r="D187" s="29" t="inlineStr">
        <is>
          <t>Abidjan - Cocody</t>
        </is>
      </c>
      <c r="E187" s="29" t="inlineStr"/>
      <c r="F187" s="29" t="inlineStr">
        <is>
          <t>+225 27 23 49 14 49</t>
        </is>
      </c>
      <c r="G187" s="29" t="inlineStr"/>
      <c r="H187" s="29" t="inlineStr"/>
      <c r="I187" s="29" t="inlineStr"/>
      <c r="J187" s="29" t="inlineStr"/>
      <c r="K187" s="29" t="inlineStr">
        <is>
          <t>Directeur des Etudes</t>
        </is>
      </c>
      <c r="L187" s="30" t="inlineStr">
        <is>
          <t>Haute</t>
        </is>
      </c>
      <c r="M187" s="29" t="inlineStr">
        <is>
          <t>MESRS - liste officielle grandes ecoles</t>
        </is>
      </c>
      <c r="N187" s="29" t="inlineStr"/>
      <c r="O187" s="31" t="inlineStr">
        <is>
          <t>sans email</t>
        </is>
      </c>
      <c r="P187" s="29" t="inlineStr">
        <is>
          <t>commerce</t>
        </is>
      </c>
    </row>
    <row r="188">
      <c r="A188" s="29" t="inlineStr">
        <is>
          <t>INSTITUT SUPERIEUR LE PONT NEUF (ISLPN)</t>
        </is>
      </c>
      <c r="B188" s="29" t="inlineStr">
        <is>
          <t>Grande ecole BTS - assistanat de direction, electrotechnique, finances comptabilite</t>
        </is>
      </c>
      <c r="C188" s="29" t="inlineStr">
        <is>
          <t>Prive</t>
        </is>
      </c>
      <c r="D188" s="29" t="inlineStr">
        <is>
          <t>Abidjan - Cocody</t>
        </is>
      </c>
      <c r="E188" s="29" t="inlineStr"/>
      <c r="F188" s="29" t="inlineStr">
        <is>
          <t>+225 07 07 98 65 86</t>
        </is>
      </c>
      <c r="G188" s="29" t="inlineStr"/>
      <c r="H188" s="29" t="inlineStr">
        <is>
          <t>+225 07 07 98 65 86</t>
        </is>
      </c>
      <c r="I188" s="29" t="inlineStr"/>
      <c r="J188" s="29" t="inlineStr"/>
      <c r="K188" s="29" t="inlineStr">
        <is>
          <t>Directeur des Etudes</t>
        </is>
      </c>
      <c r="L188" s="30" t="inlineStr">
        <is>
          <t>Haute</t>
        </is>
      </c>
      <c r="M188" s="29" t="inlineStr">
        <is>
          <t>MESRS - liste officielle grandes ecoles</t>
        </is>
      </c>
      <c r="N188" s="29" t="inlineStr"/>
      <c r="O188" s="31" t="inlineStr">
        <is>
          <t>sans email</t>
        </is>
      </c>
      <c r="P188" s="29" t="inlineStr">
        <is>
          <t>commerce</t>
        </is>
      </c>
    </row>
    <row r="189">
      <c r="A189" s="29" t="inlineStr">
        <is>
          <t>INSTITUT SUPERIEUR NACHA AHMED DANIEL (ISNAD)</t>
        </is>
      </c>
      <c r="B189" s="29" t="inlineStr">
        <is>
          <t>Grande ecole BTS - assistanat de direction, finances comptabilite, genie civil</t>
        </is>
      </c>
      <c r="C189" s="29" t="inlineStr">
        <is>
          <t>Prive</t>
        </is>
      </c>
      <c r="D189" s="29" t="inlineStr">
        <is>
          <t>Abidjan - Cocody</t>
        </is>
      </c>
      <c r="E189" s="29" t="inlineStr">
        <is>
          <t>Cocody Plateau Dokui Djomi, 300m Grande Mosquée Mahou</t>
        </is>
      </c>
      <c r="F189" s="29" t="inlineStr">
        <is>
          <t>+225 27 22 20 33 61</t>
        </is>
      </c>
      <c r="G189" s="29" t="inlineStr">
        <is>
          <t>+225 07 47 85 56 09</t>
        </is>
      </c>
      <c r="H189" s="29" t="inlineStr">
        <is>
          <t>+225 07 47 85 56 09</t>
        </is>
      </c>
      <c r="I189" s="29" t="inlineStr">
        <is>
          <t>isnad.ecolesup@gmail.com</t>
        </is>
      </c>
      <c r="J189" s="29" t="inlineStr">
        <is>
          <t>http://www.institut-idnad.com</t>
        </is>
      </c>
      <c r="K189" s="29" t="inlineStr">
        <is>
          <t>Directeur des Etudes</t>
        </is>
      </c>
      <c r="L189" s="30" t="inlineStr">
        <is>
          <t>Haute</t>
        </is>
      </c>
      <c r="M189" s="29" t="inlineStr">
        <is>
          <t>MESRS - liste officielle grandes ecoles</t>
        </is>
      </c>
      <c r="N189" s="29" t="inlineStr">
        <is>
          <t>gratuite</t>
        </is>
      </c>
      <c r="O189" s="14" t="inlineStr">
        <is>
          <t>a verifier</t>
        </is>
      </c>
      <c r="P189" s="29" t="inlineStr">
        <is>
          <t>commerce</t>
        </is>
      </c>
    </row>
    <row r="190">
      <c r="A190" s="29" t="inlineStr">
        <is>
          <t>INSTITUT SUPERIEUR POLYTECHNIQUE D'AFRIQUE (ISPA)</t>
        </is>
      </c>
      <c r="B190" s="29" t="inlineStr">
        <is>
          <t>Grande ecole BTS/Licence - communication visuelle, electrotechnique, gestion commerciale</t>
        </is>
      </c>
      <c r="C190" s="29" t="inlineStr">
        <is>
          <t>Prive</t>
        </is>
      </c>
      <c r="D190" s="29" t="inlineStr">
        <is>
          <t>Abidjan - Cocody</t>
        </is>
      </c>
      <c r="E190" s="29" t="inlineStr">
        <is>
          <t>Cocody Angré, avenue Charles Koffi Diby à 100m du stade d’Angré</t>
        </is>
      </c>
      <c r="F190" s="29" t="inlineStr">
        <is>
          <t>+225 27 22 20 05 30</t>
        </is>
      </c>
      <c r="G190" s="29" t="inlineStr">
        <is>
          <t>+225 05 95 57 71 42</t>
        </is>
      </c>
      <c r="H190" s="29" t="inlineStr">
        <is>
          <t>+225 05 95 57 71 42</t>
        </is>
      </c>
      <c r="I190" s="29" t="inlineStr">
        <is>
          <t>info@ispapolytech.fr</t>
        </is>
      </c>
      <c r="J190" s="29" t="inlineStr">
        <is>
          <t>https://www.ispapolytech.fr</t>
        </is>
      </c>
      <c r="K190" s="29" t="inlineStr">
        <is>
          <t>Directeur des Etudes</t>
        </is>
      </c>
      <c r="L190" s="30" t="inlineStr">
        <is>
          <t>Haute</t>
        </is>
      </c>
      <c r="M190" s="29" t="inlineStr">
        <is>
          <t>MESRS - liste officielle grandes ecoles</t>
        </is>
      </c>
      <c r="N190" s="29" t="inlineStr">
        <is>
          <t>domaine propre</t>
        </is>
      </c>
      <c r="O190" s="14" t="inlineStr">
        <is>
          <t>a verifier</t>
        </is>
      </c>
      <c r="P190" s="29" t="inlineStr">
        <is>
          <t>ingenieur</t>
        </is>
      </c>
    </row>
    <row r="191">
      <c r="A191" s="29" t="inlineStr">
        <is>
          <t>INSTITUT SUPERIEUR POLYTECHNIQUE WASSA COCODY (ISP WASSA COCODY)</t>
        </is>
      </c>
      <c r="B191" s="29" t="inlineStr">
        <is>
          <t>Grande ecole BTS - assistanat de direction, electrotechnique, finances comptabilite</t>
        </is>
      </c>
      <c r="C191" s="29" t="inlineStr">
        <is>
          <t>Prive</t>
        </is>
      </c>
      <c r="D191" s="29" t="inlineStr">
        <is>
          <t>Abidjan - Cocody</t>
        </is>
      </c>
      <c r="E191" s="29" t="inlineStr">
        <is>
          <t>Riviera bonoumin, quartier zinsou 2</t>
        </is>
      </c>
      <c r="F191" s="29" t="inlineStr">
        <is>
          <t>+225 07 69 19 32 88</t>
        </is>
      </c>
      <c r="G191" s="29" t="inlineStr">
        <is>
          <t>+225 01 43 88 98 90</t>
        </is>
      </c>
      <c r="H191" s="29" t="inlineStr">
        <is>
          <t>+225 07 69 19 32 88</t>
        </is>
      </c>
      <c r="I191" s="29" t="inlineStr">
        <is>
          <t>ispwassa.info@gmail.com</t>
        </is>
      </c>
      <c r="J191" s="29" t="inlineStr">
        <is>
          <t>https://www.ispwassa.com</t>
        </is>
      </c>
      <c r="K191" s="29" t="inlineStr">
        <is>
          <t>Directeur des Etudes</t>
        </is>
      </c>
      <c r="L191" s="30" t="inlineStr">
        <is>
          <t>Haute</t>
        </is>
      </c>
      <c r="M191" s="29" t="inlineStr">
        <is>
          <t>MESRS - liste officielle grandes ecoles</t>
        </is>
      </c>
      <c r="N191" s="29" t="inlineStr">
        <is>
          <t>gratuite</t>
        </is>
      </c>
      <c r="O191" s="14" t="inlineStr">
        <is>
          <t>a verifier</t>
        </is>
      </c>
      <c r="P191" s="29" t="inlineStr">
        <is>
          <t>ingenieur</t>
        </is>
      </c>
    </row>
    <row r="192">
      <c r="A192" s="29" t="inlineStr">
        <is>
          <t>INSTITUT SUPERIEUR TECHNIQUE SAINT JACQUES (IST St JACQUES)</t>
        </is>
      </c>
      <c r="B192" s="29" t="inlineStr">
        <is>
          <t>Grande ecole BTS - finances comptabilite, gestion commerciale, informatique developpeur d'applications</t>
        </is>
      </c>
      <c r="C192" s="29" t="inlineStr">
        <is>
          <t>Prive</t>
        </is>
      </c>
      <c r="D192" s="29" t="inlineStr">
        <is>
          <t>Abidjan - Cocody</t>
        </is>
      </c>
      <c r="E192" s="29" t="inlineStr">
        <is>
          <t>Cocody Danga, à 100m de la Nouvelle Edipresse</t>
        </is>
      </c>
      <c r="F192" s="29" t="inlineStr">
        <is>
          <t>+225 07 07 08 00 82</t>
        </is>
      </c>
      <c r="G192" s="29" t="inlineStr">
        <is>
          <t>+225 07 07 53 07 54</t>
        </is>
      </c>
      <c r="H192" s="29" t="inlineStr">
        <is>
          <t>+225 07 07 08 00 82</t>
        </is>
      </c>
      <c r="I192" s="29" t="inlineStr">
        <is>
          <t>iststjacques1979@gmail.com</t>
        </is>
      </c>
      <c r="J192" s="29" t="inlineStr"/>
      <c r="K192" s="29" t="inlineStr">
        <is>
          <t>Directeur des Etudes</t>
        </is>
      </c>
      <c r="L192" s="30" t="inlineStr">
        <is>
          <t>Haute</t>
        </is>
      </c>
      <c r="M192" s="29" t="inlineStr">
        <is>
          <t>MESRS - liste officielle grandes ecoles</t>
        </is>
      </c>
      <c r="N192" s="29" t="inlineStr">
        <is>
          <t>gratuite</t>
        </is>
      </c>
      <c r="O192" s="14" t="inlineStr">
        <is>
          <t>a verifier</t>
        </is>
      </c>
      <c r="P192" s="29" t="inlineStr">
        <is>
          <t>commerce</t>
        </is>
      </c>
    </row>
    <row r="193">
      <c r="A193" s="29" t="inlineStr">
        <is>
          <t>INSTITUT SUPÉRIEUR DE GESTION YOH (ISG YOH)</t>
        </is>
      </c>
      <c r="B193" s="29" t="inlineStr">
        <is>
          <t>Grande ecole BTS - assistanat de direction, finances comptabilite, gestion commerciale</t>
        </is>
      </c>
      <c r="C193" s="29" t="inlineStr">
        <is>
          <t>Prive</t>
        </is>
      </c>
      <c r="D193" s="29" t="inlineStr">
        <is>
          <t>Abidjan - Cocody</t>
        </is>
      </c>
      <c r="E193" s="29" t="inlineStr">
        <is>
          <t>2 PLATEAUX 7E TRANCHE</t>
        </is>
      </c>
      <c r="F193" s="29" t="inlineStr">
        <is>
          <t>+225 27 22 52 61 79</t>
        </is>
      </c>
      <c r="G193" s="29" t="inlineStr"/>
      <c r="H193" s="29" t="inlineStr"/>
      <c r="I193" s="29" t="inlineStr">
        <is>
          <t>isg_yoh@yahoo.fr</t>
        </is>
      </c>
      <c r="J193" s="29" t="inlineStr"/>
      <c r="K193" s="29" t="inlineStr">
        <is>
          <t>Directeur des Etudes</t>
        </is>
      </c>
      <c r="L193" s="30" t="inlineStr">
        <is>
          <t>Haute</t>
        </is>
      </c>
      <c r="M193" s="29" t="inlineStr">
        <is>
          <t>MESRS - liste officielle grandes ecoles</t>
        </is>
      </c>
      <c r="N193" s="29" t="inlineStr">
        <is>
          <t>gratuite</t>
        </is>
      </c>
      <c r="O193" s="14" t="inlineStr">
        <is>
          <t>a verifier</t>
        </is>
      </c>
      <c r="P193" s="29" t="inlineStr">
        <is>
          <t>commerce</t>
        </is>
      </c>
    </row>
    <row r="194">
      <c r="A194" s="29" t="inlineStr">
        <is>
          <t>INSTITUT UNIVERSITAIRE DE TECHNOLOGIE ACADEMIA (IUT-A)</t>
        </is>
      </c>
      <c r="B194" s="29" t="inlineStr">
        <is>
          <t>Grande ecole BTS - finances comptabilite, gestion commerciale, informatique developpeur d'applications</t>
        </is>
      </c>
      <c r="C194" s="29" t="inlineStr">
        <is>
          <t>Prive</t>
        </is>
      </c>
      <c r="D194" s="29" t="inlineStr">
        <is>
          <t>Abidjan - Cocody</t>
        </is>
      </c>
      <c r="E194" s="29" t="inlineStr"/>
      <c r="F194" s="29" t="inlineStr">
        <is>
          <t>+225 27 22 42 34 14</t>
        </is>
      </c>
      <c r="G194" s="29" t="inlineStr"/>
      <c r="H194" s="29" t="inlineStr"/>
      <c r="I194" s="29" t="inlineStr">
        <is>
          <t>iut.academia@yahoo.fr</t>
        </is>
      </c>
      <c r="J194" s="29" t="inlineStr"/>
      <c r="K194" s="29" t="inlineStr">
        <is>
          <t>Directeur des Etudes</t>
        </is>
      </c>
      <c r="L194" s="30" t="inlineStr">
        <is>
          <t>Haute</t>
        </is>
      </c>
      <c r="M194" s="29" t="inlineStr">
        <is>
          <t>MESRS - liste officielle grandes ecoles</t>
        </is>
      </c>
      <c r="N194" s="29" t="inlineStr">
        <is>
          <t>gratuite</t>
        </is>
      </c>
      <c r="O194" s="14" t="inlineStr">
        <is>
          <t>a verifier</t>
        </is>
      </c>
      <c r="P194" s="29" t="inlineStr">
        <is>
          <t>universite</t>
        </is>
      </c>
    </row>
    <row r="195">
      <c r="A195" s="29" t="inlineStr">
        <is>
          <t>INSTITUT UNIVERSITAIRE DE TECHNOLOGIE D'ABIDJAN COCODY (IUT ABIDJAN COCODY)</t>
        </is>
      </c>
      <c r="B195" s="29" t="inlineStr">
        <is>
          <t>Grande ecole BTS - arts, assistanat de direction, communication visuelle</t>
        </is>
      </c>
      <c r="C195" s="29" t="inlineStr">
        <is>
          <t>Prive</t>
        </is>
      </c>
      <c r="D195" s="29" t="inlineStr">
        <is>
          <t>Abidjan - Cocody</t>
        </is>
      </c>
      <c r="E195" s="29" t="inlineStr">
        <is>
          <t>2 Plateaux, entre le Carrefour des Oscars et Bluetooth (Pour la géolocalisation google maps, entrez les coordonnées suivantes : 92V6+QHR, Abidjan)</t>
        </is>
      </c>
      <c r="F195" s="29" t="inlineStr"/>
      <c r="G195" s="29" t="inlineStr"/>
      <c r="H195" s="29" t="inlineStr"/>
      <c r="I195" s="29" t="inlineStr">
        <is>
          <t>rusta.iut@gmail.com</t>
        </is>
      </c>
      <c r="J195" s="29" t="inlineStr">
        <is>
          <t>https:// www.iuta-cocody.com</t>
        </is>
      </c>
      <c r="K195" s="29" t="inlineStr">
        <is>
          <t>Directeur des Etudes</t>
        </is>
      </c>
      <c r="L195" s="30" t="inlineStr">
        <is>
          <t>Haute</t>
        </is>
      </c>
      <c r="M195" s="29" t="inlineStr">
        <is>
          <t>MESRS - liste officielle grandes ecoles</t>
        </is>
      </c>
      <c r="N195" s="29" t="inlineStr">
        <is>
          <t>gratuite</t>
        </is>
      </c>
      <c r="O195" s="14" t="inlineStr">
        <is>
          <t>a verifier</t>
        </is>
      </c>
      <c r="P195" s="29" t="inlineStr">
        <is>
          <t>universite</t>
        </is>
      </c>
    </row>
    <row r="196">
      <c r="A196" s="29" t="inlineStr">
        <is>
          <t>INSTITUT UNIVERSITAIRE DES HAUTES ETUDES PROFESSIONNELLES (IUHEP)</t>
        </is>
      </c>
      <c r="B196" s="29" t="inlineStr">
        <is>
          <t>Grande ecole BTS - assistanat de direction, finances comptabilite, gestion commerciale</t>
        </is>
      </c>
      <c r="C196" s="29" t="inlineStr">
        <is>
          <t>Prive</t>
        </is>
      </c>
      <c r="D196" s="29" t="inlineStr">
        <is>
          <t>Abidjan - Cocody</t>
        </is>
      </c>
      <c r="E196" s="29" t="inlineStr">
        <is>
          <t>Cocody II Plateaux - vallon (derrière le Commissariat du 12e Arrondissement.</t>
        </is>
      </c>
      <c r="F196" s="29" t="inlineStr">
        <is>
          <t>+225 01 40 06 93 93</t>
        </is>
      </c>
      <c r="G196" s="29" t="inlineStr">
        <is>
          <t>+225 01 40 06 92 92</t>
        </is>
      </c>
      <c r="H196" s="29" t="inlineStr">
        <is>
          <t>+225 01 40 06 93 93</t>
        </is>
      </c>
      <c r="I196" s="29" t="inlineStr">
        <is>
          <t>infos@groupeatlantique.com</t>
        </is>
      </c>
      <c r="J196" s="29" t="inlineStr">
        <is>
          <t>https://www.uatlantique.org</t>
        </is>
      </c>
      <c r="K196" s="29" t="inlineStr">
        <is>
          <t>Directeur des Etudes</t>
        </is>
      </c>
      <c r="L196" s="30" t="inlineStr">
        <is>
          <t>Haute</t>
        </is>
      </c>
      <c r="M196" s="29" t="inlineStr">
        <is>
          <t>MESRS - liste officielle grandes ecoles</t>
        </is>
      </c>
      <c r="N196" s="29" t="inlineStr">
        <is>
          <t>domaine propre</t>
        </is>
      </c>
      <c r="O196" s="14" t="inlineStr">
        <is>
          <t>a verifier</t>
        </is>
      </c>
      <c r="P196" s="29" t="inlineStr">
        <is>
          <t>universite</t>
        </is>
      </c>
    </row>
    <row r="197">
      <c r="A197" s="29" t="inlineStr">
        <is>
          <t>INSTITUT UNIVERSITAIRE DU BATIMENT ET DES TRAVAUX PUBLICS (IUBTP) (ESBTP RIVIERA 2)</t>
        </is>
      </c>
      <c r="B197" s="29" t="inlineStr">
        <is>
          <t>Grande ecole BTS/Licence - genie civil, mines geologie, genie batiment</t>
        </is>
      </c>
      <c r="C197" s="29" t="inlineStr">
        <is>
          <t>Prive</t>
        </is>
      </c>
      <c r="D197" s="29" t="inlineStr">
        <is>
          <t>Abidjan - Cocody</t>
        </is>
      </c>
      <c r="E197" s="29" t="inlineStr">
        <is>
          <t>REVIERA 2 NOUVEAU ECHANGEUR ROUTE ATOBAN 1ère Rue à droite non bitumée/300m de l'Ecole ETienne/derière case ivoiree</t>
        </is>
      </c>
      <c r="F197" s="29" t="inlineStr"/>
      <c r="G197" s="29" t="inlineStr"/>
      <c r="H197" s="29" t="inlineStr"/>
      <c r="I197" s="29" t="inlineStr">
        <is>
          <t>dakoff007@yahoo.fr</t>
        </is>
      </c>
      <c r="J197" s="29" t="inlineStr"/>
      <c r="K197" s="29" t="inlineStr">
        <is>
          <t>Directeur des Etudes</t>
        </is>
      </c>
      <c r="L197" s="30" t="inlineStr">
        <is>
          <t>Haute</t>
        </is>
      </c>
      <c r="M197" s="29" t="inlineStr">
        <is>
          <t>MESRS - liste officielle grandes ecoles</t>
        </is>
      </c>
      <c r="N197" s="29" t="inlineStr">
        <is>
          <t>gratuite</t>
        </is>
      </c>
      <c r="O197" s="14" t="inlineStr">
        <is>
          <t>a verifier</t>
        </is>
      </c>
      <c r="P197" s="29" t="inlineStr">
        <is>
          <t>btp</t>
        </is>
      </c>
    </row>
    <row r="198">
      <c r="A198" s="29" t="inlineStr">
        <is>
          <t>INSTITUT-CONSERVATOIRE DES SCIENCES DE GESTION DE COCODY (ICS COCODY)</t>
        </is>
      </c>
      <c r="B198" s="29" t="inlineStr">
        <is>
          <t>Grande ecole BTS - finances comptabilite, gestion commerciale, informatique developpeur d'applications</t>
        </is>
      </c>
      <c r="C198" s="29" t="inlineStr">
        <is>
          <t>Prive</t>
        </is>
      </c>
      <c r="D198" s="29" t="inlineStr">
        <is>
          <t>Abidjan - Cocody</t>
        </is>
      </c>
      <c r="E198" s="29" t="inlineStr"/>
      <c r="F198" s="29" t="inlineStr">
        <is>
          <t>+225 27 22 44 00 59</t>
        </is>
      </c>
      <c r="G198" s="29" t="inlineStr"/>
      <c r="H198" s="29" t="inlineStr"/>
      <c r="I198" s="29" t="inlineStr">
        <is>
          <t>infos@ics-cocody.com</t>
        </is>
      </c>
      <c r="J198" s="29" t="inlineStr"/>
      <c r="K198" s="29" t="inlineStr">
        <is>
          <t>Directeur des Etudes</t>
        </is>
      </c>
      <c r="L198" s="30" t="inlineStr">
        <is>
          <t>Haute</t>
        </is>
      </c>
      <c r="M198" s="29" t="inlineStr">
        <is>
          <t>MESRS - liste officielle grandes ecoles</t>
        </is>
      </c>
      <c r="N198" s="29" t="inlineStr">
        <is>
          <t>domaine propre</t>
        </is>
      </c>
      <c r="O198" s="14" t="inlineStr">
        <is>
          <t>a verifier</t>
        </is>
      </c>
      <c r="P198" s="29" t="inlineStr">
        <is>
          <t>commerce</t>
        </is>
      </c>
    </row>
    <row r="199">
      <c r="A199" s="29" t="inlineStr">
        <is>
          <t>INTERNATIONAL BUSINESS SCHOOL AND TECHNOLOGY COCODY (IBST)</t>
        </is>
      </c>
      <c r="B199" s="29" t="inlineStr">
        <is>
          <t>Grande ecole BTS - finances comptabilite, genie civil, gestion commerciale</t>
        </is>
      </c>
      <c r="C199" s="29" t="inlineStr">
        <is>
          <t>Prive</t>
        </is>
      </c>
      <c r="D199" s="29" t="inlineStr">
        <is>
          <t>Abidjan - Cocody</t>
        </is>
      </c>
      <c r="E199" s="29" t="inlineStr">
        <is>
          <t>Deux plateaux</t>
        </is>
      </c>
      <c r="F199" s="29" t="inlineStr">
        <is>
          <t>+225 05 04 51 52 53</t>
        </is>
      </c>
      <c r="G199" s="29" t="inlineStr"/>
      <c r="H199" s="29" t="inlineStr">
        <is>
          <t>+225 05 04 51 52 53</t>
        </is>
      </c>
      <c r="I199" s="29" t="inlineStr">
        <is>
          <t>hkoudou9@gmail.com</t>
        </is>
      </c>
      <c r="J199" s="29" t="inlineStr">
        <is>
          <t>https://ibst.com</t>
        </is>
      </c>
      <c r="K199" s="29" t="inlineStr">
        <is>
          <t>Directeur des Etudes</t>
        </is>
      </c>
      <c r="L199" s="30" t="inlineStr">
        <is>
          <t>Haute</t>
        </is>
      </c>
      <c r="M199" s="29" t="inlineStr">
        <is>
          <t>MESRS - liste officielle grandes ecoles</t>
        </is>
      </c>
      <c r="N199" s="29" t="inlineStr">
        <is>
          <t>gratuite</t>
        </is>
      </c>
      <c r="O199" s="14" t="inlineStr">
        <is>
          <t>a verifier</t>
        </is>
      </c>
      <c r="P199" s="29" t="inlineStr">
        <is>
          <t>numerique</t>
        </is>
      </c>
    </row>
    <row r="200">
      <c r="A200" s="29" t="inlineStr">
        <is>
          <t>International English and Business School (IEBS)</t>
        </is>
      </c>
      <c r="B200" s="29" t="inlineStr">
        <is>
          <t>Grande ecole BTS - assistanat de direction, finances comptabilite, gestion commerciale</t>
        </is>
      </c>
      <c r="C200" s="29" t="inlineStr">
        <is>
          <t>Prive</t>
        </is>
      </c>
      <c r="D200" s="29" t="inlineStr">
        <is>
          <t>Abidjan - Cocody</t>
        </is>
      </c>
      <c r="E200" s="29" t="inlineStr">
        <is>
          <t>COCODY RIVIERA 3 CITE LES COTEAUX</t>
        </is>
      </c>
      <c r="F200" s="29" t="inlineStr">
        <is>
          <t>+225 27 22 47 26 48</t>
        </is>
      </c>
      <c r="G200" s="29" t="inlineStr">
        <is>
          <t>+225 27 22 47 27 81</t>
        </is>
      </c>
      <c r="H200" s="29" t="inlineStr">
        <is>
          <t>+225 01 02 88 13 69</t>
        </is>
      </c>
      <c r="I200" s="29" t="inlineStr">
        <is>
          <t>iebs@groupeconnectiebs.com</t>
        </is>
      </c>
      <c r="J200" s="29" t="inlineStr">
        <is>
          <t>http://www.groupeconnectiebs.com/</t>
        </is>
      </c>
      <c r="K200" s="29" t="inlineStr">
        <is>
          <t>Directeur des Etudes</t>
        </is>
      </c>
      <c r="L200" s="30" t="inlineStr">
        <is>
          <t>Haute</t>
        </is>
      </c>
      <c r="M200" s="29" t="inlineStr">
        <is>
          <t>MESRS - liste officielle grandes ecoles</t>
        </is>
      </c>
      <c r="N200" s="29" t="inlineStr">
        <is>
          <t>domaine propre</t>
        </is>
      </c>
      <c r="O200" s="14" t="inlineStr">
        <is>
          <t>a verifier</t>
        </is>
      </c>
      <c r="P200" s="29" t="inlineStr">
        <is>
          <t>commerce</t>
        </is>
      </c>
    </row>
    <row r="201">
      <c r="A201" s="29" t="inlineStr">
        <is>
          <t>INTERNATIONAL INSTITUTE OF MINES PETROLEUM AND ENERGY (2IMPE)</t>
        </is>
      </c>
      <c r="B201" s="29" t="inlineStr">
        <is>
          <t>Grande ecole BTS - moteur, electrotechnique, genie civil</t>
        </is>
      </c>
      <c r="C201" s="29" t="inlineStr">
        <is>
          <t>Prive</t>
        </is>
      </c>
      <c r="D201" s="29" t="inlineStr">
        <is>
          <t>Abidjan - Cocody</t>
        </is>
      </c>
      <c r="E201" s="29" t="inlineStr">
        <is>
          <t>Rue I 147, parallèle à la Rue Ministre</t>
        </is>
      </c>
      <c r="F201" s="29" t="inlineStr">
        <is>
          <t>+225 27 22 53 55 36</t>
        </is>
      </c>
      <c r="G201" s="29" t="inlineStr">
        <is>
          <t>+225 07 59 85 00 29</t>
        </is>
      </c>
      <c r="H201" s="29" t="inlineStr">
        <is>
          <t>+225 07 59 85 00 29</t>
        </is>
      </c>
      <c r="I201" s="29" t="inlineStr">
        <is>
          <t>info@2impe.com</t>
        </is>
      </c>
      <c r="J201" s="29" t="inlineStr">
        <is>
          <t>https://www.2impe.com</t>
        </is>
      </c>
      <c r="K201" s="29" t="inlineStr">
        <is>
          <t>Directeur des Etudes</t>
        </is>
      </c>
      <c r="L201" s="30" t="inlineStr">
        <is>
          <t>Haute</t>
        </is>
      </c>
      <c r="M201" s="29" t="inlineStr">
        <is>
          <t>MESRS - liste officielle grandes ecoles</t>
        </is>
      </c>
      <c r="N201" s="29" t="inlineStr">
        <is>
          <t>domaine propre</t>
        </is>
      </c>
      <c r="O201" s="14" t="inlineStr">
        <is>
          <t>a verifier</t>
        </is>
      </c>
      <c r="P201" s="29" t="inlineStr">
        <is>
          <t>btp</t>
        </is>
      </c>
    </row>
    <row r="202">
      <c r="A202" s="29" t="inlineStr">
        <is>
          <t>IPAC PLATEAU ABIDJAN</t>
        </is>
      </c>
      <c r="B202" s="29" t="inlineStr">
        <is>
          <t>Grande ecole BTS - finances comptabilite, gestion commerciale, sciences de l'information</t>
        </is>
      </c>
      <c r="C202" s="29" t="inlineStr">
        <is>
          <t>Prive</t>
        </is>
      </c>
      <c r="D202" s="29" t="inlineStr">
        <is>
          <t>Abidjan - Cocody</t>
        </is>
      </c>
      <c r="E202" s="29" t="inlineStr">
        <is>
          <t>Cocody(2plateaux derrière sococe quartier les oliviers ex colombie en face de l'EPPV fraternité sur la voie de la maternité</t>
        </is>
      </c>
      <c r="F202" s="29" t="inlineStr">
        <is>
          <t>+225 27 22 41 31 68</t>
        </is>
      </c>
      <c r="G202" s="29" t="inlineStr"/>
      <c r="H202" s="29" t="inlineStr"/>
      <c r="I202" s="29" t="inlineStr">
        <is>
          <t>ipac_plateau@yahoo.fr</t>
        </is>
      </c>
      <c r="J202" s="29" t="inlineStr">
        <is>
          <t>https://www.ipacci.net</t>
        </is>
      </c>
      <c r="K202" s="29" t="inlineStr">
        <is>
          <t>Directeur des Etudes</t>
        </is>
      </c>
      <c r="L202" s="30" t="inlineStr">
        <is>
          <t>Haute</t>
        </is>
      </c>
      <c r="M202" s="29" t="inlineStr">
        <is>
          <t>MESRS - liste officielle grandes ecoles</t>
        </is>
      </c>
      <c r="N202" s="29" t="inlineStr">
        <is>
          <t>gratuite</t>
        </is>
      </c>
      <c r="O202" s="14" t="inlineStr">
        <is>
          <t>a verifier</t>
        </is>
      </c>
      <c r="P202" s="29" t="inlineStr">
        <is>
          <t>commerce</t>
        </is>
      </c>
    </row>
    <row r="203">
      <c r="A203" s="29" t="inlineStr">
        <is>
          <t>IPB 2 PLATEAUX ABIDJAN</t>
        </is>
      </c>
      <c r="B203" s="29" t="inlineStr">
        <is>
          <t>Grande ecole BTS - finances comptabilite, gestion commerciale, informatique developpeur d'applications</t>
        </is>
      </c>
      <c r="C203" s="29" t="inlineStr">
        <is>
          <t>Prive</t>
        </is>
      </c>
      <c r="D203" s="29" t="inlineStr">
        <is>
          <t>Abidjan - Cocody</t>
        </is>
      </c>
      <c r="E203" s="29" t="inlineStr"/>
      <c r="F203" s="29" t="inlineStr">
        <is>
          <t>+225 27 22 41 36 61</t>
        </is>
      </c>
      <c r="G203" s="29" t="inlineStr"/>
      <c r="H203" s="29" t="inlineStr"/>
      <c r="I203" s="29" t="inlineStr">
        <is>
          <t>albisept@yahoo.fr</t>
        </is>
      </c>
      <c r="J203" s="29" t="inlineStr"/>
      <c r="K203" s="29" t="inlineStr">
        <is>
          <t>Directeur des Etudes</t>
        </is>
      </c>
      <c r="L203" s="30" t="inlineStr">
        <is>
          <t>Haute</t>
        </is>
      </c>
      <c r="M203" s="29" t="inlineStr">
        <is>
          <t>MESRS - liste officielle grandes ecoles</t>
        </is>
      </c>
      <c r="N203" s="29" t="inlineStr">
        <is>
          <t>gratuite</t>
        </is>
      </c>
      <c r="O203" s="14" t="inlineStr">
        <is>
          <t>a verifier</t>
        </is>
      </c>
      <c r="P203" s="29" t="inlineStr">
        <is>
          <t>commerce</t>
        </is>
      </c>
    </row>
    <row r="204">
      <c r="A204" s="29" t="inlineStr">
        <is>
          <t>IPNETP (Institut Pedagogique National de l'Enseignement Technique et Professionnel)</t>
        </is>
      </c>
      <c r="B204" s="29" t="inlineStr">
        <is>
          <t>Institut public - formation des formateurs</t>
        </is>
      </c>
      <c r="C204" s="29" t="inlineStr">
        <is>
          <t>Public</t>
        </is>
      </c>
      <c r="D204" s="29" t="inlineStr">
        <is>
          <t>Abidjan - Cocody</t>
        </is>
      </c>
      <c r="E204" s="29" t="inlineStr">
        <is>
          <t>Rue du Lycee Technique, face Lycee Technique Cocody, 08 BP 2098 Abidjan 08</t>
        </is>
      </c>
      <c r="F204" s="29" t="inlineStr">
        <is>
          <t>+225 27 22 44 67 69</t>
        </is>
      </c>
      <c r="G204" s="29" t="inlineStr">
        <is>
          <t>+225 27 22 48 50 35</t>
        </is>
      </c>
      <c r="H204" s="29" t="inlineStr"/>
      <c r="I204" s="29" t="inlineStr">
        <is>
          <t>infos@ipnetp.ci</t>
        </is>
      </c>
      <c r="J204" s="29" t="inlineStr">
        <is>
          <t>ipnetp.ci</t>
        </is>
      </c>
      <c r="K204" s="29" t="inlineStr">
        <is>
          <t>Directeur des Etudes</t>
        </is>
      </c>
      <c r="L204" s="29" t="inlineStr">
        <is>
          <t>Moyenne</t>
        </is>
      </c>
      <c r="M204" s="29" t="inlineStr">
        <is>
          <t>ipnetp.ci + AnnuaireCI</t>
        </is>
      </c>
      <c r="N204" s="29" t="inlineStr">
        <is>
          <t>domaine propre</t>
        </is>
      </c>
      <c r="O204" s="30" t="inlineStr">
        <is>
          <t>valide</t>
        </is>
      </c>
      <c r="P204" s="29" t="inlineStr">
        <is>
          <t>formation</t>
        </is>
      </c>
    </row>
    <row r="205">
      <c r="A205" s="29" t="inlineStr">
        <is>
          <t>ISAB (Institut Supérieur Africain d’Assurances Banque et Bourses)</t>
        </is>
      </c>
      <c r="B205" s="29" t="inlineStr">
        <is>
          <t>Grande ecole BTS - assistanat de direction, communication visuelle, finances comptabilite</t>
        </is>
      </c>
      <c r="C205" s="29" t="inlineStr">
        <is>
          <t>Prive</t>
        </is>
      </c>
      <c r="D205" s="29" t="inlineStr">
        <is>
          <t>Abidjan - Cocody</t>
        </is>
      </c>
      <c r="E205" s="29" t="inlineStr">
        <is>
          <t>Cocody-Riviera Bonoumin</t>
        </is>
      </c>
      <c r="F205" s="29" t="inlineStr">
        <is>
          <t>+225 27 22 49 91 42</t>
        </is>
      </c>
      <c r="G205" s="29" t="inlineStr">
        <is>
          <t>+225 27 22 49 92 91</t>
        </is>
      </c>
      <c r="H205" s="29" t="inlineStr">
        <is>
          <t>+225 05 65 40 02 46</t>
        </is>
      </c>
      <c r="I205" s="29" t="inlineStr">
        <is>
          <t>secretariat@isab-education.com</t>
        </is>
      </c>
      <c r="J205" s="29" t="inlineStr">
        <is>
          <t>https://www.isab-education.com</t>
        </is>
      </c>
      <c r="K205" s="29" t="inlineStr">
        <is>
          <t>Directeur des Etudes</t>
        </is>
      </c>
      <c r="L205" s="30" t="inlineStr">
        <is>
          <t>Haute</t>
        </is>
      </c>
      <c r="M205" s="29" t="inlineStr">
        <is>
          <t>MESRS - liste officielle grandes ecoles</t>
        </is>
      </c>
      <c r="N205" s="29" t="inlineStr">
        <is>
          <t>domaine propre</t>
        </is>
      </c>
      <c r="O205" s="14" t="inlineStr">
        <is>
          <t>a verifier</t>
        </is>
      </c>
      <c r="P205" s="29" t="inlineStr">
        <is>
          <t>commerce</t>
        </is>
      </c>
    </row>
    <row r="206">
      <c r="A206" s="29" t="inlineStr">
        <is>
          <t>ISTAM</t>
        </is>
      </c>
      <c r="B206" s="29" t="inlineStr">
        <is>
          <t>Grande ecole BTS - assistanat de direction, agriculture tropicale, communication visuelle</t>
        </is>
      </c>
      <c r="C206" s="29" t="inlineStr">
        <is>
          <t>Prive</t>
        </is>
      </c>
      <c r="D206" s="29" t="inlineStr">
        <is>
          <t>Abidjan - Cocody</t>
        </is>
      </c>
      <c r="E206" s="29" t="inlineStr">
        <is>
          <t>Angré 7ème Tranche en Face d'Orange Côte d’Ivoire (ancien Côte d’Ivoire télécom ), à côté de la compagnie PUISSANCE 6.</t>
        </is>
      </c>
      <c r="F206" s="29" t="inlineStr"/>
      <c r="G206" s="29" t="inlineStr"/>
      <c r="H206" s="29" t="inlineStr"/>
      <c r="I206" s="29" t="inlineStr"/>
      <c r="J206" s="29" t="inlineStr"/>
      <c r="K206" s="29" t="inlineStr">
        <is>
          <t>Directeur des Etudes</t>
        </is>
      </c>
      <c r="L206" s="30" t="inlineStr">
        <is>
          <t>Haute</t>
        </is>
      </c>
      <c r="M206" s="29" t="inlineStr">
        <is>
          <t>MESRS - liste officielle grandes ecoles</t>
        </is>
      </c>
      <c r="N206" s="29" t="inlineStr"/>
      <c r="O206" s="31" t="inlineStr">
        <is>
          <t>sans email</t>
        </is>
      </c>
      <c r="P206" s="29" t="inlineStr">
        <is>
          <t>commerce</t>
        </is>
      </c>
    </row>
    <row r="207">
      <c r="A207" s="29" t="inlineStr">
        <is>
          <t>ISTC Polytechnique</t>
        </is>
      </c>
      <c r="B207" s="29" t="inlineStr">
        <is>
          <t>Grande ecole publique - communication</t>
        </is>
      </c>
      <c r="C207" s="29" t="inlineStr">
        <is>
          <t>Public</t>
        </is>
      </c>
      <c r="D207" s="29" t="inlineStr">
        <is>
          <t>Abidjan - Cocody</t>
        </is>
      </c>
      <c r="E207" s="29" t="inlineStr">
        <is>
          <t>Bd de l'Universite, BPV 205 Abidjan-Cocody</t>
        </is>
      </c>
      <c r="F207" s="29" t="inlineStr">
        <is>
          <t>+225 27 22 44 88 58</t>
        </is>
      </c>
      <c r="G207" s="29" t="inlineStr">
        <is>
          <t>+225 27 22 44 84 33</t>
        </is>
      </c>
      <c r="H207" s="29" t="inlineStr"/>
      <c r="I207" s="29" t="inlineStr">
        <is>
          <t>istc@istcpolytechnique.ci</t>
        </is>
      </c>
      <c r="J207" s="29" t="inlineStr">
        <is>
          <t>www.istcpolytechnique.ci</t>
        </is>
      </c>
      <c r="K207" s="29" t="inlineStr">
        <is>
          <t>Directeur des Etudes</t>
        </is>
      </c>
      <c r="L207" s="29" t="inlineStr">
        <is>
          <t>Moyenne</t>
        </is>
      </c>
      <c r="M207" s="29" t="inlineStr">
        <is>
          <t>Site officiel istcpolytechnique.ci</t>
        </is>
      </c>
      <c r="N207" s="29" t="inlineStr">
        <is>
          <t>domaine propre</t>
        </is>
      </c>
      <c r="O207" s="30" t="inlineStr">
        <is>
          <t>valide</t>
        </is>
      </c>
      <c r="P207" s="29" t="inlineStr">
        <is>
          <t>communication</t>
        </is>
      </c>
    </row>
    <row r="208">
      <c r="A208" s="29" t="inlineStr">
        <is>
          <t>IT ACADEMY ABIDJAN (INTERNATIONAL TECHNOLOGY ACADEMY)</t>
        </is>
      </c>
      <c r="B208" s="29" t="inlineStr">
        <is>
          <t>Grande ecole BTS - assistanat de direction, finances comptabilite, gestion commerciale</t>
        </is>
      </c>
      <c r="C208" s="29" t="inlineStr">
        <is>
          <t>Prive</t>
        </is>
      </c>
      <c r="D208" s="29" t="inlineStr">
        <is>
          <t>Abidjan - Cocody</t>
        </is>
      </c>
      <c r="E208" s="29" t="inlineStr">
        <is>
          <t>Cocody plateau Dokui</t>
        </is>
      </c>
      <c r="F208" s="29" t="inlineStr">
        <is>
          <t>+225 07 59 77 66 79</t>
        </is>
      </c>
      <c r="G208" s="29" t="inlineStr">
        <is>
          <t>+225 07 08 71 70 55</t>
        </is>
      </c>
      <c r="H208" s="29" t="inlineStr">
        <is>
          <t>+225 07 59 77 66 79</t>
        </is>
      </c>
      <c r="I208" s="29" t="inlineStr">
        <is>
          <t>itacademyci@gmail.com</t>
        </is>
      </c>
      <c r="J208" s="29" t="inlineStr"/>
      <c r="K208" s="29" t="inlineStr">
        <is>
          <t>Directeur des Etudes</t>
        </is>
      </c>
      <c r="L208" s="30" t="inlineStr">
        <is>
          <t>Haute</t>
        </is>
      </c>
      <c r="M208" s="29" t="inlineStr">
        <is>
          <t>MESRS - liste officielle grandes ecoles</t>
        </is>
      </c>
      <c r="N208" s="29" t="inlineStr">
        <is>
          <t>gratuite</t>
        </is>
      </c>
      <c r="O208" s="14" t="inlineStr">
        <is>
          <t>a verifier</t>
        </is>
      </c>
      <c r="P208" s="29" t="inlineStr">
        <is>
          <t>numerique</t>
        </is>
      </c>
    </row>
    <row r="209">
      <c r="A209" s="29" t="inlineStr">
        <is>
          <t>LEADERS' ACADEMY</t>
        </is>
      </c>
      <c r="B209" s="29" t="inlineStr">
        <is>
          <t>Grande ecole BTS - finances comptabilite, genie civil, gestion commerciale</t>
        </is>
      </c>
      <c r="C209" s="29" t="inlineStr">
        <is>
          <t>Prive</t>
        </is>
      </c>
      <c r="D209" s="29" t="inlineStr">
        <is>
          <t>Abidjan - Cocody</t>
        </is>
      </c>
      <c r="E209" s="29" t="inlineStr">
        <is>
          <t>Cocody riviera Faya en face de l'école julvene.</t>
        </is>
      </c>
      <c r="F209" s="29" t="inlineStr">
        <is>
          <t>+225 05 76 73 46 34</t>
        </is>
      </c>
      <c r="G209" s="29" t="inlineStr">
        <is>
          <t>+225 07 67 31 60 11</t>
        </is>
      </c>
      <c r="H209" s="29" t="inlineStr">
        <is>
          <t>+225 05 76 73 46 34</t>
        </is>
      </c>
      <c r="I209" s="29" t="inlineStr">
        <is>
          <t>leaderacademyci@gmail.com</t>
        </is>
      </c>
      <c r="J209" s="29" t="inlineStr"/>
      <c r="K209" s="29" t="inlineStr">
        <is>
          <t>Directeur des Etudes</t>
        </is>
      </c>
      <c r="L209" s="30" t="inlineStr">
        <is>
          <t>Haute</t>
        </is>
      </c>
      <c r="M209" s="29" t="inlineStr">
        <is>
          <t>MESRS - liste officielle grandes ecoles</t>
        </is>
      </c>
      <c r="N209" s="29" t="inlineStr">
        <is>
          <t>gratuite</t>
        </is>
      </c>
      <c r="O209" s="14" t="inlineStr">
        <is>
          <t>a verifier</t>
        </is>
      </c>
      <c r="P209" s="29" t="inlineStr">
        <is>
          <t>commerce</t>
        </is>
      </c>
    </row>
    <row r="210">
      <c r="A210" s="29" t="inlineStr">
        <is>
          <t>MANAGEMENT INFORMATIQUE SPORT ET ART</t>
        </is>
      </c>
      <c r="B210" s="29" t="inlineStr">
        <is>
          <t>Grande ecole BTS -</t>
        </is>
      </c>
      <c r="C210" s="29" t="inlineStr">
        <is>
          <t>Prive</t>
        </is>
      </c>
      <c r="D210" s="29" t="inlineStr">
        <is>
          <t>Abidjan - Cocody</t>
        </is>
      </c>
      <c r="E210" s="29" t="inlineStr"/>
      <c r="F210" s="29" t="inlineStr">
        <is>
          <t>+225 27 22 41 42 95</t>
        </is>
      </c>
      <c r="G210" s="29" t="inlineStr"/>
      <c r="H210" s="29" t="inlineStr"/>
      <c r="I210" s="29" t="inlineStr"/>
      <c r="J210" s="29" t="inlineStr"/>
      <c r="K210" s="29" t="inlineStr">
        <is>
          <t>Directeur des Etudes</t>
        </is>
      </c>
      <c r="L210" s="30" t="inlineStr">
        <is>
          <t>Haute</t>
        </is>
      </c>
      <c r="M210" s="29" t="inlineStr">
        <is>
          <t>MESRS - liste officielle grandes ecoles</t>
        </is>
      </c>
      <c r="N210" s="29" t="inlineStr"/>
      <c r="O210" s="31" t="inlineStr">
        <is>
          <t>sans email</t>
        </is>
      </c>
      <c r="P210" s="29" t="inlineStr">
        <is>
          <t>numerique</t>
        </is>
      </c>
    </row>
    <row r="211">
      <c r="A211" s="29" t="inlineStr">
        <is>
          <t>NBA BUSINESS SCHOOL (NBS SARL)</t>
        </is>
      </c>
      <c r="B211" s="29" t="inlineStr">
        <is>
          <t>Grande ecole BTS/Licence - finances comptabilite, gestion commerciale, informatique developpeur d'applications</t>
        </is>
      </c>
      <c r="C211" s="29" t="inlineStr">
        <is>
          <t>Prive</t>
        </is>
      </c>
      <c r="D211" s="29" t="inlineStr">
        <is>
          <t>Abidjan - Cocody</t>
        </is>
      </c>
      <c r="E211" s="29" t="inlineStr"/>
      <c r="F211" s="29" t="inlineStr">
        <is>
          <t>+225 07 07 61 03 29</t>
        </is>
      </c>
      <c r="G211" s="29" t="inlineStr">
        <is>
          <t>+225 05 84 56 19 28</t>
        </is>
      </c>
      <c r="H211" s="29" t="inlineStr">
        <is>
          <t>+225 07 07 61 03 29</t>
        </is>
      </c>
      <c r="I211" s="29" t="inlineStr">
        <is>
          <t>contact@nbabusinesschool.com</t>
        </is>
      </c>
      <c r="J211" s="29" t="inlineStr">
        <is>
          <t>https://nbabusinesschool.com</t>
        </is>
      </c>
      <c r="K211" s="29" t="inlineStr">
        <is>
          <t>Directeur des Etudes</t>
        </is>
      </c>
      <c r="L211" s="30" t="inlineStr">
        <is>
          <t>Haute</t>
        </is>
      </c>
      <c r="M211" s="29" t="inlineStr">
        <is>
          <t>MESRS - liste officielle grandes ecoles</t>
        </is>
      </c>
      <c r="N211" s="29" t="inlineStr">
        <is>
          <t>domaine propre</t>
        </is>
      </c>
      <c r="O211" s="14" t="inlineStr">
        <is>
          <t>a verifier</t>
        </is>
      </c>
      <c r="P211" s="29" t="inlineStr">
        <is>
          <t>commerce</t>
        </is>
      </c>
    </row>
    <row r="212">
      <c r="A212" s="29" t="inlineStr">
        <is>
          <t>OLIGONE BUSINESS SCHOOL (OBS)</t>
        </is>
      </c>
      <c r="B212" s="29" t="inlineStr">
        <is>
          <t>Grande ecole BTS - assistanat de direction, electrotechnique, finances comptabilite</t>
        </is>
      </c>
      <c r="C212" s="29" t="inlineStr">
        <is>
          <t>Prive</t>
        </is>
      </c>
      <c r="D212" s="29" t="inlineStr">
        <is>
          <t>Abidjan - Cocody</t>
        </is>
      </c>
      <c r="E212" s="29" t="inlineStr"/>
      <c r="F212" s="29" t="inlineStr"/>
      <c r="G212" s="29" t="inlineStr"/>
      <c r="H212" s="29" t="inlineStr"/>
      <c r="I212" s="29" t="inlineStr"/>
      <c r="J212" s="29" t="inlineStr"/>
      <c r="K212" s="29" t="inlineStr">
        <is>
          <t>Directeur des Etudes</t>
        </is>
      </c>
      <c r="L212" s="30" t="inlineStr">
        <is>
          <t>Haute</t>
        </is>
      </c>
      <c r="M212" s="29" t="inlineStr">
        <is>
          <t>MESRS - liste officielle grandes ecoles</t>
        </is>
      </c>
      <c r="N212" s="29" t="inlineStr"/>
      <c r="O212" s="31" t="inlineStr">
        <is>
          <t>sans email</t>
        </is>
      </c>
      <c r="P212" s="29" t="inlineStr">
        <is>
          <t>commerce</t>
        </is>
      </c>
    </row>
    <row r="213">
      <c r="A213" s="29" t="inlineStr">
        <is>
          <t>PROMOTRAN ISF (PISF)</t>
        </is>
      </c>
      <c r="B213" s="29" t="inlineStr">
        <is>
          <t>Grande ecole BTS - assistanat de direction, electrotechnique, finances comptabilite</t>
        </is>
      </c>
      <c r="C213" s="29" t="inlineStr">
        <is>
          <t>Prive</t>
        </is>
      </c>
      <c r="D213" s="29" t="inlineStr">
        <is>
          <t>Abidjan - Cocody</t>
        </is>
      </c>
      <c r="E213" s="29" t="inlineStr">
        <is>
          <t>COCODY RIVERA BONOUMIN ENTRE LE ROND POINT ADO ET LE RESTAURANT LA SHISH EN FACE DE LA PHARMACIE SAINT MOISE.</t>
        </is>
      </c>
      <c r="F213" s="29" t="inlineStr">
        <is>
          <t>+225 27 22 42 52 00</t>
        </is>
      </c>
      <c r="G213" s="29" t="inlineStr">
        <is>
          <t>+225 01 71 08 33 35</t>
        </is>
      </c>
      <c r="H213" s="29" t="inlineStr">
        <is>
          <t>+225 01 71 08 33 35</t>
        </is>
      </c>
      <c r="I213" s="29" t="inlineStr">
        <is>
          <t>promotranisf@gmail.com</t>
        </is>
      </c>
      <c r="J213" s="29" t="inlineStr">
        <is>
          <t>https://groupepromotran.com</t>
        </is>
      </c>
      <c r="K213" s="29" t="inlineStr">
        <is>
          <t>Directeur des Etudes</t>
        </is>
      </c>
      <c r="L213" s="30" t="inlineStr">
        <is>
          <t>Haute</t>
        </is>
      </c>
      <c r="M213" s="29" t="inlineStr">
        <is>
          <t>MESRS - liste officielle grandes ecoles</t>
        </is>
      </c>
      <c r="N213" s="29" t="inlineStr">
        <is>
          <t>gratuite</t>
        </is>
      </c>
      <c r="O213" s="14" t="inlineStr">
        <is>
          <t>a verifier</t>
        </is>
      </c>
      <c r="P213" s="29" t="inlineStr">
        <is>
          <t>commerce</t>
        </is>
      </c>
    </row>
    <row r="214">
      <c r="A214" s="29" t="inlineStr">
        <is>
          <t>Simplon Cote d'Ivoire</t>
        </is>
      </c>
      <c r="B214" s="29" t="inlineStr">
        <is>
          <t>Academie de codage et fabrique numerique</t>
        </is>
      </c>
      <c r="C214" s="29" t="inlineStr">
        <is>
          <t>Prive</t>
        </is>
      </c>
      <c r="D214" s="29" t="inlineStr">
        <is>
          <t>Abidjan - Cocody</t>
        </is>
      </c>
      <c r="E214" s="29" t="inlineStr">
        <is>
          <t>Abidjan Cocody</t>
        </is>
      </c>
      <c r="F214" s="29" t="inlineStr">
        <is>
          <t>+225 05 44 03 45 45</t>
        </is>
      </c>
      <c r="G214" s="29" t="inlineStr">
        <is>
          <t>+225 05 03 38 21 55</t>
        </is>
      </c>
      <c r="H214" s="29" t="inlineStr"/>
      <c r="I214" s="29" t="inlineStr">
        <is>
          <t>simplonci@simplon.co</t>
        </is>
      </c>
      <c r="J214" s="29" t="inlineStr">
        <is>
          <t>simplon.ci</t>
        </is>
      </c>
      <c r="K214" s="29" t="inlineStr">
        <is>
          <t>Directeur des Etudes</t>
        </is>
      </c>
      <c r="L214" s="29" t="inlineStr">
        <is>
          <t>Moyenne</t>
        </is>
      </c>
      <c r="M214" s="29" t="inlineStr">
        <is>
          <t>simplon.ci</t>
        </is>
      </c>
      <c r="N214" s="29" t="inlineStr">
        <is>
          <t>domaine propre</t>
        </is>
      </c>
      <c r="O214" s="30" t="inlineStr">
        <is>
          <t>valide</t>
        </is>
      </c>
      <c r="P214" s="29" t="inlineStr">
        <is>
          <t>numerique</t>
        </is>
      </c>
    </row>
    <row r="215">
      <c r="A215" s="29" t="inlineStr">
        <is>
          <t>STRATEGIC MANAGEMENT AND INNOVATION TECHNOLOGIES INSTITUTE (SITIM)</t>
        </is>
      </c>
      <c r="B215" s="29" t="inlineStr">
        <is>
          <t>Grande ecole BTS - finances comptabilite, genie civil, gestion commerciale</t>
        </is>
      </c>
      <c r="C215" s="29" t="inlineStr">
        <is>
          <t>Prive</t>
        </is>
      </c>
      <c r="D215" s="29" t="inlineStr">
        <is>
          <t>Abidjan - Cocody</t>
        </is>
      </c>
      <c r="E215" s="29" t="inlineStr">
        <is>
          <t>COCODY LES II PLATEAUX ANGRE, Sur l’axe Commissariat 22ème qui mène à la grande voie du Plateau Dokui</t>
        </is>
      </c>
      <c r="F215" s="29" t="inlineStr">
        <is>
          <t>+225 01 51 81 21 94</t>
        </is>
      </c>
      <c r="G215" s="29" t="inlineStr">
        <is>
          <t>+225 07 07 12 27 87</t>
        </is>
      </c>
      <c r="H215" s="29" t="inlineStr">
        <is>
          <t>+225 01 51 81 21 94</t>
        </is>
      </c>
      <c r="I215" s="29" t="inlineStr">
        <is>
          <t>winexag@gmail.com</t>
        </is>
      </c>
      <c r="J215" s="29" t="inlineStr"/>
      <c r="K215" s="29" t="inlineStr">
        <is>
          <t>Directeur des Etudes</t>
        </is>
      </c>
      <c r="L215" s="30" t="inlineStr">
        <is>
          <t>Haute</t>
        </is>
      </c>
      <c r="M215" s="29" t="inlineStr">
        <is>
          <t>MESRS - liste officielle grandes ecoles</t>
        </is>
      </c>
      <c r="N215" s="29" t="inlineStr">
        <is>
          <t>gratuite</t>
        </is>
      </c>
      <c r="O215" s="14" t="inlineStr">
        <is>
          <t>a verifier</t>
        </is>
      </c>
      <c r="P215" s="29" t="inlineStr">
        <is>
          <t>numerique</t>
        </is>
      </c>
    </row>
    <row r="216">
      <c r="A216" s="29" t="inlineStr">
        <is>
          <t>SUP'ELITE BUSINESS SCHOOL</t>
        </is>
      </c>
      <c r="B216" s="29" t="inlineStr">
        <is>
          <t>Grande ecole BTS - finances comptabilite, gestion commerciale, logistique</t>
        </is>
      </c>
      <c r="C216" s="29" t="inlineStr">
        <is>
          <t>Prive</t>
        </is>
      </c>
      <c r="D216" s="29" t="inlineStr">
        <is>
          <t>Abidjan - Cocody</t>
        </is>
      </c>
      <c r="E216" s="29" t="inlineStr">
        <is>
          <t>Cocody Mermoz</t>
        </is>
      </c>
      <c r="F216" s="29" t="inlineStr">
        <is>
          <t>+225 27 22 44 57 38</t>
        </is>
      </c>
      <c r="G216" s="29" t="inlineStr"/>
      <c r="H216" s="29" t="inlineStr"/>
      <c r="I216" s="29" t="inlineStr">
        <is>
          <t>info@supelite-ci.com</t>
        </is>
      </c>
      <c r="J216" s="29" t="inlineStr">
        <is>
          <t>https://www:supelite-ci.com</t>
        </is>
      </c>
      <c r="K216" s="29" t="inlineStr">
        <is>
          <t>Directeur des Etudes</t>
        </is>
      </c>
      <c r="L216" s="30" t="inlineStr">
        <is>
          <t>Haute</t>
        </is>
      </c>
      <c r="M216" s="29" t="inlineStr">
        <is>
          <t>MESRS - liste officielle grandes ecoles</t>
        </is>
      </c>
      <c r="N216" s="29" t="inlineStr">
        <is>
          <t>domaine propre</t>
        </is>
      </c>
      <c r="O216" s="14" t="inlineStr">
        <is>
          <t>a verifier</t>
        </is>
      </c>
      <c r="P216" s="29" t="inlineStr">
        <is>
          <t>commerce</t>
        </is>
      </c>
    </row>
    <row r="217">
      <c r="A217" s="29" t="inlineStr">
        <is>
          <t>UCAO-UUA - Universite Catholique de l'Afrique de l'Ouest</t>
        </is>
      </c>
      <c r="B217" s="29" t="inlineStr">
        <is>
          <t>Universite privee - pluridisciplinaire</t>
        </is>
      </c>
      <c r="C217" s="29" t="inlineStr">
        <is>
          <t>Prive confessionnel</t>
        </is>
      </c>
      <c r="D217" s="29" t="inlineStr">
        <is>
          <t>Abidjan - Cocody</t>
        </is>
      </c>
      <c r="E217" s="29" t="inlineStr">
        <is>
          <t>Rue Sainte Marie Cocody - 08 BP 22 Abidjan 08</t>
        </is>
      </c>
      <c r="F217" s="29" t="inlineStr">
        <is>
          <t>+225 27 22 40 06 50</t>
        </is>
      </c>
      <c r="G217" s="29" t="inlineStr">
        <is>
          <t>+225 05 46 01 92 70</t>
        </is>
      </c>
      <c r="H217" s="29" t="inlineStr"/>
      <c r="I217" s="29" t="inlineStr">
        <is>
          <t>info@ucaouua.com</t>
        </is>
      </c>
      <c r="J217" s="29" t="inlineStr">
        <is>
          <t>ucaouua.com</t>
        </is>
      </c>
      <c r="K217" s="29" t="inlineStr">
        <is>
          <t>Directeur des Etudes</t>
        </is>
      </c>
      <c r="L217" s="30" t="inlineStr">
        <is>
          <t>Haute</t>
        </is>
      </c>
      <c r="M217" s="29" t="inlineStr">
        <is>
          <t>Site officiel ucaouua.com</t>
        </is>
      </c>
      <c r="N217" s="29" t="inlineStr">
        <is>
          <t>domaine propre</t>
        </is>
      </c>
      <c r="O217" s="30" t="inlineStr">
        <is>
          <t>valide</t>
        </is>
      </c>
      <c r="P217" s="29" t="inlineStr">
        <is>
          <t>universite</t>
        </is>
      </c>
    </row>
    <row r="218">
      <c r="A218" s="29" t="inlineStr">
        <is>
          <t>UNIVERSITE CHARLES-LOUIS DE MONTESQUIEU COCODY_GRANDE ECOLE (UCLM COCODY_GRANDE ECOLE)</t>
        </is>
      </c>
      <c r="B218" s="29" t="inlineStr">
        <is>
          <t>Grande ecole BTS - assistanat de direction, agriculture tropicale, finances comptabilite</t>
        </is>
      </c>
      <c r="C218" s="29" t="inlineStr">
        <is>
          <t>Prive</t>
        </is>
      </c>
      <c r="D218" s="29" t="inlineStr">
        <is>
          <t>Abidjan - Cocody</t>
        </is>
      </c>
      <c r="E218" s="29" t="inlineStr">
        <is>
          <t>Cocody Cité Mermoz</t>
        </is>
      </c>
      <c r="F218" s="29" t="inlineStr">
        <is>
          <t>+225 07 07 87 25 41</t>
        </is>
      </c>
      <c r="G218" s="29" t="inlineStr">
        <is>
          <t>+225 07 07 33 27 64</t>
        </is>
      </c>
      <c r="H218" s="29" t="inlineStr">
        <is>
          <t>+225 07 07 87 25 41</t>
        </is>
      </c>
      <c r="I218" s="29" t="inlineStr">
        <is>
          <t>amoa_lifep@yahoo.fr</t>
        </is>
      </c>
      <c r="J218" s="29" t="inlineStr">
        <is>
          <t>https://www.univ-clm.net</t>
        </is>
      </c>
      <c r="K218" s="29" t="inlineStr">
        <is>
          <t>Directeur des Etudes</t>
        </is>
      </c>
      <c r="L218" s="30" t="inlineStr">
        <is>
          <t>Haute</t>
        </is>
      </c>
      <c r="M218" s="29" t="inlineStr">
        <is>
          <t>MESRS - liste officielle grandes ecoles</t>
        </is>
      </c>
      <c r="N218" s="29" t="inlineStr">
        <is>
          <t>gratuite</t>
        </is>
      </c>
      <c r="O218" s="14" t="inlineStr">
        <is>
          <t>a verifier</t>
        </is>
      </c>
      <c r="P218" s="29" t="inlineStr">
        <is>
          <t>universite</t>
        </is>
      </c>
    </row>
    <row r="219">
      <c r="A219" s="29" t="inlineStr">
        <is>
          <t>UNIVERSITE INTERNATIONALE AL-MOUSTAPHA DE COTE D'IVOIRE (UIAMCI) (UIM-CI)</t>
        </is>
      </c>
      <c r="B219" s="29" t="inlineStr">
        <is>
          <t>Grande ecole Licence - droit, philosophie, sciences economiques</t>
        </is>
      </c>
      <c r="C219" s="29" t="inlineStr">
        <is>
          <t>Prive</t>
        </is>
      </c>
      <c r="D219" s="29" t="inlineStr">
        <is>
          <t>Abidjan - Cocody</t>
        </is>
      </c>
      <c r="E219" s="29" t="inlineStr">
        <is>
          <t>RIVIERA PALMERAIE, SIPIM, FACE AU GROUPE SCOLAIRE NOTRE DAME</t>
        </is>
      </c>
      <c r="F219" s="29" t="inlineStr">
        <is>
          <t>+225 27 22 47 05 89</t>
        </is>
      </c>
      <c r="G219" s="29" t="inlineStr">
        <is>
          <t>+225 07 07 07 60 65</t>
        </is>
      </c>
      <c r="H219" s="29" t="inlineStr">
        <is>
          <t>+225 07 07 07 60 65</t>
        </is>
      </c>
      <c r="I219" s="29" t="inlineStr">
        <is>
          <t>universitealmustafa@gmail.com</t>
        </is>
      </c>
      <c r="J219" s="29" t="inlineStr"/>
      <c r="K219" s="29" t="inlineStr">
        <is>
          <t>Directeur des Etudes</t>
        </is>
      </c>
      <c r="L219" s="30" t="inlineStr">
        <is>
          <t>Haute</t>
        </is>
      </c>
      <c r="M219" s="29" t="inlineStr">
        <is>
          <t>MESRS - liste officielle grandes ecoles</t>
        </is>
      </c>
      <c r="N219" s="29" t="inlineStr">
        <is>
          <t>gratuite</t>
        </is>
      </c>
      <c r="O219" s="14" t="inlineStr">
        <is>
          <t>a verifier</t>
        </is>
      </c>
      <c r="P219" s="29" t="inlineStr">
        <is>
          <t>universite</t>
        </is>
      </c>
    </row>
    <row r="220">
      <c r="A220" s="29" t="inlineStr">
        <is>
          <t>UNIVERSITE INTERNATIONALE DE COCODY_GRANDE ECOLE (UIC_GRANDE ECOLE)</t>
        </is>
      </c>
      <c r="B220" s="29" t="inlineStr">
        <is>
          <t>Grande ecole BTS - assistanat de direction, finances comptabilite, gestion commerciale</t>
        </is>
      </c>
      <c r="C220" s="29" t="inlineStr">
        <is>
          <t>Prive</t>
        </is>
      </c>
      <c r="D220" s="29" t="inlineStr">
        <is>
          <t>Abidjan - Cocody</t>
        </is>
      </c>
      <c r="E220" s="29" t="inlineStr">
        <is>
          <t>Cocody angre non loin du cafe de versaille</t>
        </is>
      </c>
      <c r="F220" s="29" t="inlineStr">
        <is>
          <t>+225 07 09 88 54 31</t>
        </is>
      </c>
      <c r="G220" s="29" t="inlineStr">
        <is>
          <t>+225 07 78 63 74 00</t>
        </is>
      </c>
      <c r="H220" s="29" t="inlineStr">
        <is>
          <t>+225 07 09 88 54 31</t>
        </is>
      </c>
      <c r="I220" s="29" t="inlineStr">
        <is>
          <t>infos.uic@laposte.net</t>
        </is>
      </c>
      <c r="J220" s="29" t="inlineStr">
        <is>
          <t>https://www:uic-ci.com</t>
        </is>
      </c>
      <c r="K220" s="29" t="inlineStr">
        <is>
          <t>Directeur des Etudes</t>
        </is>
      </c>
      <c r="L220" s="30" t="inlineStr">
        <is>
          <t>Haute</t>
        </is>
      </c>
      <c r="M220" s="29" t="inlineStr">
        <is>
          <t>MESRS - liste officielle grandes ecoles</t>
        </is>
      </c>
      <c r="N220" s="29" t="inlineStr">
        <is>
          <t>gratuite</t>
        </is>
      </c>
      <c r="O220" s="14" t="inlineStr">
        <is>
          <t>a verifier</t>
        </is>
      </c>
      <c r="P220" s="29" t="inlineStr">
        <is>
          <t>universite</t>
        </is>
      </c>
    </row>
    <row r="221">
      <c r="A221" s="29" t="inlineStr">
        <is>
          <t>UNIVERSITE POLYTECHNIQUE MODERNE MONA (UPM MONA)</t>
        </is>
      </c>
      <c r="B221" s="29" t="inlineStr">
        <is>
          <t>Grande ecole BTS - assistanat de direction, agriculture tropicale, electrotechnique</t>
        </is>
      </c>
      <c r="C221" s="29" t="inlineStr">
        <is>
          <t>Prive</t>
        </is>
      </c>
      <c r="D221" s="29" t="inlineStr">
        <is>
          <t>Abidjan - Cocody</t>
        </is>
      </c>
      <c r="E221" s="29" t="inlineStr">
        <is>
          <t>2 PLATEAUX VALLON RUE DES JARDINS DERRIERE LA PHARMACIE ST GIL</t>
        </is>
      </c>
      <c r="F221" s="29" t="inlineStr">
        <is>
          <t>+225 27 22 41 58 28</t>
        </is>
      </c>
      <c r="G221" s="29" t="inlineStr">
        <is>
          <t>+225 07 07 87 01 30</t>
        </is>
      </c>
      <c r="H221" s="29" t="inlineStr">
        <is>
          <t>+225 07 07 87 01 30</t>
        </is>
      </c>
      <c r="I221" s="29" t="inlineStr">
        <is>
          <t>universitepolytechmona@gmail.com</t>
        </is>
      </c>
      <c r="J221" s="29" t="inlineStr"/>
      <c r="K221" s="29" t="inlineStr">
        <is>
          <t>Directeur des Etudes</t>
        </is>
      </c>
      <c r="L221" s="30" t="inlineStr">
        <is>
          <t>Haute</t>
        </is>
      </c>
      <c r="M221" s="29" t="inlineStr">
        <is>
          <t>MESRS - liste officielle grandes ecoles</t>
        </is>
      </c>
      <c r="N221" s="29" t="inlineStr">
        <is>
          <t>gratuite</t>
        </is>
      </c>
      <c r="O221" s="14" t="inlineStr">
        <is>
          <t>a verifier</t>
        </is>
      </c>
      <c r="P221" s="29" t="inlineStr">
        <is>
          <t>universite</t>
        </is>
      </c>
    </row>
    <row r="222">
      <c r="A222" s="29" t="inlineStr">
        <is>
          <t>Université Internationale des Sciences Appliquées et de Technologies - UNISAT (BTS)</t>
        </is>
      </c>
      <c r="B222" s="29" t="inlineStr">
        <is>
          <t>Grande ecole BTS - finances comptabilite, gestion commerciale, informatique developpeur d'applications</t>
        </is>
      </c>
      <c r="C222" s="29" t="inlineStr">
        <is>
          <t>Prive</t>
        </is>
      </c>
      <c r="D222" s="29" t="inlineStr">
        <is>
          <t>Abidjan - Cocody</t>
        </is>
      </c>
      <c r="E222" s="29" t="inlineStr">
        <is>
          <t>Située à Cocody les II Plateaux derrière la Polyclinique des II Plateaux</t>
        </is>
      </c>
      <c r="F222" s="29" t="inlineStr"/>
      <c r="G222" s="29" t="inlineStr"/>
      <c r="H222" s="29" t="inlineStr"/>
      <c r="I222" s="29" t="inlineStr">
        <is>
          <t>unisat.scitech@yahoo.fr</t>
        </is>
      </c>
      <c r="J222" s="29" t="inlineStr">
        <is>
          <t>https://www.unisat-ci.net</t>
        </is>
      </c>
      <c r="K222" s="29" t="inlineStr">
        <is>
          <t>Directeur des Etudes</t>
        </is>
      </c>
      <c r="L222" s="30" t="inlineStr">
        <is>
          <t>Haute</t>
        </is>
      </c>
      <c r="M222" s="29" t="inlineStr">
        <is>
          <t>MESRS - liste officielle grandes ecoles</t>
        </is>
      </c>
      <c r="N222" s="29" t="inlineStr">
        <is>
          <t>gratuite</t>
        </is>
      </c>
      <c r="O222" s="14" t="inlineStr">
        <is>
          <t>a verifier</t>
        </is>
      </c>
      <c r="P222" s="29" t="inlineStr">
        <is>
          <t>universite</t>
        </is>
      </c>
    </row>
    <row r="223">
      <c r="A223" s="29" t="inlineStr">
        <is>
          <t>VERACES RICHTER COLLEGE (VRC)</t>
        </is>
      </c>
      <c r="B223" s="29" t="inlineStr">
        <is>
          <t>Grande ecole BTS - finances comptabilite, informatique developpeur d'applications, ressources humaines</t>
        </is>
      </c>
      <c r="C223" s="29" t="inlineStr">
        <is>
          <t>Prive</t>
        </is>
      </c>
      <c r="D223" s="29" t="inlineStr">
        <is>
          <t>Abidjan - Cocody</t>
        </is>
      </c>
      <c r="E223" s="29" t="inlineStr">
        <is>
          <t>COCODY ANGRE NOUVEAU CHU</t>
        </is>
      </c>
      <c r="F223" s="29" t="inlineStr">
        <is>
          <t>+225 27 21 76 59 18</t>
        </is>
      </c>
      <c r="G223" s="29" t="inlineStr">
        <is>
          <t>+225 27 21 32 69 62</t>
        </is>
      </c>
      <c r="H223" s="29" t="inlineStr">
        <is>
          <t>+225 07 57 84 59 16</t>
        </is>
      </c>
      <c r="I223" s="29" t="inlineStr"/>
      <c r="J223" s="29" t="inlineStr">
        <is>
          <t>https://www.richter-university-collège.com</t>
        </is>
      </c>
      <c r="K223" s="29" t="inlineStr">
        <is>
          <t>Directeur des Etudes</t>
        </is>
      </c>
      <c r="L223" s="30" t="inlineStr">
        <is>
          <t>Haute</t>
        </is>
      </c>
      <c r="M223" s="29" t="inlineStr">
        <is>
          <t>MESRS - liste officielle grandes ecoles</t>
        </is>
      </c>
      <c r="N223" s="29" t="inlineStr"/>
      <c r="O223" s="31" t="inlineStr">
        <is>
          <t>sans email</t>
        </is>
      </c>
      <c r="P223" s="29" t="inlineStr">
        <is>
          <t>lycee</t>
        </is>
      </c>
    </row>
    <row r="224">
      <c r="A224" s="29" t="inlineStr">
        <is>
          <t>Groupe ESC (Ecole Superieure de Commerce)</t>
        </is>
      </c>
      <c r="B224" s="29" t="inlineStr">
        <is>
          <t>Grande ecole - commerce / BTS</t>
        </is>
      </c>
      <c r="C224" s="29" t="inlineStr">
        <is>
          <t>Prive</t>
        </is>
      </c>
      <c r="D224" s="29" t="inlineStr">
        <is>
          <t>Abidjan - Cocody (pres INSAAC)</t>
        </is>
      </c>
      <c r="E224" s="29" t="inlineStr">
        <is>
          <t>Face Grand Mediateur de la Republique, 25 BP 726 Abidjan 25</t>
        </is>
      </c>
      <c r="F224" s="29" t="inlineStr">
        <is>
          <t>+225 27 22 48 89 95</t>
        </is>
      </c>
      <c r="G224" s="29" t="inlineStr">
        <is>
          <t>+225 01 40 66 57 22</t>
        </is>
      </c>
      <c r="H224" s="29" t="inlineStr">
        <is>
          <t>+225 01 40 66 57 22</t>
        </is>
      </c>
      <c r="I224" s="29" t="inlineStr">
        <is>
          <t>info@esc-abj-bke.net</t>
        </is>
      </c>
      <c r="J224" s="29" t="inlineStr">
        <is>
          <t>www.esc-abj-bke.com</t>
        </is>
      </c>
      <c r="K224" s="29" t="inlineStr">
        <is>
          <t>Directeur des Etudes</t>
        </is>
      </c>
      <c r="L224" s="29" t="inlineStr">
        <is>
          <t>Moyenne</t>
        </is>
      </c>
      <c r="M224" s="29" t="inlineStr">
        <is>
          <t>AnnuaireCI + alloecole.ci | email : AnnuaireCI</t>
        </is>
      </c>
      <c r="N224" s="29" t="inlineStr">
        <is>
          <t>domaine propre</t>
        </is>
      </c>
      <c r="O224" s="14" t="inlineStr">
        <is>
          <t>a verifier</t>
        </is>
      </c>
      <c r="P224" s="29" t="inlineStr">
        <is>
          <t>commerce</t>
        </is>
      </c>
    </row>
    <row r="225">
      <c r="A225" s="29" t="inlineStr">
        <is>
          <t>EIT-NTIC Abidjan - Ecole Internationale Tertiaire et de Nouvelles Technologies</t>
        </is>
      </c>
      <c r="B225" s="29" t="inlineStr">
        <is>
          <t>Institut superieur - informatique et tertiaire</t>
        </is>
      </c>
      <c r="C225" s="29" t="inlineStr">
        <is>
          <t>Prive</t>
        </is>
      </c>
      <c r="D225" s="29" t="inlineStr">
        <is>
          <t>Abidjan - Cocody Angre</t>
        </is>
      </c>
      <c r="E225" s="29" t="inlineStr">
        <is>
          <t>Angre pres du nouveau pont et de la pharmacie de la 7eme tranche</t>
        </is>
      </c>
      <c r="F225" s="29" t="inlineStr">
        <is>
          <t>+225 27 22 45 06 19</t>
        </is>
      </c>
      <c r="G225" s="29" t="inlineStr">
        <is>
          <t>+225 05 05 45 71 21</t>
        </is>
      </c>
      <c r="H225" s="29" t="inlineStr"/>
      <c r="I225" s="29" t="inlineStr"/>
      <c r="J225" s="29" t="inlineStr"/>
      <c r="K225" s="29" t="inlineStr">
        <is>
          <t>Directeur des Etudes</t>
        </is>
      </c>
      <c r="L225" s="29" t="inlineStr">
        <is>
          <t>Moyenne</t>
        </is>
      </c>
      <c r="M225" s="29" t="inlineStr">
        <is>
          <t>UPESUP</t>
        </is>
      </c>
      <c r="N225" s="29" t="inlineStr"/>
      <c r="O225" s="31" t="inlineStr">
        <is>
          <t>sans email</t>
        </is>
      </c>
      <c r="P225" s="29" t="inlineStr">
        <is>
          <t>numerique</t>
        </is>
      </c>
    </row>
    <row r="226">
      <c r="A226" s="29" t="inlineStr">
        <is>
          <t>UICI</t>
        </is>
      </c>
      <c r="B226" s="29" t="inlineStr">
        <is>
          <t>Etablissement superieur prive - pluridisciplinaire</t>
        </is>
      </c>
      <c r="C226" s="29" t="inlineStr">
        <is>
          <t>Prive</t>
        </is>
      </c>
      <c r="D226" s="29" t="inlineStr">
        <is>
          <t>Abidjan - Cocody Angre</t>
        </is>
      </c>
      <c r="E226" s="29" t="inlineStr">
        <is>
          <t>Angre 7eme tranche pres de la pharmacie de la 7eme - carrefour DJ Arafat</t>
        </is>
      </c>
      <c r="F226" s="29" t="inlineStr">
        <is>
          <t>+225 27 22 42 10 15</t>
        </is>
      </c>
      <c r="G226" s="29" t="inlineStr">
        <is>
          <t>+225 07 07 31 43 14</t>
        </is>
      </c>
      <c r="H226" s="29" t="inlineStr"/>
      <c r="I226" s="29" t="inlineStr"/>
      <c r="J226" s="29" t="inlineStr"/>
      <c r="K226" s="29" t="inlineStr">
        <is>
          <t>Directeur des Etudes</t>
        </is>
      </c>
      <c r="L226" s="29" t="inlineStr">
        <is>
          <t>Moyenne</t>
        </is>
      </c>
      <c r="M226" s="29" t="inlineStr">
        <is>
          <t>UPESUP</t>
        </is>
      </c>
      <c r="N226" s="29" t="inlineStr"/>
      <c r="O226" s="31" t="inlineStr">
        <is>
          <t>sans email</t>
        </is>
      </c>
      <c r="P226" s="29" t="inlineStr">
        <is>
          <t>defaut</t>
        </is>
      </c>
    </row>
    <row r="227">
      <c r="A227" s="29" t="inlineStr">
        <is>
          <t>IISAN</t>
        </is>
      </c>
      <c r="B227" s="29" t="inlineStr">
        <is>
          <t>Ecole superieure - BTS Licence Master informatique et reseaux</t>
        </is>
      </c>
      <c r="C227" s="29" t="inlineStr">
        <is>
          <t>Prive</t>
        </is>
      </c>
      <c r="D227" s="29" t="inlineStr">
        <is>
          <t>Abidjan - Cocody Angre 8eme Tranche</t>
        </is>
      </c>
      <c r="E227" s="29" t="inlineStr">
        <is>
          <t>Angre 8eme tranche Cocody</t>
        </is>
      </c>
      <c r="F227" s="29" t="inlineStr">
        <is>
          <t>+225 07 00 00 97 98</t>
        </is>
      </c>
      <c r="G227" s="29" t="inlineStr"/>
      <c r="H227" s="29" t="inlineStr"/>
      <c r="I227" s="29" t="inlineStr">
        <is>
          <t>contact@iisan-abidjan.com</t>
        </is>
      </c>
      <c r="J227" s="29" t="inlineStr">
        <is>
          <t>iisan-abidjan.com</t>
        </is>
      </c>
      <c r="K227" s="29" t="inlineStr">
        <is>
          <t>Directeur des Etudes</t>
        </is>
      </c>
      <c r="L227" s="30" t="inlineStr">
        <is>
          <t>Haute</t>
        </is>
      </c>
      <c r="M227" s="29" t="inlineStr">
        <is>
          <t>Site officiel iisan-abidjan.com + MESRS</t>
        </is>
      </c>
      <c r="N227" s="29" t="inlineStr">
        <is>
          <t>domaine propre</t>
        </is>
      </c>
      <c r="O227" s="30" t="inlineStr">
        <is>
          <t>valide</t>
        </is>
      </c>
      <c r="P227" s="29" t="inlineStr">
        <is>
          <t>numerique</t>
        </is>
      </c>
    </row>
    <row r="228">
      <c r="A228" s="29" t="inlineStr">
        <is>
          <t>Neurones Academy</t>
        </is>
      </c>
      <c r="B228" s="29" t="inlineStr">
        <is>
          <t>Centre de formation - informatique et cybersecurite</t>
        </is>
      </c>
      <c r="C228" s="29" t="inlineStr">
        <is>
          <t>Prive</t>
        </is>
      </c>
      <c r="D228" s="29" t="inlineStr">
        <is>
          <t>Abidjan - Cocody Angre 8eme Tranche</t>
        </is>
      </c>
      <c r="E228" s="29" t="inlineStr">
        <is>
          <t>Angre 8eme Tranche Abidjan</t>
        </is>
      </c>
      <c r="F228" s="29" t="inlineStr">
        <is>
          <t>+225 27 22 42 90 90</t>
        </is>
      </c>
      <c r="G228" s="29" t="inlineStr">
        <is>
          <t>+225 07 88 88 61 61</t>
        </is>
      </c>
      <c r="H228" s="29" t="inlineStr"/>
      <c r="I228" s="29" t="inlineStr">
        <is>
          <t>contact@neurones-academy.com</t>
        </is>
      </c>
      <c r="J228" s="29" t="inlineStr">
        <is>
          <t>neurones-academy.com</t>
        </is>
      </c>
      <c r="K228" s="29" t="inlineStr">
        <is>
          <t>Directeur des Etudes</t>
        </is>
      </c>
      <c r="L228" s="30" t="inlineStr">
        <is>
          <t>Haute</t>
        </is>
      </c>
      <c r="M228" s="29" t="inlineStr">
        <is>
          <t>Site officiel neurones-academy.com</t>
        </is>
      </c>
      <c r="N228" s="29" t="inlineStr">
        <is>
          <t>domaine propre</t>
        </is>
      </c>
      <c r="O228" s="30" t="inlineStr">
        <is>
          <t>valide</t>
        </is>
      </c>
      <c r="P228" s="29" t="inlineStr">
        <is>
          <t>numerique</t>
        </is>
      </c>
    </row>
    <row r="229">
      <c r="A229" s="29" t="inlineStr">
        <is>
          <t>Institut Booster Afrique</t>
        </is>
      </c>
      <c r="B229" s="29" t="inlineStr">
        <is>
          <t>Institut - BTS informatique reseaux et telecommunications</t>
        </is>
      </c>
      <c r="C229" s="29" t="inlineStr">
        <is>
          <t>Prive</t>
        </is>
      </c>
      <c r="D229" s="29" t="inlineStr">
        <is>
          <t>Abidjan - Cocody Angre Chateau</t>
        </is>
      </c>
      <c r="E229" s="29" t="inlineStr">
        <is>
          <t>Cocody Angre Chateau Rue L220</t>
        </is>
      </c>
      <c r="F229" s="29" t="inlineStr">
        <is>
          <t>+225 07 08 06 04 89</t>
        </is>
      </c>
      <c r="G229" s="29" t="inlineStr">
        <is>
          <t>+225 01 03 33 92 09</t>
        </is>
      </c>
      <c r="H229" s="29" t="inlineStr"/>
      <c r="I229" s="29" t="inlineStr"/>
      <c r="J229" s="29" t="inlineStr">
        <is>
          <t>institutboosterafrique.com</t>
        </is>
      </c>
      <c r="K229" s="29" t="inlineStr">
        <is>
          <t>Directeur des Etudes</t>
        </is>
      </c>
      <c r="L229" s="29" t="inlineStr">
        <is>
          <t>Moyenne</t>
        </is>
      </c>
      <c r="M229" s="29" t="inlineStr">
        <is>
          <t>institutboosterafrique.com</t>
        </is>
      </c>
      <c r="N229" s="29" t="inlineStr"/>
      <c r="O229" s="31" t="inlineStr">
        <is>
          <t>sans email</t>
        </is>
      </c>
      <c r="P229" s="29" t="inlineStr">
        <is>
          <t>communication</t>
        </is>
      </c>
    </row>
    <row r="230">
      <c r="A230" s="29" t="inlineStr">
        <is>
          <t>Groupe ESK - Ecole Superieure de Commerce et de Gestion</t>
        </is>
      </c>
      <c r="B230" s="29" t="inlineStr">
        <is>
          <t>Grande ecole - commerce / gestion</t>
        </is>
      </c>
      <c r="C230" s="29" t="inlineStr">
        <is>
          <t>Prive</t>
        </is>
      </c>
      <c r="D230" s="29" t="inlineStr">
        <is>
          <t>Abidjan - Cocody Angre Deux-Plateaux</t>
        </is>
      </c>
      <c r="E230" s="29" t="inlineStr">
        <is>
          <t>2 Plateaux Angre Route du Dokui - 06 BP 139 Abidjan 06</t>
        </is>
      </c>
      <c r="F230" s="29" t="inlineStr">
        <is>
          <t>+225 27 22 42 17 26</t>
        </is>
      </c>
      <c r="G230" s="29" t="inlineStr"/>
      <c r="H230" s="29" t="inlineStr"/>
      <c r="I230" s="29" t="inlineStr">
        <is>
          <t>groupeeskabidjan@yahoo.fr</t>
        </is>
      </c>
      <c r="J230" s="29" t="inlineStr">
        <is>
          <t>groupeesk.net</t>
        </is>
      </c>
      <c r="K230" s="29" t="inlineStr">
        <is>
          <t>Directeur des Etudes (par campus)</t>
        </is>
      </c>
      <c r="L230" s="30" t="inlineStr">
        <is>
          <t>Haute</t>
        </is>
      </c>
      <c r="M230" s="29" t="inlineStr">
        <is>
          <t>Le Grand Frere + MESRS</t>
        </is>
      </c>
      <c r="N230" s="29" t="inlineStr">
        <is>
          <t>gratuite</t>
        </is>
      </c>
      <c r="O230" s="30" t="inlineStr">
        <is>
          <t>valide</t>
        </is>
      </c>
      <c r="P230" s="29" t="inlineStr">
        <is>
          <t>commerce</t>
        </is>
      </c>
    </row>
    <row r="231">
      <c r="A231" s="29" t="inlineStr">
        <is>
          <t>EIPC-Abidjan - Ecole Internationale des Ponts et Chaussees</t>
        </is>
      </c>
      <c r="B231" s="29" t="inlineStr">
        <is>
          <t>Grande ecole - ingenierie / genie civil</t>
        </is>
      </c>
      <c r="C231" s="29" t="inlineStr">
        <is>
          <t>Prive</t>
        </is>
      </c>
      <c r="D231" s="29" t="inlineStr">
        <is>
          <t>Abidjan - Cocody Angre et Bingerville</t>
        </is>
      </c>
      <c r="E231" s="29" t="inlineStr">
        <is>
          <t>Cocody Angre Chateau Boulevard Latrille vers le chateau d eau - annexe Bingerville Adjin Palmeraie</t>
        </is>
      </c>
      <c r="F231" s="29" t="inlineStr">
        <is>
          <t>+225 27 22 29 03 55</t>
        </is>
      </c>
      <c r="G231" s="29" t="inlineStr">
        <is>
          <t>+225 07 59 06 33 01</t>
        </is>
      </c>
      <c r="H231" s="29" t="inlineStr"/>
      <c r="I231" s="29" t="inlineStr">
        <is>
          <t>secretariat@eipc-abidjan.ci</t>
        </is>
      </c>
      <c r="J231" s="29" t="inlineStr">
        <is>
          <t>eipc-abidjan.ci</t>
        </is>
      </c>
      <c r="K231" s="29" t="inlineStr">
        <is>
          <t>Directeur des Etudes (par campus)</t>
        </is>
      </c>
      <c r="L231" s="30" t="inlineStr">
        <is>
          <t>Haute</t>
        </is>
      </c>
      <c r="M231" s="29" t="inlineStr">
        <is>
          <t>Site officiel eipc-abidjan.ci</t>
        </is>
      </c>
      <c r="N231" s="29" t="inlineStr">
        <is>
          <t>domaine propre</t>
        </is>
      </c>
      <c r="O231" s="30" t="inlineStr">
        <is>
          <t>valide</t>
        </is>
      </c>
      <c r="P231" s="29" t="inlineStr">
        <is>
          <t>btp</t>
        </is>
      </c>
    </row>
    <row r="232">
      <c r="A232" s="29" t="inlineStr">
        <is>
          <t>IFSM (Institut de Formation Sainte Marie)</t>
        </is>
      </c>
      <c r="B232" s="29" t="inlineStr">
        <is>
          <t>Institut superieur et professionnel</t>
        </is>
      </c>
      <c r="C232" s="29" t="inlineStr">
        <is>
          <t>Prive</t>
        </is>
      </c>
      <c r="D232" s="29" t="inlineStr">
        <is>
          <t>Abidjan - Cocody Cite des Arts</t>
        </is>
      </c>
      <c r="E232" s="29" t="inlineStr">
        <is>
          <t>Boulevard Latrille, face Sodemi</t>
        </is>
      </c>
      <c r="F232" s="29" t="inlineStr">
        <is>
          <t>+225 07 57 25 15 42</t>
        </is>
      </c>
      <c r="G232" s="29" t="inlineStr">
        <is>
          <t>+225 05 94 55 09 17</t>
        </is>
      </c>
      <c r="H232" s="29" t="inlineStr">
        <is>
          <t>+225 07 57 25 15 42</t>
        </is>
      </c>
      <c r="I232" s="29" t="inlineStr">
        <is>
          <t>infos@ifsm.ci</t>
        </is>
      </c>
      <c r="J232" s="29" t="inlineStr">
        <is>
          <t>ifsm.ci</t>
        </is>
      </c>
      <c r="K232" s="29" t="inlineStr">
        <is>
          <t>Directeur des Etudes</t>
        </is>
      </c>
      <c r="L232" s="30" t="inlineStr">
        <is>
          <t>Haute</t>
        </is>
      </c>
      <c r="M232" s="29" t="inlineStr">
        <is>
          <t>Page contact ifsm.ci</t>
        </is>
      </c>
      <c r="N232" s="29" t="inlineStr">
        <is>
          <t>domaine propre</t>
        </is>
      </c>
      <c r="O232" s="30" t="inlineStr">
        <is>
          <t>valide</t>
        </is>
      </c>
      <c r="P232" s="29" t="inlineStr">
        <is>
          <t>defaut</t>
        </is>
      </c>
    </row>
    <row r="233">
      <c r="A233" s="29" t="inlineStr">
        <is>
          <t>Africa Digital Academy</t>
        </is>
      </c>
      <c r="B233" s="29" t="inlineStr">
        <is>
          <t>Academie - metiers du numerique</t>
        </is>
      </c>
      <c r="C233" s="29" t="inlineStr">
        <is>
          <t>Prive</t>
        </is>
      </c>
      <c r="D233" s="29" t="inlineStr">
        <is>
          <t>Abidjan - Cocody Danga</t>
        </is>
      </c>
      <c r="E233" s="29" t="inlineStr">
        <is>
          <t>Rue du Lycee Technique Immeuble Fidelis 2eme etage</t>
        </is>
      </c>
      <c r="F233" s="29" t="inlineStr">
        <is>
          <t>+225 07 49 57 41 91</t>
        </is>
      </c>
      <c r="G233" s="29" t="inlineStr"/>
      <c r="H233" s="29" t="inlineStr"/>
      <c r="I233" s="29" t="inlineStr">
        <is>
          <t>contact@africadigital.academy</t>
        </is>
      </c>
      <c r="J233" s="29" t="inlineStr"/>
      <c r="K233" s="29" t="inlineStr">
        <is>
          <t>Directeur des Etudes</t>
        </is>
      </c>
      <c r="L233" s="29" t="inlineStr">
        <is>
          <t>Moyenne</t>
        </is>
      </c>
      <c r="M233" s="29" t="inlineStr">
        <is>
          <t>Page officielle Africa Digital Academy</t>
        </is>
      </c>
      <c r="N233" s="29" t="inlineStr">
        <is>
          <t>domaine propre</t>
        </is>
      </c>
      <c r="O233" s="30" t="inlineStr">
        <is>
          <t>valide</t>
        </is>
      </c>
      <c r="P233" s="29" t="inlineStr">
        <is>
          <t>numerique</t>
        </is>
      </c>
    </row>
    <row r="234">
      <c r="A234" s="29" t="inlineStr">
        <is>
          <t>ENSIT - Ecole Nouvelle Superieure d'Ingenieurs et de Technologie</t>
        </is>
      </c>
      <c r="B234" s="29" t="inlineStr">
        <is>
          <t>Ecole d'ingenieurs - informatique et telecoms</t>
        </is>
      </c>
      <c r="C234" s="29" t="inlineStr">
        <is>
          <t>Prive</t>
        </is>
      </c>
      <c r="D234" s="29" t="inlineStr">
        <is>
          <t>Abidjan - Cocody Deux-Plateaux</t>
        </is>
      </c>
      <c r="E234" s="29" t="inlineStr">
        <is>
          <t>Rue Farandole K22 Boulevard des Martyrs pres de l'ENA - 01 BP 3114 Abidjan 01</t>
        </is>
      </c>
      <c r="F234" s="29" t="inlineStr">
        <is>
          <t>+225 01 01 53 30 36</t>
        </is>
      </c>
      <c r="G234" s="29" t="inlineStr">
        <is>
          <t>+225 27 22 41 65 63</t>
        </is>
      </c>
      <c r="H234" s="29" t="inlineStr"/>
      <c r="I234" s="29" t="inlineStr"/>
      <c r="J234" s="29" t="inlineStr">
        <is>
          <t>ensit.ci</t>
        </is>
      </c>
      <c r="K234" s="29" t="inlineStr">
        <is>
          <t>Directeur des Etudes</t>
        </is>
      </c>
      <c r="L234" s="29" t="inlineStr">
        <is>
          <t>Moyenne</t>
        </is>
      </c>
      <c r="M234" s="29" t="inlineStr">
        <is>
          <t>AnnuaireCI + ensit.ci</t>
        </is>
      </c>
      <c r="N234" s="29" t="inlineStr"/>
      <c r="O234" s="31" t="inlineStr">
        <is>
          <t>sans email</t>
        </is>
      </c>
      <c r="P234" s="29" t="inlineStr">
        <is>
          <t>numerique</t>
        </is>
      </c>
    </row>
    <row r="235">
      <c r="A235" s="29" t="inlineStr">
        <is>
          <t>ESIA - Ecole Superieure d'Informatique Appliquee</t>
        </is>
      </c>
      <c r="B235" s="29" t="inlineStr">
        <is>
          <t>Institut superieur - informatique</t>
        </is>
      </c>
      <c r="C235" s="29" t="inlineStr">
        <is>
          <t>Prive</t>
        </is>
      </c>
      <c r="D235" s="29" t="inlineStr">
        <is>
          <t>Abidjan - Cocody Deux-Plateaux Vallon</t>
        </is>
      </c>
      <c r="E235" s="29" t="inlineStr">
        <is>
          <t>2 Plateaux Vallon Rue des Jardins pres de NSIA Banque - annexe Riviera Attoban</t>
        </is>
      </c>
      <c r="F235" s="29" t="inlineStr">
        <is>
          <t>+225 27 21 76 18 25</t>
        </is>
      </c>
      <c r="G235" s="29" t="inlineStr">
        <is>
          <t>+225 27 21 76 59 75</t>
        </is>
      </c>
      <c r="H235" s="29" t="inlineStr">
        <is>
          <t>+225 07 79 74 04 14</t>
        </is>
      </c>
      <c r="I235" s="29" t="inlineStr">
        <is>
          <t>infos@esia-ci.com</t>
        </is>
      </c>
      <c r="J235" s="29" t="inlineStr">
        <is>
          <t>esia-ci.com</t>
        </is>
      </c>
      <c r="K235" s="29" t="inlineStr">
        <is>
          <t>Directeur des Etudes</t>
        </is>
      </c>
      <c r="L235" s="30" t="inlineStr">
        <is>
          <t>Haute</t>
        </is>
      </c>
      <c r="M235" s="29" t="inlineStr">
        <is>
          <t>Le Grand Frere + MESRS</t>
        </is>
      </c>
      <c r="N235" s="29" t="inlineStr">
        <is>
          <t>domaine propre</t>
        </is>
      </c>
      <c r="O235" s="14" t="inlineStr">
        <is>
          <t>a verifier</t>
        </is>
      </c>
      <c r="P235" s="29" t="inlineStr">
        <is>
          <t>numerique</t>
        </is>
      </c>
    </row>
    <row r="236">
      <c r="A236" s="29" t="inlineStr">
        <is>
          <t>GEIGE - Grande Ecole d'Informatique et de Gestion d'Entreprise</t>
        </is>
      </c>
      <c r="B236" s="29" t="inlineStr">
        <is>
          <t>Ecole d'informatique - reseaux telecoms et gestion</t>
        </is>
      </c>
      <c r="C236" s="29" t="inlineStr">
        <is>
          <t>Prive</t>
        </is>
      </c>
      <c r="D236" s="29" t="inlineStr">
        <is>
          <t>Abidjan - Cocody Deux-Plateaux Vallon</t>
        </is>
      </c>
      <c r="E236" s="29" t="inlineStr">
        <is>
          <t>Rue des Jardins face station Corlay</t>
        </is>
      </c>
      <c r="F236" s="29" t="inlineStr">
        <is>
          <t>+225 07 68 12 55 42</t>
        </is>
      </c>
      <c r="G236" s="29" t="inlineStr">
        <is>
          <t>+225 01 73 29 48 90</t>
        </is>
      </c>
      <c r="H236" s="29" t="inlineStr"/>
      <c r="I236" s="29" t="inlineStr">
        <is>
          <t>info@geige.ci</t>
        </is>
      </c>
      <c r="J236" s="29" t="inlineStr">
        <is>
          <t>geige.ci</t>
        </is>
      </c>
      <c r="K236" s="29" t="inlineStr">
        <is>
          <t>Directeur des Etudes</t>
        </is>
      </c>
      <c r="L236" s="30" t="inlineStr">
        <is>
          <t>Haute</t>
        </is>
      </c>
      <c r="M236" s="29" t="inlineStr">
        <is>
          <t>Site officiel geige.ci + MESRS</t>
        </is>
      </c>
      <c r="N236" s="29" t="inlineStr">
        <is>
          <t>domaine propre</t>
        </is>
      </c>
      <c r="O236" s="14" t="inlineStr">
        <is>
          <t>a verifier</t>
        </is>
      </c>
      <c r="P236" s="29" t="inlineStr">
        <is>
          <t>numerique</t>
        </is>
      </c>
    </row>
    <row r="237">
      <c r="A237" s="29" t="inlineStr">
        <is>
          <t>IMS - Institut de Management Superieur (GEA)</t>
        </is>
      </c>
      <c r="B237" s="29" t="inlineStr">
        <is>
          <t>Institut superieur - gestion des entreprises</t>
        </is>
      </c>
      <c r="C237" s="29" t="inlineStr">
        <is>
          <t>Prive</t>
        </is>
      </c>
      <c r="D237" s="29" t="inlineStr">
        <is>
          <t>Abidjan - Cocody Deux-Plateaux Vallon</t>
        </is>
      </c>
      <c r="E237" s="29" t="inlineStr">
        <is>
          <t>7 Impasse le Chandelier Immeuble le Chandelier Cocody II Plateaux les Vallons</t>
        </is>
      </c>
      <c r="F237" s="29" t="inlineStr">
        <is>
          <t>+225 27 22 41 36 49</t>
        </is>
      </c>
      <c r="G237" s="29" t="inlineStr">
        <is>
          <t>+225 07 49 93 40 68</t>
        </is>
      </c>
      <c r="H237" s="29" t="inlineStr"/>
      <c r="I237" s="29" t="inlineStr"/>
      <c r="J237" s="29" t="inlineStr"/>
      <c r="K237" s="29" t="inlineStr">
        <is>
          <t>Directeur des Etudes</t>
        </is>
      </c>
      <c r="L237" s="29" t="inlineStr">
        <is>
          <t>Moyenne</t>
        </is>
      </c>
      <c r="M237" s="29" t="inlineStr">
        <is>
          <t>UPESUP</t>
        </is>
      </c>
      <c r="N237" s="29" t="inlineStr"/>
      <c r="O237" s="31" t="inlineStr">
        <is>
          <t>sans email</t>
        </is>
      </c>
      <c r="P237" s="29" t="inlineStr">
        <is>
          <t>commerce</t>
        </is>
      </c>
    </row>
    <row r="238">
      <c r="A238" s="29" t="inlineStr">
        <is>
          <t>Sup'Management Cote d'Ivoire</t>
        </is>
      </c>
      <c r="B238" s="29" t="inlineStr">
        <is>
          <t>Ecole superieure - management et systemes d'information</t>
        </is>
      </c>
      <c r="C238" s="29" t="inlineStr">
        <is>
          <t>Prive</t>
        </is>
      </c>
      <c r="D238" s="29" t="inlineStr">
        <is>
          <t>Abidjan - Cocody Deux-Plateaux Vallon</t>
        </is>
      </c>
      <c r="E238" s="29" t="inlineStr">
        <is>
          <t>Rue des Jardins Deux Plateaux Vallon</t>
        </is>
      </c>
      <c r="F238" s="29" t="inlineStr">
        <is>
          <t>+225 27 22 41 22 67</t>
        </is>
      </c>
      <c r="G238" s="29" t="inlineStr"/>
      <c r="H238" s="29" t="inlineStr"/>
      <c r="I238" s="29" t="inlineStr">
        <is>
          <t>supmgtcivoire@supmanagement.ma</t>
        </is>
      </c>
      <c r="J238" s="29" t="inlineStr"/>
      <c r="K238" s="29" t="inlineStr">
        <is>
          <t>Directeur des Etudes</t>
        </is>
      </c>
      <c r="L238" s="29" t="inlineStr">
        <is>
          <t>Moyenne</t>
        </is>
      </c>
      <c r="M238" s="29" t="inlineStr">
        <is>
          <t>supmanagement.ma</t>
        </is>
      </c>
      <c r="N238" s="29" t="inlineStr">
        <is>
          <t>domaine propre</t>
        </is>
      </c>
      <c r="O238" s="30" t="inlineStr">
        <is>
          <t>valide</t>
        </is>
      </c>
      <c r="P238" s="29" t="inlineStr">
        <is>
          <t>commerce</t>
        </is>
      </c>
    </row>
    <row r="239">
      <c r="A239" s="29" t="inlineStr">
        <is>
          <t>Groupe ESCAM - Ecole Superieure de Commerce d'Administration et de Management</t>
        </is>
      </c>
      <c r="B239" s="29" t="inlineStr">
        <is>
          <t>Grande ecole - commerce / gestion</t>
        </is>
      </c>
      <c r="C239" s="29" t="inlineStr">
        <is>
          <t>Prive</t>
        </is>
      </c>
      <c r="D239" s="29" t="inlineStr">
        <is>
          <t>Abidjan - Cocody et Bingerville</t>
        </is>
      </c>
      <c r="E239" s="29" t="inlineStr">
        <is>
          <t>Campus Cocody et annexe Bingerville</t>
        </is>
      </c>
      <c r="F239" s="29" t="inlineStr">
        <is>
          <t>+225 05 46 10 56 04</t>
        </is>
      </c>
      <c r="G239" s="29" t="inlineStr"/>
      <c r="H239" s="29" t="inlineStr"/>
      <c r="I239" s="29" t="inlineStr">
        <is>
          <t>groupeescam@gmail.com</t>
        </is>
      </c>
      <c r="J239" s="29" t="inlineStr">
        <is>
          <t>escamci.com</t>
        </is>
      </c>
      <c r="K239" s="29" t="inlineStr">
        <is>
          <t>Directeur des Etudes (par campus)</t>
        </is>
      </c>
      <c r="L239" s="29" t="inlineStr">
        <is>
          <t>Moyenne</t>
        </is>
      </c>
      <c r="M239" s="29" t="inlineStr">
        <is>
          <t>Le Grand Frere</t>
        </is>
      </c>
      <c r="N239" s="29" t="inlineStr">
        <is>
          <t>gratuite</t>
        </is>
      </c>
      <c r="O239" s="30" t="inlineStr">
        <is>
          <t>valide</t>
        </is>
      </c>
      <c r="P239" s="29" t="inlineStr">
        <is>
          <t>commerce</t>
        </is>
      </c>
    </row>
    <row r="240">
      <c r="A240" s="29" t="inlineStr">
        <is>
          <t>Institut Universitaire d'Abidjan (IUA)</t>
        </is>
      </c>
      <c r="B240" s="29" t="inlineStr">
        <is>
          <t>Universite privee</t>
        </is>
      </c>
      <c r="C240" s="29" t="inlineStr">
        <is>
          <t>Prive</t>
        </is>
      </c>
      <c r="D240" s="29" t="inlineStr">
        <is>
          <t>Abidjan - Cocody II Plateaux 7e Tranche</t>
        </is>
      </c>
      <c r="E240" s="29" t="inlineStr">
        <is>
          <t>Rue L40, Carrefour Cascades, 01 BP 12159 Abidjan 01</t>
        </is>
      </c>
      <c r="F240" s="29" t="inlineStr">
        <is>
          <t>+225 27 22 42 22 65</t>
        </is>
      </c>
      <c r="G240" s="29" t="inlineStr">
        <is>
          <t>+225 07 07 23 18 62</t>
        </is>
      </c>
      <c r="H240" s="29" t="inlineStr">
        <is>
          <t>+225 07 07 23 18 62</t>
        </is>
      </c>
      <c r="I240" s="29" t="inlineStr">
        <is>
          <t>info@iua.org</t>
        </is>
      </c>
      <c r="J240" s="29" t="inlineStr">
        <is>
          <t>www.iuaci.org</t>
        </is>
      </c>
      <c r="K240" s="29" t="inlineStr">
        <is>
          <t>Directeur des Etudes</t>
        </is>
      </c>
      <c r="L240" s="30" t="inlineStr">
        <is>
          <t>Haute</t>
        </is>
      </c>
      <c r="M240" s="29" t="inlineStr">
        <is>
          <t>Page contact officielle iuaci.org</t>
        </is>
      </c>
      <c r="N240" s="29" t="inlineStr">
        <is>
          <t>domaine propre</t>
        </is>
      </c>
      <c r="O240" s="30" t="inlineStr">
        <is>
          <t>valide</t>
        </is>
      </c>
      <c r="P240" s="29" t="inlineStr">
        <is>
          <t>universite</t>
        </is>
      </c>
    </row>
    <row r="241">
      <c r="A241" s="29" t="inlineStr">
        <is>
          <t>ITES (Institut de Technologies et Specialites)</t>
        </is>
      </c>
      <c r="B241" s="29" t="inlineStr">
        <is>
          <t>Grande ecole - industriel / tertiaire</t>
        </is>
      </c>
      <c r="C241" s="29" t="inlineStr">
        <is>
          <t>Prive</t>
        </is>
      </c>
      <c r="D241" s="29" t="inlineStr">
        <is>
          <t>Abidjan - Cocody II Plateaux Sanon</t>
        </is>
      </c>
      <c r="E241" s="29" t="inlineStr">
        <is>
          <t>27 BP 498 Abidjan 27</t>
        </is>
      </c>
      <c r="F241" s="29" t="inlineStr">
        <is>
          <t>+225 27 22 52 20 84</t>
        </is>
      </c>
      <c r="G241" s="29" t="inlineStr"/>
      <c r="H241" s="29" t="inlineStr"/>
      <c r="I241" s="29" t="inlineStr"/>
      <c r="J241" s="29" t="inlineStr">
        <is>
          <t>www.ites.ci</t>
        </is>
      </c>
      <c r="K241" s="29" t="inlineStr">
        <is>
          <t>Directeur des Etudes</t>
        </is>
      </c>
      <c r="L241" s="29" t="inlineStr">
        <is>
          <t>Moyenne</t>
        </is>
      </c>
      <c r="M241" s="29" t="inlineStr">
        <is>
          <t>ites.ci + AnnuaireCI</t>
        </is>
      </c>
      <c r="N241" s="29" t="inlineStr"/>
      <c r="O241" s="31" t="inlineStr">
        <is>
          <t>sans email</t>
        </is>
      </c>
      <c r="P241" s="29" t="inlineStr">
        <is>
          <t>ingenieur</t>
        </is>
      </c>
    </row>
    <row r="242">
      <c r="A242" s="29" t="inlineStr">
        <is>
          <t>ESMA - Ecole de Specialites Multimedia d'Abidjan</t>
        </is>
      </c>
      <c r="B242" s="29" t="inlineStr">
        <is>
          <t>Grande ecole - multimedia / communication</t>
        </is>
      </c>
      <c r="C242" s="29" t="inlineStr">
        <is>
          <t>Prive</t>
        </is>
      </c>
      <c r="D242" s="29" t="inlineStr">
        <is>
          <t>Abidjan - Cocody Riviera 2</t>
        </is>
      </c>
      <c r="E242" s="29" t="inlineStr">
        <is>
          <t>Riviera 2 Rue Alpha Blondy - BP 65 Riviera 2 Abidjan</t>
        </is>
      </c>
      <c r="F242" s="29" t="inlineStr">
        <is>
          <t>+225 27 22 47 11 12</t>
        </is>
      </c>
      <c r="G242" s="29" t="inlineStr">
        <is>
          <t>+225 07 02 77 66 31</t>
        </is>
      </c>
      <c r="H242" s="29" t="inlineStr">
        <is>
          <t>+225 07 89 11 76 89</t>
        </is>
      </c>
      <c r="I242" s="29" t="inlineStr">
        <is>
          <t>infos@esma-edu.com</t>
        </is>
      </c>
      <c r="J242" s="29" t="inlineStr">
        <is>
          <t>esma-edu.com</t>
        </is>
      </c>
      <c r="K242" s="29" t="inlineStr">
        <is>
          <t>Directeur des Etudes (par campus)</t>
        </is>
      </c>
      <c r="L242" s="30" t="inlineStr">
        <is>
          <t>Haute</t>
        </is>
      </c>
      <c r="M242" s="29" t="inlineStr">
        <is>
          <t>Site officiel esma-edu.com + MESRS</t>
        </is>
      </c>
      <c r="N242" s="29" t="inlineStr">
        <is>
          <t>domaine propre</t>
        </is>
      </c>
      <c r="O242" s="30" t="inlineStr">
        <is>
          <t>valide</t>
        </is>
      </c>
      <c r="P242" s="29" t="inlineStr">
        <is>
          <t>communication</t>
        </is>
      </c>
    </row>
    <row r="243">
      <c r="A243" s="29" t="inlineStr">
        <is>
          <t>IIPEA - Institut International Polytechnique des Elites d'Abidjan</t>
        </is>
      </c>
      <c r="B243" s="29" t="inlineStr">
        <is>
          <t>Institut superieur - polytechnique pluridisciplinaire</t>
        </is>
      </c>
      <c r="C243" s="29" t="inlineStr">
        <is>
          <t>Prive</t>
        </is>
      </c>
      <c r="D243" s="29" t="inlineStr">
        <is>
          <t>Abidjan - Cocody Riviera 2</t>
        </is>
      </c>
      <c r="E243" s="29" t="inlineStr">
        <is>
          <t>Riviera 2 pres du College Andre Malraux</t>
        </is>
      </c>
      <c r="F243" s="29" t="inlineStr">
        <is>
          <t>+225 07 08 08 87 87</t>
        </is>
      </c>
      <c r="G243" s="29" t="inlineStr">
        <is>
          <t>+225 07 69 36 08 57</t>
        </is>
      </c>
      <c r="H243" s="29" t="inlineStr">
        <is>
          <t>+225 07 08 08 87 87</t>
        </is>
      </c>
      <c r="I243" s="29" t="inlineStr">
        <is>
          <t>secretariat@iipea.com</t>
        </is>
      </c>
      <c r="J243" s="29" t="inlineStr">
        <is>
          <t>iipea.com</t>
        </is>
      </c>
      <c r="K243" s="29" t="inlineStr">
        <is>
          <t>Directeur des Etudes (par campus)</t>
        </is>
      </c>
      <c r="L243" s="30" t="inlineStr">
        <is>
          <t>Haute</t>
        </is>
      </c>
      <c r="M243" s="29" t="inlineStr">
        <is>
          <t>AnnuaireCI + MESRS</t>
        </is>
      </c>
      <c r="N243" s="29" t="inlineStr">
        <is>
          <t>domaine propre</t>
        </is>
      </c>
      <c r="O243" s="30" t="inlineStr">
        <is>
          <t>valide</t>
        </is>
      </c>
      <c r="P243" s="29" t="inlineStr">
        <is>
          <t>ingenieur</t>
        </is>
      </c>
    </row>
    <row r="244">
      <c r="A244" s="29" t="inlineStr">
        <is>
          <t>CUP - Centre Universitaire Professionnalise d'Abidjan</t>
        </is>
      </c>
      <c r="B244" s="29" t="inlineStr">
        <is>
          <t>Centre universitaire - pluridisciplinaire</t>
        </is>
      </c>
      <c r="C244" s="29" t="inlineStr">
        <is>
          <t>Prive</t>
        </is>
      </c>
      <c r="D244" s="29" t="inlineStr">
        <is>
          <t>Abidjan - Cocody Riviera 3</t>
        </is>
      </c>
      <c r="E244" s="29" t="inlineStr">
        <is>
          <t>Cocody Riviera 3 Abidjan</t>
        </is>
      </c>
      <c r="F244" s="29" t="inlineStr">
        <is>
          <t>+225 27 22 48 64 27</t>
        </is>
      </c>
      <c r="G244" s="29" t="inlineStr">
        <is>
          <t>+225 07 07 98 50 00</t>
        </is>
      </c>
      <c r="H244" s="29" t="inlineStr"/>
      <c r="I244" s="29" t="inlineStr">
        <is>
          <t>infos@cup-ci.org</t>
        </is>
      </c>
      <c r="J244" s="29" t="inlineStr">
        <is>
          <t>cup-ci.org</t>
        </is>
      </c>
      <c r="K244" s="29" t="inlineStr">
        <is>
          <t>Directeur des Etudes</t>
        </is>
      </c>
      <c r="L244" s="30" t="inlineStr">
        <is>
          <t>Haute</t>
        </is>
      </c>
      <c r="M244" s="29" t="inlineStr">
        <is>
          <t>Site officiel cup-ci.org</t>
        </is>
      </c>
      <c r="N244" s="29" t="inlineStr">
        <is>
          <t>domaine propre</t>
        </is>
      </c>
      <c r="O244" s="30" t="inlineStr">
        <is>
          <t>valide</t>
        </is>
      </c>
      <c r="P244" s="29" t="inlineStr">
        <is>
          <t>universite</t>
        </is>
      </c>
    </row>
    <row r="245">
      <c r="A245" s="29" t="inlineStr">
        <is>
          <t>Groupe CSI Pole Polytechnique</t>
        </is>
      </c>
      <c r="B245" s="29" t="inlineStr">
        <is>
          <t>Grande ecole - ingenierie / gestion</t>
        </is>
      </c>
      <c r="C245" s="29" t="inlineStr">
        <is>
          <t>Prive</t>
        </is>
      </c>
      <c r="D245" s="29" t="inlineStr">
        <is>
          <t>Abidjan - Cocody Riviera Bonoumin</t>
        </is>
      </c>
      <c r="E245" s="29" t="inlineStr">
        <is>
          <t>Riviera Bonoumin, Cocody</t>
        </is>
      </c>
      <c r="F245" s="29" t="inlineStr">
        <is>
          <t>+225 27 22 49 49 39</t>
        </is>
      </c>
      <c r="G245" s="29" t="inlineStr">
        <is>
          <t>+225 07 07 98 15 82</t>
        </is>
      </c>
      <c r="H245" s="29" t="inlineStr">
        <is>
          <t>+225 05 05 75 39 45</t>
        </is>
      </c>
      <c r="I245" s="29" t="inlineStr">
        <is>
          <t>info@groupecsi-pp.com</t>
        </is>
      </c>
      <c r="J245" s="29" t="inlineStr">
        <is>
          <t>groupecsi-pp.com</t>
        </is>
      </c>
      <c r="K245" s="29" t="inlineStr">
        <is>
          <t>Directeur des Etudes</t>
        </is>
      </c>
      <c r="L245" s="30" t="inlineStr">
        <is>
          <t>Haute</t>
        </is>
      </c>
      <c r="M245" s="29" t="inlineStr">
        <is>
          <t>Page contact officielle groupecsi-pp.com</t>
        </is>
      </c>
      <c r="N245" s="29" t="inlineStr">
        <is>
          <t>domaine propre</t>
        </is>
      </c>
      <c r="O245" s="30" t="inlineStr">
        <is>
          <t>valide</t>
        </is>
      </c>
      <c r="P245" s="29" t="inlineStr">
        <is>
          <t>commerce</t>
        </is>
      </c>
    </row>
    <row r="246">
      <c r="A246" s="29" t="inlineStr">
        <is>
          <t>IUPA Cocody - Institut Universitaire Polytechnique d'Abidjan</t>
        </is>
      </c>
      <c r="B246" s="29" t="inlineStr">
        <is>
          <t>Institut superieur - polytechnique</t>
        </is>
      </c>
      <c r="C246" s="29" t="inlineStr">
        <is>
          <t>Prive</t>
        </is>
      </c>
      <c r="D246" s="29" t="inlineStr">
        <is>
          <t>Abidjan - Cocody Riviera Bonoumin</t>
        </is>
      </c>
      <c r="E246" s="29" t="inlineStr">
        <is>
          <t>Carrefour Ahmed Ouattara Riviera Bonoumin Cocody - 01 BP 7762 Abidjan 01</t>
        </is>
      </c>
      <c r="F246" s="29" t="inlineStr">
        <is>
          <t>+225 27 22 59 12 84</t>
        </is>
      </c>
      <c r="G246" s="29" t="inlineStr">
        <is>
          <t>+225 05 55 43 22 69</t>
        </is>
      </c>
      <c r="H246" s="29" t="inlineStr">
        <is>
          <t>+225 05 55 43 22 69</t>
        </is>
      </c>
      <c r="I246" s="29" t="inlineStr">
        <is>
          <t>groupeiupaismt@gmail.com</t>
        </is>
      </c>
      <c r="J246" s="29" t="inlineStr">
        <is>
          <t>iupa-ismt.ci</t>
        </is>
      </c>
      <c r="K246" s="29" t="inlineStr">
        <is>
          <t>Directeur des Etudes (par campus)</t>
        </is>
      </c>
      <c r="L246" s="30" t="inlineStr">
        <is>
          <t>Haute</t>
        </is>
      </c>
      <c r="M246" s="29" t="inlineStr">
        <is>
          <t>Site officiel iupa-ismt.ci | email : Page contact officielle iupa-ismt.ci + MESRS</t>
        </is>
      </c>
      <c r="N246" s="29" t="inlineStr">
        <is>
          <t>gratuite</t>
        </is>
      </c>
      <c r="O246" s="14" t="inlineStr">
        <is>
          <t>a verifier</t>
        </is>
      </c>
      <c r="P246" s="29" t="inlineStr">
        <is>
          <t>ingenieur</t>
        </is>
      </c>
    </row>
    <row r="247">
      <c r="A247" s="29" t="inlineStr">
        <is>
          <t>UIST - Universite Internationale des Sciences et Technologie</t>
        </is>
      </c>
      <c r="B247" s="29" t="inlineStr">
        <is>
          <t>Universite privee - sciences et technologies</t>
        </is>
      </c>
      <c r="C247" s="29" t="inlineStr">
        <is>
          <t>Prive</t>
        </is>
      </c>
      <c r="D247" s="29" t="inlineStr">
        <is>
          <t>Abidjan - Cocody Riviera Bonoumin</t>
        </is>
      </c>
      <c r="E247" s="29" t="inlineStr">
        <is>
          <t>Riviera Bonoumin Ouest Cite Zinzou Lot 1285 Ilot 21 - 12 BP 1811 Abidjan 12</t>
        </is>
      </c>
      <c r="F247" s="29" t="inlineStr">
        <is>
          <t>+225 07 09 47 87 16</t>
        </is>
      </c>
      <c r="G247" s="29" t="inlineStr">
        <is>
          <t>+225 07 78 46 60 78</t>
        </is>
      </c>
      <c r="H247" s="29" t="inlineStr"/>
      <c r="I247" s="29" t="inlineStr"/>
      <c r="J247" s="29" t="inlineStr">
        <is>
          <t>uist.ci</t>
        </is>
      </c>
      <c r="K247" s="29" t="inlineStr">
        <is>
          <t>Directeur des Etudes</t>
        </is>
      </c>
      <c r="L247" s="30" t="inlineStr">
        <is>
          <t>Haute</t>
        </is>
      </c>
      <c r="M247" s="29" t="inlineStr">
        <is>
          <t>Site officiel uist.ci</t>
        </is>
      </c>
      <c r="N247" s="29" t="inlineStr"/>
      <c r="O247" s="31" t="inlineStr">
        <is>
          <t>sans email</t>
        </is>
      </c>
      <c r="P247" s="29" t="inlineStr">
        <is>
          <t>universite</t>
        </is>
      </c>
    </row>
    <row r="248">
      <c r="A248" s="29" t="inlineStr">
        <is>
          <t>Epitech Cote d'Ivoire</t>
        </is>
      </c>
      <c r="B248" s="29" t="inlineStr">
        <is>
          <t>Ecole d'informatique - Grande Ecole 5 ans et MSc Pro</t>
        </is>
      </c>
      <c r="C248" s="29" t="inlineStr">
        <is>
          <t>Prive</t>
        </is>
      </c>
      <c r="D248" s="29" t="inlineStr">
        <is>
          <t>Abidjan - Cocody Riviera Faya</t>
        </is>
      </c>
      <c r="E248" s="29" t="inlineStr">
        <is>
          <t>Riviera Faya Abidjan</t>
        </is>
      </c>
      <c r="F248" s="29" t="inlineStr"/>
      <c r="G248" s="29" t="inlineStr"/>
      <c r="H248" s="29" t="inlineStr"/>
      <c r="I248" s="29" t="inlineStr">
        <is>
          <t>info@epitech.bj</t>
        </is>
      </c>
      <c r="J248" s="29" t="inlineStr">
        <is>
          <t>epitech.africa/abidjan</t>
        </is>
      </c>
      <c r="K248" s="29" t="inlineStr">
        <is>
          <t>Directeur des Etudes</t>
        </is>
      </c>
      <c r="L248" s="30" t="inlineStr">
        <is>
          <t>Haute</t>
        </is>
      </c>
      <c r="M248" s="29" t="inlineStr">
        <is>
          <t>Site officiel epitech.africa</t>
        </is>
      </c>
      <c r="N248" s="29" t="inlineStr">
        <is>
          <t>domaine propre</t>
        </is>
      </c>
      <c r="O248" s="30" t="inlineStr">
        <is>
          <t>valide</t>
        </is>
      </c>
      <c r="P248" s="29" t="inlineStr">
        <is>
          <t>numerique</t>
        </is>
      </c>
    </row>
    <row r="249">
      <c r="A249" s="29" t="inlineStr">
        <is>
          <t>AGITEL-FORMATION</t>
        </is>
      </c>
      <c r="B249" s="29" t="inlineStr">
        <is>
          <t>Grande ecole - gestion / informatique</t>
        </is>
      </c>
      <c r="C249" s="29" t="inlineStr">
        <is>
          <t>Prive</t>
        </is>
      </c>
      <c r="D249" s="29" t="inlineStr">
        <is>
          <t>Abidjan - Cocody Riviera Palmeraie</t>
        </is>
      </c>
      <c r="E249" s="29" t="inlineStr">
        <is>
          <t>Rue Ministre, 03 BP 882 Abidjan 03</t>
        </is>
      </c>
      <c r="F249" s="29" t="inlineStr">
        <is>
          <t>+225 27 22 23 60 03</t>
        </is>
      </c>
      <c r="G249" s="29" t="inlineStr">
        <is>
          <t>+225 07 89 49 95 65</t>
        </is>
      </c>
      <c r="H249" s="29" t="inlineStr">
        <is>
          <t>+225 07 89 49 95 65</t>
        </is>
      </c>
      <c r="I249" s="29" t="inlineStr">
        <is>
          <t>infos@agitel-formation.net</t>
        </is>
      </c>
      <c r="J249" s="29" t="inlineStr">
        <is>
          <t>www.agitel-formation.net</t>
        </is>
      </c>
      <c r="K249" s="29" t="inlineStr">
        <is>
          <t>Directeur des Etudes / Directeur Pedagogique</t>
        </is>
      </c>
      <c r="L249" s="30" t="inlineStr">
        <is>
          <t>Haute</t>
        </is>
      </c>
      <c r="M249" s="29" t="inlineStr">
        <is>
          <t>Site officiel + AnnuaireCI + MESRS</t>
        </is>
      </c>
      <c r="N249" s="29" t="inlineStr">
        <is>
          <t>domaine propre</t>
        </is>
      </c>
      <c r="O249" s="30" t="inlineStr">
        <is>
          <t>valide</t>
        </is>
      </c>
      <c r="P249" s="29" t="inlineStr">
        <is>
          <t>numerique</t>
        </is>
      </c>
    </row>
    <row r="250">
      <c r="A250" s="29" t="inlineStr">
        <is>
          <t>GSM</t>
        </is>
      </c>
      <c r="B250" s="29" t="inlineStr">
        <is>
          <t>Etablissement superieur prive - gestion</t>
        </is>
      </c>
      <c r="C250" s="29" t="inlineStr">
        <is>
          <t>Prive</t>
        </is>
      </c>
      <c r="D250" s="29" t="inlineStr">
        <is>
          <t>Abidjan - Cocody Riviera Palmeraie</t>
        </is>
      </c>
      <c r="E250" s="29" t="inlineStr">
        <is>
          <t>Riviera Palmeraie pres de la Pharmacie Marie-Esther</t>
        </is>
      </c>
      <c r="F250" s="29" t="inlineStr">
        <is>
          <t>+225 05 54 27 28 75</t>
        </is>
      </c>
      <c r="G250" s="29" t="inlineStr"/>
      <c r="H250" s="29" t="inlineStr"/>
      <c r="I250" s="29" t="inlineStr">
        <is>
          <t>info@gradsm.net</t>
        </is>
      </c>
      <c r="J250" s="29" t="inlineStr">
        <is>
          <t>https://www.gradsm.net</t>
        </is>
      </c>
      <c r="K250" s="29" t="inlineStr">
        <is>
          <t>Directeur des Etudes</t>
        </is>
      </c>
      <c r="L250" s="30" t="inlineStr">
        <is>
          <t>Haute</t>
        </is>
      </c>
      <c r="M250" s="29" t="inlineStr">
        <is>
          <t>UPESUP + MESRS</t>
        </is>
      </c>
      <c r="N250" s="29" t="inlineStr">
        <is>
          <t>domaine propre</t>
        </is>
      </c>
      <c r="O250" s="14" t="inlineStr">
        <is>
          <t>a verifier</t>
        </is>
      </c>
      <c r="P250" s="29" t="inlineStr">
        <is>
          <t>commerce</t>
        </is>
      </c>
    </row>
    <row r="251">
      <c r="A251" s="29" t="inlineStr">
        <is>
          <t>Universite de l'Atlantique</t>
        </is>
      </c>
      <c r="B251" s="29" t="inlineStr">
        <is>
          <t>Universite privee</t>
        </is>
      </c>
      <c r="C251" s="29" t="inlineStr">
        <is>
          <t>Prive</t>
        </is>
      </c>
      <c r="D251" s="29" t="inlineStr">
        <is>
          <t>Abidjan - Cocody Rue des Jardins</t>
        </is>
      </c>
      <c r="E251" s="29" t="inlineStr">
        <is>
          <t>Cite des Cadres n19, 06 BP 6631 Abidjan 06</t>
        </is>
      </c>
      <c r="F251" s="29" t="inlineStr">
        <is>
          <t>+225 01 40 06 92 92</t>
        </is>
      </c>
      <c r="G251" s="29" t="inlineStr">
        <is>
          <t>+225 01 40 06 93 93</t>
        </is>
      </c>
      <c r="H251" s="29" t="inlineStr"/>
      <c r="I251" s="29" t="inlineStr">
        <is>
          <t>uatl@aviso.ci</t>
        </is>
      </c>
      <c r="J251" s="29" t="inlineStr">
        <is>
          <t>www.uatlantique.org</t>
        </is>
      </c>
      <c r="K251" s="29" t="inlineStr">
        <is>
          <t>Directeur des Etudes</t>
        </is>
      </c>
      <c r="L251" s="29" t="inlineStr">
        <is>
          <t>Moyenne</t>
        </is>
      </c>
      <c r="M251" s="29" t="inlineStr">
        <is>
          <t>uatlantique.org + AnnuaireCI</t>
        </is>
      </c>
      <c r="N251" s="29" t="inlineStr">
        <is>
          <t>gratuite</t>
        </is>
      </c>
      <c r="O251" s="30" t="inlineStr">
        <is>
          <t>valide</t>
        </is>
      </c>
      <c r="P251" s="29" t="inlineStr">
        <is>
          <t>universite</t>
        </is>
      </c>
    </row>
    <row r="252">
      <c r="A252" s="29" t="inlineStr">
        <is>
          <t>INSTITUT SUPERIEUR EZOUA (ISE IROBO / DABOU)</t>
        </is>
      </c>
      <c r="B252" s="29" t="inlineStr">
        <is>
          <t>Grande ecole BTS - assistanat de direction, agriculture tropicale, electrotechnique</t>
        </is>
      </c>
      <c r="C252" s="29" t="inlineStr">
        <is>
          <t>Prive</t>
        </is>
      </c>
      <c r="D252" s="29" t="inlineStr">
        <is>
          <t>Abidjan - Dabou</t>
        </is>
      </c>
      <c r="E252" s="29" t="inlineStr">
        <is>
          <t>IROBO A 42 KM DE DABOU ET 24 KM DE GRAND LAHOU</t>
        </is>
      </c>
      <c r="F252" s="29" t="inlineStr"/>
      <c r="G252" s="29" t="inlineStr"/>
      <c r="H252" s="29" t="inlineStr"/>
      <c r="I252" s="29" t="inlineStr">
        <is>
          <t>ezouaraymond@gmail.com</t>
        </is>
      </c>
      <c r="J252" s="29" t="inlineStr"/>
      <c r="K252" s="29" t="inlineStr">
        <is>
          <t>Directeur des Etudes</t>
        </is>
      </c>
      <c r="L252" s="30" t="inlineStr">
        <is>
          <t>Haute</t>
        </is>
      </c>
      <c r="M252" s="29" t="inlineStr">
        <is>
          <t>MESRS - liste officielle grandes ecoles</t>
        </is>
      </c>
      <c r="N252" s="29" t="inlineStr">
        <is>
          <t>gratuite</t>
        </is>
      </c>
      <c r="O252" s="14" t="inlineStr">
        <is>
          <t>a verifier</t>
        </is>
      </c>
      <c r="P252" s="29" t="inlineStr">
        <is>
          <t>commerce</t>
        </is>
      </c>
    </row>
    <row r="253">
      <c r="A253" s="29" t="inlineStr">
        <is>
          <t>Groupe CERCO Cote d'Ivoire</t>
        </is>
      </c>
      <c r="B253" s="29" t="inlineStr">
        <is>
          <t>Grande ecole - informatique / IA</t>
        </is>
      </c>
      <c r="C253" s="29" t="inlineStr">
        <is>
          <t>Prive</t>
        </is>
      </c>
      <c r="D253" s="29" t="inlineStr">
        <is>
          <t>Abidjan - Deux Plateaux Vallon</t>
        </is>
      </c>
      <c r="E253" s="29" t="inlineStr">
        <is>
          <t>07 BP 1092 Abidjan, Deux Plateaux Vallon</t>
        </is>
      </c>
      <c r="F253" s="29" t="inlineStr">
        <is>
          <t>+225 07 07 10 55 63</t>
        </is>
      </c>
      <c r="G253" s="29" t="inlineStr">
        <is>
          <t>+225 07 77 65 65 02</t>
        </is>
      </c>
      <c r="H253" s="29" t="inlineStr">
        <is>
          <t>+225 07 58 27 08 27</t>
        </is>
      </c>
      <c r="I253" s="29" t="inlineStr">
        <is>
          <t>cerco@groupecerco.com</t>
        </is>
      </c>
      <c r="J253" s="29" t="inlineStr">
        <is>
          <t>groupecerco.com</t>
        </is>
      </c>
      <c r="K253" s="29" t="inlineStr">
        <is>
          <t>Directeur des Etudes</t>
        </is>
      </c>
      <c r="L253" s="29" t="inlineStr">
        <is>
          <t>Moyenne</t>
        </is>
      </c>
      <c r="M253" s="29" t="inlineStr">
        <is>
          <t>groupecerco.com + AnnuaireCI</t>
        </is>
      </c>
      <c r="N253" s="29" t="inlineStr">
        <is>
          <t>domaine propre</t>
        </is>
      </c>
      <c r="O253" s="30" t="inlineStr">
        <is>
          <t>valide</t>
        </is>
      </c>
      <c r="P253" s="29" t="inlineStr">
        <is>
          <t>numerique</t>
        </is>
      </c>
    </row>
    <row r="254">
      <c r="A254" s="29" t="inlineStr">
        <is>
          <t>GROUPE MAAXIT ABIDJAN (GMA)</t>
        </is>
      </c>
      <c r="B254" s="29" t="inlineStr">
        <is>
          <t>Grande ecole BTS - agriculture tropicale, finances comptabilite, gestion commerciale</t>
        </is>
      </c>
      <c r="C254" s="29" t="inlineStr">
        <is>
          <t>Prive</t>
        </is>
      </c>
      <c r="D254" s="29" t="inlineStr">
        <is>
          <t>Abidjan - Duekoue</t>
        </is>
      </c>
      <c r="E254" s="29" t="inlineStr">
        <is>
          <t>A côté du grand marché de Duekoue et en face de la Coopec</t>
        </is>
      </c>
      <c r="F254" s="29" t="inlineStr">
        <is>
          <t>+225 27 23 00 12 28</t>
        </is>
      </c>
      <c r="G254" s="29" t="inlineStr"/>
      <c r="H254" s="29" t="inlineStr"/>
      <c r="I254" s="29" t="inlineStr">
        <is>
          <t>groupemaxxit@gmail.com</t>
        </is>
      </c>
      <c r="J254" s="29" t="inlineStr"/>
      <c r="K254" s="29" t="inlineStr">
        <is>
          <t>Directeur des Etudes</t>
        </is>
      </c>
      <c r="L254" s="30" t="inlineStr">
        <is>
          <t>Haute</t>
        </is>
      </c>
      <c r="M254" s="29" t="inlineStr">
        <is>
          <t>MESRS - liste officielle grandes ecoles</t>
        </is>
      </c>
      <c r="N254" s="29" t="inlineStr">
        <is>
          <t>gratuite</t>
        </is>
      </c>
      <c r="O254" s="14" t="inlineStr">
        <is>
          <t>a verifier</t>
        </is>
      </c>
      <c r="P254" s="29" t="inlineStr">
        <is>
          <t>commerce</t>
        </is>
      </c>
    </row>
    <row r="255">
      <c r="A255" s="29" t="inlineStr">
        <is>
          <t>AFRIQUE FORMATION</t>
        </is>
      </c>
      <c r="B255" s="29" t="inlineStr">
        <is>
          <t>Grande ecole BTS - assistanat de direction, agriculture tropicale, communication visuelle</t>
        </is>
      </c>
      <c r="C255" s="29" t="inlineStr">
        <is>
          <t>Prive</t>
        </is>
      </c>
      <c r="D255" s="29" t="inlineStr">
        <is>
          <t>Abidjan - Koumassi</t>
        </is>
      </c>
      <c r="E255" s="29" t="inlineStr"/>
      <c r="F255" s="29" t="inlineStr">
        <is>
          <t>+225 01 51 11 01 57</t>
        </is>
      </c>
      <c r="G255" s="29" t="inlineStr">
        <is>
          <t>+225 01 51 11 01 71</t>
        </is>
      </c>
      <c r="H255" s="29" t="inlineStr">
        <is>
          <t>+225 01 51 11 01 57</t>
        </is>
      </c>
      <c r="I255" s="29" t="inlineStr">
        <is>
          <t>directionafriqueformation@gmail.com</t>
        </is>
      </c>
      <c r="J255" s="29" t="inlineStr"/>
      <c r="K255" s="29" t="inlineStr">
        <is>
          <t>Directeur des Etudes</t>
        </is>
      </c>
      <c r="L255" s="30" t="inlineStr">
        <is>
          <t>Haute</t>
        </is>
      </c>
      <c r="M255" s="29" t="inlineStr">
        <is>
          <t>MESRS - liste officielle grandes ecoles</t>
        </is>
      </c>
      <c r="N255" s="29" t="inlineStr">
        <is>
          <t>gratuite</t>
        </is>
      </c>
      <c r="O255" s="14" t="inlineStr">
        <is>
          <t>a verifier</t>
        </is>
      </c>
      <c r="P255" s="29" t="inlineStr">
        <is>
          <t>commerce</t>
        </is>
      </c>
    </row>
    <row r="256">
      <c r="A256" s="29" t="inlineStr">
        <is>
          <t>CENTRE DES ETUDES SUPERIEURES DES ETUDES D'ABIDJAN KOUMASSI (CESA KOUMASSI)</t>
        </is>
      </c>
      <c r="B256" s="29" t="inlineStr">
        <is>
          <t>Grande ecole BTS - assistanat de direction, communication visuelle, finances comptabilite</t>
        </is>
      </c>
      <c r="C256" s="29" t="inlineStr">
        <is>
          <t>Prive</t>
        </is>
      </c>
      <c r="D256" s="29" t="inlineStr">
        <is>
          <t>Abidjan - Koumassi</t>
        </is>
      </c>
      <c r="E256" s="29" t="inlineStr">
        <is>
          <t>KOUMASSI NORD EST TERMINUS 05</t>
        </is>
      </c>
      <c r="F256" s="29" t="inlineStr">
        <is>
          <t>+225 27 21 56 31 74</t>
        </is>
      </c>
      <c r="G256" s="29" t="inlineStr"/>
      <c r="H256" s="29" t="inlineStr"/>
      <c r="I256" s="29" t="inlineStr">
        <is>
          <t>cofecesa@cofecesa.net</t>
        </is>
      </c>
      <c r="J256" s="29" t="inlineStr">
        <is>
          <t>http://www.cofecesa.net</t>
        </is>
      </c>
      <c r="K256" s="29" t="inlineStr">
        <is>
          <t>Directeur des Etudes</t>
        </is>
      </c>
      <c r="L256" s="30" t="inlineStr">
        <is>
          <t>Haute</t>
        </is>
      </c>
      <c r="M256" s="29" t="inlineStr">
        <is>
          <t>MESRS - liste officielle grandes ecoles</t>
        </is>
      </c>
      <c r="N256" s="29" t="inlineStr">
        <is>
          <t>domaine propre</t>
        </is>
      </c>
      <c r="O256" s="14" t="inlineStr">
        <is>
          <t>a verifier</t>
        </is>
      </c>
      <c r="P256" s="29" t="inlineStr">
        <is>
          <t>commerce</t>
        </is>
      </c>
    </row>
    <row r="257">
      <c r="A257" s="29" t="inlineStr">
        <is>
          <t>CESA Koumassi - Centre d Etudes Superieures des Affaires d Abidjan</t>
        </is>
      </c>
      <c r="B257" s="29" t="inlineStr">
        <is>
          <t>Ecole superieure privee - BTS Licence Master</t>
        </is>
      </c>
      <c r="C257" s="29" t="inlineStr">
        <is>
          <t>Prive</t>
        </is>
      </c>
      <c r="D257" s="29" t="inlineStr">
        <is>
          <t>Abidjan - Koumassi</t>
        </is>
      </c>
      <c r="E257" s="29" t="inlineStr">
        <is>
          <t>Koumassi Nord-Est quartier residentiel derriere le centre de sante</t>
        </is>
      </c>
      <c r="F257" s="29" t="inlineStr">
        <is>
          <t>+225 27 21 56 31 74</t>
        </is>
      </c>
      <c r="G257" s="29" t="inlineStr">
        <is>
          <t>+225 07 57 82 11 81</t>
        </is>
      </c>
      <c r="H257" s="29" t="inlineStr"/>
      <c r="I257" s="29" t="inlineStr"/>
      <c r="J257" s="29" t="inlineStr">
        <is>
          <t>cofecesa.net</t>
        </is>
      </c>
      <c r="K257" s="29" t="inlineStr">
        <is>
          <t>Directeur des Etudes</t>
        </is>
      </c>
      <c r="L257" s="29" t="inlineStr">
        <is>
          <t>Moyenne</t>
        </is>
      </c>
      <c r="M257" s="29" t="inlineStr">
        <is>
          <t>Le Grand Frere + UPESUP</t>
        </is>
      </c>
      <c r="N257" s="29" t="inlineStr"/>
      <c r="O257" s="31" t="inlineStr">
        <is>
          <t>sans email</t>
        </is>
      </c>
      <c r="P257" s="29" t="inlineStr">
        <is>
          <t>defaut</t>
        </is>
      </c>
    </row>
    <row r="258">
      <c r="A258" s="29" t="inlineStr">
        <is>
          <t>INSTITUT DE FORMATION SAINTE MARIE KOUMASSI (IFSM KOUMASSI)</t>
        </is>
      </c>
      <c r="B258" s="29" t="inlineStr">
        <is>
          <t>Grande ecole BTS - assistanat de direction, communication visuelle, finances comptabilite</t>
        </is>
      </c>
      <c r="C258" s="29" t="inlineStr">
        <is>
          <t>Prive</t>
        </is>
      </c>
      <c r="D258" s="29" t="inlineStr">
        <is>
          <t>Abidjan - Koumassi</t>
        </is>
      </c>
      <c r="E258" s="29" t="inlineStr">
        <is>
          <t>KOUMASSI SICOGI 1, Bvd 7 décembre, derrière EPP Lac</t>
        </is>
      </c>
      <c r="F258" s="29" t="inlineStr">
        <is>
          <t>+225 27 23 45 07 31</t>
        </is>
      </c>
      <c r="G258" s="29" t="inlineStr">
        <is>
          <t>+225 05 94 55 09 17</t>
        </is>
      </c>
      <c r="H258" s="29" t="inlineStr">
        <is>
          <t>+225 05 94 55 09 17</t>
        </is>
      </c>
      <c r="I258" s="29" t="inlineStr">
        <is>
          <t>ifsmkoumassi@gmail.com</t>
        </is>
      </c>
      <c r="J258" s="29" t="inlineStr">
        <is>
          <t>http:/www.ifsm.ci</t>
        </is>
      </c>
      <c r="K258" s="29" t="inlineStr">
        <is>
          <t>Directeur des Etudes</t>
        </is>
      </c>
      <c r="L258" s="30" t="inlineStr">
        <is>
          <t>Haute</t>
        </is>
      </c>
      <c r="M258" s="29" t="inlineStr">
        <is>
          <t>MESRS - liste officielle grandes ecoles</t>
        </is>
      </c>
      <c r="N258" s="29" t="inlineStr">
        <is>
          <t>gratuite</t>
        </is>
      </c>
      <c r="O258" s="14" t="inlineStr">
        <is>
          <t>a verifier</t>
        </is>
      </c>
      <c r="P258" s="29" t="inlineStr">
        <is>
          <t>commerce</t>
        </is>
      </c>
    </row>
    <row r="259">
      <c r="A259" s="29" t="inlineStr">
        <is>
          <t>INSTITUT DES SCIENCES APPLIQUEES ET DE TECHNOLOGIE (ISATECH)</t>
        </is>
      </c>
      <c r="B259" s="29" t="inlineStr">
        <is>
          <t>Grande ecole BTS - assistanat de direction, communication visuelle, finances comptabilite</t>
        </is>
      </c>
      <c r="C259" s="29" t="inlineStr">
        <is>
          <t>Prive</t>
        </is>
      </c>
      <c r="D259" s="29" t="inlineStr">
        <is>
          <t>Abidjan - Koumassi</t>
        </is>
      </c>
      <c r="E259" s="29" t="inlineStr"/>
      <c r="F259" s="29" t="inlineStr">
        <is>
          <t>+225 07 48 08 35 34</t>
        </is>
      </c>
      <c r="G259" s="29" t="inlineStr"/>
      <c r="H259" s="29" t="inlineStr">
        <is>
          <t>+225 07 48 08 35 34</t>
        </is>
      </c>
      <c r="I259" s="29" t="inlineStr">
        <is>
          <t>12345isatech@gmail.com</t>
        </is>
      </c>
      <c r="J259" s="29" t="inlineStr"/>
      <c r="K259" s="29" t="inlineStr">
        <is>
          <t>Directeur des Etudes</t>
        </is>
      </c>
      <c r="L259" s="30" t="inlineStr">
        <is>
          <t>Haute</t>
        </is>
      </c>
      <c r="M259" s="29" t="inlineStr">
        <is>
          <t>MESRS - liste officielle grandes ecoles</t>
        </is>
      </c>
      <c r="N259" s="29" t="inlineStr">
        <is>
          <t>gratuite</t>
        </is>
      </c>
      <c r="O259" s="14" t="inlineStr">
        <is>
          <t>a verifier</t>
        </is>
      </c>
      <c r="P259" s="29" t="inlineStr">
        <is>
          <t>numerique</t>
        </is>
      </c>
    </row>
    <row r="260">
      <c r="A260" s="29" t="inlineStr">
        <is>
          <t>INSTITUT INTERNATIONAL POLYTECHNIQUE DES ELITES D'ABIDJAN (IIPEA KOUMASSI)</t>
        </is>
      </c>
      <c r="B260" s="29" t="inlineStr">
        <is>
          <t>Grande ecole BTS - assistanat de direction, finances comptabilite, gestion commerciale</t>
        </is>
      </c>
      <c r="C260" s="29" t="inlineStr">
        <is>
          <t>Prive</t>
        </is>
      </c>
      <c r="D260" s="29" t="inlineStr">
        <is>
          <t>Abidjan - Koumassi</t>
        </is>
      </c>
      <c r="E260" s="29" t="inlineStr">
        <is>
          <t>Koumassi en face du Camp</t>
        </is>
      </c>
      <c r="F260" s="29" t="inlineStr">
        <is>
          <t>+225 07 02 39 77 03</t>
        </is>
      </c>
      <c r="G260" s="29" t="inlineStr">
        <is>
          <t>+225 07 02 01 71 27</t>
        </is>
      </c>
      <c r="H260" s="29" t="inlineStr">
        <is>
          <t>+225 07 02 39 77 03</t>
        </is>
      </c>
      <c r="I260" s="29" t="inlineStr">
        <is>
          <t>secretariat@iipea.com</t>
        </is>
      </c>
      <c r="J260" s="29" t="inlineStr">
        <is>
          <t>https://www.iipea.com</t>
        </is>
      </c>
      <c r="K260" s="29" t="inlineStr">
        <is>
          <t>Directeur des Etudes</t>
        </is>
      </c>
      <c r="L260" s="30" t="inlineStr">
        <is>
          <t>Haute</t>
        </is>
      </c>
      <c r="M260" s="29" t="inlineStr">
        <is>
          <t>MESRS - liste officielle grandes ecoles</t>
        </is>
      </c>
      <c r="N260" s="29" t="inlineStr">
        <is>
          <t>domaine propre</t>
        </is>
      </c>
      <c r="O260" s="14" t="inlineStr">
        <is>
          <t>a verifier</t>
        </is>
      </c>
      <c r="P260" s="29" t="inlineStr">
        <is>
          <t>ingenieur</t>
        </is>
      </c>
    </row>
    <row r="261">
      <c r="A261" s="29" t="inlineStr">
        <is>
          <t>INSTITUT SUPERIEUR GRACE MARIE (ISGM)</t>
        </is>
      </c>
      <c r="B261" s="29" t="inlineStr">
        <is>
          <t>Grande ecole BTS - assistanat de direction, electrotechnique, finances comptabilite</t>
        </is>
      </c>
      <c r="C261" s="29" t="inlineStr">
        <is>
          <t>Prive</t>
        </is>
      </c>
      <c r="D261" s="29" t="inlineStr">
        <is>
          <t>Abidjan - Koumassi</t>
        </is>
      </c>
      <c r="E261" s="29" t="inlineStr">
        <is>
          <t>Koumassi près de la cité pangolin : N°BUS : 11,32,05,24,92</t>
        </is>
      </c>
      <c r="F261" s="29" t="inlineStr">
        <is>
          <t>+225 07 47 68 63 40</t>
        </is>
      </c>
      <c r="G261" s="29" t="inlineStr">
        <is>
          <t>+225 07 09 95 08 65</t>
        </is>
      </c>
      <c r="H261" s="29" t="inlineStr">
        <is>
          <t>+225 07 47 68 63 40</t>
        </is>
      </c>
      <c r="I261" s="29" t="inlineStr"/>
      <c r="J261" s="29" t="inlineStr"/>
      <c r="K261" s="29" t="inlineStr">
        <is>
          <t>Directeur des Etudes</t>
        </is>
      </c>
      <c r="L261" s="30" t="inlineStr">
        <is>
          <t>Haute</t>
        </is>
      </c>
      <c r="M261" s="29" t="inlineStr">
        <is>
          <t>MESRS - liste officielle grandes ecoles</t>
        </is>
      </c>
      <c r="N261" s="29" t="inlineStr"/>
      <c r="O261" s="31" t="inlineStr">
        <is>
          <t>sans email</t>
        </is>
      </c>
      <c r="P261" s="29" t="inlineStr">
        <is>
          <t>commerce</t>
        </is>
      </c>
    </row>
    <row r="262">
      <c r="A262" s="29" t="inlineStr">
        <is>
          <t>INSTITUT SUPERIEUR TECHNIQUE LA COLOMBE (IST LA COLOMBE) (ISTCO)</t>
        </is>
      </c>
      <c r="B262" s="29" t="inlineStr">
        <is>
          <t>Grande ecole BTS - assistanat de direction, finances comptabilite, gestion commerciale</t>
        </is>
      </c>
      <c r="C262" s="29" t="inlineStr">
        <is>
          <t>Prive</t>
        </is>
      </c>
      <c r="D262" s="29" t="inlineStr">
        <is>
          <t>Abidjan - Koumassi</t>
        </is>
      </c>
      <c r="E262" s="29" t="inlineStr">
        <is>
          <t>KOUMASSI-REMBLAI FACE CITE SIR</t>
        </is>
      </c>
      <c r="F262" s="29" t="inlineStr">
        <is>
          <t>+225 27 21 28 75 28</t>
        </is>
      </c>
      <c r="G262" s="29" t="inlineStr"/>
      <c r="H262" s="29" t="inlineStr"/>
      <c r="I262" s="29" t="inlineStr">
        <is>
          <t>datonkere111@yahoo.fr</t>
        </is>
      </c>
      <c r="J262" s="29" t="inlineStr">
        <is>
          <t>https://www.gs.drissaballo.com</t>
        </is>
      </c>
      <c r="K262" s="29" t="inlineStr">
        <is>
          <t>Directeur des Etudes</t>
        </is>
      </c>
      <c r="L262" s="30" t="inlineStr">
        <is>
          <t>Haute</t>
        </is>
      </c>
      <c r="M262" s="29" t="inlineStr">
        <is>
          <t>MESRS - liste officielle grandes ecoles</t>
        </is>
      </c>
      <c r="N262" s="29" t="inlineStr">
        <is>
          <t>gratuite</t>
        </is>
      </c>
      <c r="O262" s="14" t="inlineStr">
        <is>
          <t>a verifier</t>
        </is>
      </c>
      <c r="P262" s="29" t="inlineStr">
        <is>
          <t>commerce</t>
        </is>
      </c>
    </row>
    <row r="263">
      <c r="A263" s="29" t="inlineStr">
        <is>
          <t>IST SAINTE THERESE KOUMASSI ABIDJAN</t>
        </is>
      </c>
      <c r="B263" s="29" t="inlineStr">
        <is>
          <t>Grande ecole BTS - assistanat de direction, finances comptabilite, gestion commerciale</t>
        </is>
      </c>
      <c r="C263" s="29" t="inlineStr">
        <is>
          <t>Prive</t>
        </is>
      </c>
      <c r="D263" s="29" t="inlineStr">
        <is>
          <t>Abidjan - Koumassi</t>
        </is>
      </c>
      <c r="E263" s="29" t="inlineStr">
        <is>
          <t>koumassi prodomo,terminus11</t>
        </is>
      </c>
      <c r="F263" s="29" t="inlineStr">
        <is>
          <t>+225 27 21 36 08 19</t>
        </is>
      </c>
      <c r="G263" s="29" t="inlineStr"/>
      <c r="H263" s="29" t="inlineStr"/>
      <c r="I263" s="29" t="inlineStr">
        <is>
          <t>istsaintetherese@gmail.com</t>
        </is>
      </c>
      <c r="J263" s="29" t="inlineStr"/>
      <c r="K263" s="29" t="inlineStr">
        <is>
          <t>Directeur des Etudes</t>
        </is>
      </c>
      <c r="L263" s="30" t="inlineStr">
        <is>
          <t>Haute</t>
        </is>
      </c>
      <c r="M263" s="29" t="inlineStr">
        <is>
          <t>MESRS - liste officielle grandes ecoles</t>
        </is>
      </c>
      <c r="N263" s="29" t="inlineStr">
        <is>
          <t>gratuite</t>
        </is>
      </c>
      <c r="O263" s="14" t="inlineStr">
        <is>
          <t>a verifier</t>
        </is>
      </c>
      <c r="P263" s="29" t="inlineStr">
        <is>
          <t>commerce</t>
        </is>
      </c>
    </row>
    <row r="264">
      <c r="A264" s="29" t="inlineStr">
        <is>
          <t>COURS SUPERIEUR SAINT PIERRE MARCORY (CSSP MARCORY)</t>
        </is>
      </c>
      <c r="B264" s="29" t="inlineStr">
        <is>
          <t>Grande ecole BTS - finances comptabilite, gestion commerciale, informatique developpeur d'applications</t>
        </is>
      </c>
      <c r="C264" s="29" t="inlineStr">
        <is>
          <t>Prive</t>
        </is>
      </c>
      <c r="D264" s="29" t="inlineStr">
        <is>
          <t>Abidjan - Marcory</t>
        </is>
      </c>
      <c r="E264" s="29" t="inlineStr">
        <is>
          <t>en face de Cap Sud Hyper Hayat</t>
        </is>
      </c>
      <c r="F264" s="29" t="inlineStr">
        <is>
          <t>+225 27 21 26 62 73</t>
        </is>
      </c>
      <c r="G264" s="29" t="inlineStr"/>
      <c r="H264" s="29" t="inlineStr"/>
      <c r="I264" s="29" t="inlineStr">
        <is>
          <t>csspci@yahoo.fr</t>
        </is>
      </c>
      <c r="J264" s="29" t="inlineStr"/>
      <c r="K264" s="29" t="inlineStr">
        <is>
          <t>Directeur des Etudes</t>
        </is>
      </c>
      <c r="L264" s="30" t="inlineStr">
        <is>
          <t>Haute</t>
        </is>
      </c>
      <c r="M264" s="29" t="inlineStr">
        <is>
          <t>MESRS - liste officielle grandes ecoles</t>
        </is>
      </c>
      <c r="N264" s="29" t="inlineStr">
        <is>
          <t>gratuite</t>
        </is>
      </c>
      <c r="O264" s="14" t="inlineStr">
        <is>
          <t>a verifier</t>
        </is>
      </c>
      <c r="P264" s="29" t="inlineStr">
        <is>
          <t>commerce</t>
        </is>
      </c>
    </row>
    <row r="265">
      <c r="A265" s="29" t="inlineStr">
        <is>
          <t>ECOLE DES CADRES D'ABIDJAN MARCORY (EDCA)</t>
        </is>
      </c>
      <c r="B265" s="29" t="inlineStr">
        <is>
          <t>Grande ecole BTS - finances comptabilite, genie civil, gestion commerciale</t>
        </is>
      </c>
      <c r="C265" s="29" t="inlineStr">
        <is>
          <t>Prive</t>
        </is>
      </c>
      <c r="D265" s="29" t="inlineStr">
        <is>
          <t>Abidjan - Marcory</t>
        </is>
      </c>
      <c r="E265" s="29" t="inlineStr">
        <is>
          <t>Marcory Anoumabo/ ATCI/ Maison blanche/ les palmiers.</t>
        </is>
      </c>
      <c r="F265" s="29" t="inlineStr">
        <is>
          <t>+225 05 54 82 01 66</t>
        </is>
      </c>
      <c r="G265" s="29" t="inlineStr">
        <is>
          <t>+225 05 95 26 53 92</t>
        </is>
      </c>
      <c r="H265" s="29" t="inlineStr">
        <is>
          <t>+225 05 54 82 01 66</t>
        </is>
      </c>
      <c r="I265" s="29" t="inlineStr">
        <is>
          <t>ecoledescadresdabidjanedca@gmail.com</t>
        </is>
      </c>
      <c r="J265" s="29" t="inlineStr"/>
      <c r="K265" s="29" t="inlineStr">
        <is>
          <t>Directeur des Etudes</t>
        </is>
      </c>
      <c r="L265" s="30" t="inlineStr">
        <is>
          <t>Haute</t>
        </is>
      </c>
      <c r="M265" s="29" t="inlineStr">
        <is>
          <t>MESRS - liste officielle grandes ecoles</t>
        </is>
      </c>
      <c r="N265" s="29" t="inlineStr">
        <is>
          <t>gratuite</t>
        </is>
      </c>
      <c r="O265" s="14" t="inlineStr">
        <is>
          <t>a verifier</t>
        </is>
      </c>
      <c r="P265" s="29" t="inlineStr">
        <is>
          <t>commerce</t>
        </is>
      </c>
    </row>
    <row r="266">
      <c r="A266" s="29" t="inlineStr">
        <is>
          <t>ECOLE DES SPÉCIALITÉS MULTIMÉDIA D'ABIDJAN MARCORY (ESMA MARCORY)</t>
        </is>
      </c>
      <c r="B266" s="29" t="inlineStr">
        <is>
          <t>Grande ecole BTS/Licence - communication visuelle, gestion commerciale, informatique developpeur d'applications</t>
        </is>
      </c>
      <c r="C266" s="29" t="inlineStr">
        <is>
          <t>Prive</t>
        </is>
      </c>
      <c r="D266" s="29" t="inlineStr">
        <is>
          <t>Abidjan - Marcory</t>
        </is>
      </c>
      <c r="E266" s="29" t="inlineStr">
        <is>
          <t>MARCORY ÉGLISE SAINTE THÉRÈSE</t>
        </is>
      </c>
      <c r="F266" s="29" t="inlineStr">
        <is>
          <t>+225 07 47 96 17 21</t>
        </is>
      </c>
      <c r="G266" s="29" t="inlineStr">
        <is>
          <t>+225 07 48 13 85 51</t>
        </is>
      </c>
      <c r="H266" s="29" t="inlineStr">
        <is>
          <t>+225 07 47 96 17 21</t>
        </is>
      </c>
      <c r="I266" s="29" t="inlineStr">
        <is>
          <t>infos@esma-edu.net</t>
        </is>
      </c>
      <c r="J266" s="29" t="inlineStr">
        <is>
          <t>https://www.esma-edu.com</t>
        </is>
      </c>
      <c r="K266" s="29" t="inlineStr">
        <is>
          <t>Directeur des Etudes</t>
        </is>
      </c>
      <c r="L266" s="30" t="inlineStr">
        <is>
          <t>Haute</t>
        </is>
      </c>
      <c r="M266" s="29" t="inlineStr">
        <is>
          <t>MESRS - liste officielle grandes ecoles</t>
        </is>
      </c>
      <c r="N266" s="29" t="inlineStr">
        <is>
          <t>domaine propre</t>
        </is>
      </c>
      <c r="O266" s="14" t="inlineStr">
        <is>
          <t>a verifier</t>
        </is>
      </c>
      <c r="P266" s="29" t="inlineStr">
        <is>
          <t>communication</t>
        </is>
      </c>
    </row>
    <row r="267">
      <c r="A267" s="29" t="inlineStr">
        <is>
          <t>ECOLE SUPÉRIEURE DE TECHNOLOGIE (EST-LOKO)</t>
        </is>
      </c>
      <c r="B267" s="29" t="inlineStr">
        <is>
          <t>Grande ecole BTS - assistanat de direction, agriculture tropicale, cosmetologie</t>
        </is>
      </c>
      <c r="C267" s="29" t="inlineStr">
        <is>
          <t>Prive</t>
        </is>
      </c>
      <c r="D267" s="29" t="inlineStr">
        <is>
          <t>Abidjan - Marcory</t>
        </is>
      </c>
      <c r="E267" s="29" t="inlineStr">
        <is>
          <t>Marcory residentiel. Rue Bahias</t>
        </is>
      </c>
      <c r="F267" s="29" t="inlineStr">
        <is>
          <t>+225 07 88 12 27 06</t>
        </is>
      </c>
      <c r="G267" s="29" t="inlineStr">
        <is>
          <t>+225 01 60 99 50 81</t>
        </is>
      </c>
      <c r="H267" s="29" t="inlineStr">
        <is>
          <t>+225 07 88 12 27 06</t>
        </is>
      </c>
      <c r="I267" s="29" t="inlineStr">
        <is>
          <t>infos@groupeloko.com</t>
        </is>
      </c>
      <c r="J267" s="29" t="inlineStr">
        <is>
          <t>https://www.groupeloko.com</t>
        </is>
      </c>
      <c r="K267" s="29" t="inlineStr">
        <is>
          <t>Directeur des Etudes</t>
        </is>
      </c>
      <c r="L267" s="30" t="inlineStr">
        <is>
          <t>Haute</t>
        </is>
      </c>
      <c r="M267" s="29" t="inlineStr">
        <is>
          <t>MESRS - liste officielle grandes ecoles</t>
        </is>
      </c>
      <c r="N267" s="29" t="inlineStr">
        <is>
          <t>domaine propre</t>
        </is>
      </c>
      <c r="O267" s="14" t="inlineStr">
        <is>
          <t>a verifier</t>
        </is>
      </c>
      <c r="P267" s="29" t="inlineStr">
        <is>
          <t>numerique</t>
        </is>
      </c>
    </row>
    <row r="268">
      <c r="A268" s="29" t="inlineStr">
        <is>
          <t>ECOLE TECHNIQUE INFORMATIQUE ET COMMERCIALE MARCORY (ETIC MARCORY) (Groupe ETIC (ETIC MARCORY))</t>
        </is>
      </c>
      <c r="B268" s="29" t="inlineStr">
        <is>
          <t>Grande ecole BTS - assistanat de direction, agriculture tropicale, communication visuelle</t>
        </is>
      </c>
      <c r="C268" s="29" t="inlineStr">
        <is>
          <t>Prive</t>
        </is>
      </c>
      <c r="D268" s="29" t="inlineStr">
        <is>
          <t>Abidjan - Marcory</t>
        </is>
      </c>
      <c r="E268" s="29" t="inlineStr">
        <is>
          <t>Carrefour SOLIBRA, prolongement du Super marché CARREFOUR, venant vers le feu tricolor.</t>
        </is>
      </c>
      <c r="F268" s="29" t="inlineStr">
        <is>
          <t>+225 27 21 56 60 82</t>
        </is>
      </c>
      <c r="G268" s="29" t="inlineStr">
        <is>
          <t>+225 01 01 39 52 82</t>
        </is>
      </c>
      <c r="H268" s="29" t="inlineStr">
        <is>
          <t>+225 01 01 39 52 82</t>
        </is>
      </c>
      <c r="I268" s="29" t="inlineStr">
        <is>
          <t>eticmarcory@gmail.com</t>
        </is>
      </c>
      <c r="J268" s="29" t="inlineStr">
        <is>
          <t>https://www.eticecole.com</t>
        </is>
      </c>
      <c r="K268" s="29" t="inlineStr">
        <is>
          <t>Directeur des Etudes</t>
        </is>
      </c>
      <c r="L268" s="30" t="inlineStr">
        <is>
          <t>Haute</t>
        </is>
      </c>
      <c r="M268" s="29" t="inlineStr">
        <is>
          <t>MESRS - liste officielle grandes ecoles</t>
        </is>
      </c>
      <c r="N268" s="29" t="inlineStr">
        <is>
          <t>gratuite</t>
        </is>
      </c>
      <c r="O268" s="14" t="inlineStr">
        <is>
          <t>a verifier</t>
        </is>
      </c>
      <c r="P268" s="29" t="inlineStr">
        <is>
          <t>numerique</t>
        </is>
      </c>
    </row>
    <row r="269">
      <c r="A269" s="29" t="inlineStr">
        <is>
          <t>ESTC Marcory - Ecole Superieure Technique et Commerciale</t>
        </is>
      </c>
      <c r="B269" s="29" t="inlineStr">
        <is>
          <t>Ecole superieure privee - technique et commerciale</t>
        </is>
      </c>
      <c r="C269" s="29" t="inlineStr">
        <is>
          <t>Prive</t>
        </is>
      </c>
      <c r="D269" s="29" t="inlineStr">
        <is>
          <t>Abidjan - Marcory</t>
        </is>
      </c>
      <c r="E269" s="29" t="inlineStr"/>
      <c r="F269" s="29" t="inlineStr">
        <is>
          <t>+225 05 55 55 86 55</t>
        </is>
      </c>
      <c r="G269" s="29" t="inlineStr"/>
      <c r="H269" s="29" t="inlineStr">
        <is>
          <t>+225 07 08 86 83 81</t>
        </is>
      </c>
      <c r="I269" s="29" t="inlineStr">
        <is>
          <t>estc@aviso.ci</t>
        </is>
      </c>
      <c r="J269" s="29" t="inlineStr"/>
      <c r="K269" s="29" t="inlineStr">
        <is>
          <t>Directeur des Etudes</t>
        </is>
      </c>
      <c r="L269" s="30" t="inlineStr">
        <is>
          <t>Haute</t>
        </is>
      </c>
      <c r="M269" s="29" t="inlineStr">
        <is>
          <t>AnnuaireCI + MESRS</t>
        </is>
      </c>
      <c r="N269" s="29" t="inlineStr">
        <is>
          <t>gratuite</t>
        </is>
      </c>
      <c r="O269" s="14" t="inlineStr">
        <is>
          <t>a verifier</t>
        </is>
      </c>
      <c r="P269" s="29" t="inlineStr">
        <is>
          <t>commerce</t>
        </is>
      </c>
    </row>
    <row r="270">
      <c r="A270" s="29" t="inlineStr">
        <is>
          <t>GROUPE ITA-INGENIERIE SA MARCORY (G2I MARCORY)</t>
        </is>
      </c>
      <c r="B270" s="29" t="inlineStr">
        <is>
          <t>Grande ecole BTS - assistanat de direction, agriculture tropicale, communication visuelle</t>
        </is>
      </c>
      <c r="C270" s="29" t="inlineStr">
        <is>
          <t>Prive</t>
        </is>
      </c>
      <c r="D270" s="29" t="inlineStr">
        <is>
          <t>Abidjan - Marcory</t>
        </is>
      </c>
      <c r="E270" s="29" t="inlineStr">
        <is>
          <t>Zone 4C Echangeur HKB sur le boulevard VGE</t>
        </is>
      </c>
      <c r="F270" s="29" t="inlineStr">
        <is>
          <t>+225 07 07 31 44 39</t>
        </is>
      </c>
      <c r="G270" s="29" t="inlineStr">
        <is>
          <t>+225 07 07 49 92 92</t>
        </is>
      </c>
      <c r="H270" s="29" t="inlineStr">
        <is>
          <t>+225 07 07 31 44 39</t>
        </is>
      </c>
      <c r="I270" s="29" t="inlineStr">
        <is>
          <t>fofanamory2@gmail.com</t>
        </is>
      </c>
      <c r="J270" s="29" t="inlineStr">
        <is>
          <t>https://www.ita-education.ci</t>
        </is>
      </c>
      <c r="K270" s="29" t="inlineStr">
        <is>
          <t>Directeur des Etudes</t>
        </is>
      </c>
      <c r="L270" s="30" t="inlineStr">
        <is>
          <t>Haute</t>
        </is>
      </c>
      <c r="M270" s="29" t="inlineStr">
        <is>
          <t>MESRS - liste officielle grandes ecoles</t>
        </is>
      </c>
      <c r="N270" s="29" t="inlineStr">
        <is>
          <t>gratuite</t>
        </is>
      </c>
      <c r="O270" s="14" t="inlineStr">
        <is>
          <t>a verifier</t>
        </is>
      </c>
      <c r="P270" s="29" t="inlineStr">
        <is>
          <t>commerce</t>
        </is>
      </c>
    </row>
    <row r="271">
      <c r="A271" s="29" t="inlineStr">
        <is>
          <t>HAUTES ETUDES EN GESTION, BANQUE ET ASSURANCE (HEGES)</t>
        </is>
      </c>
      <c r="B271" s="29" t="inlineStr">
        <is>
          <t>Grande ecole BTS - assistanat de direction, communication visuelle, finances comptabilite</t>
        </is>
      </c>
      <c r="C271" s="29" t="inlineStr">
        <is>
          <t>Prive</t>
        </is>
      </c>
      <c r="D271" s="29" t="inlineStr">
        <is>
          <t>Abidjan - Marcory</t>
        </is>
      </c>
      <c r="E271" s="29" t="inlineStr">
        <is>
          <t>Grand carrefour de Koumassi - Près Clinique des Graces - Rue MARCONI Marcory Zone 4C</t>
        </is>
      </c>
      <c r="F271" s="29" t="inlineStr">
        <is>
          <t>+225 27 21 24 50 83</t>
        </is>
      </c>
      <c r="G271" s="29" t="inlineStr"/>
      <c r="H271" s="29" t="inlineStr"/>
      <c r="I271" s="29" t="inlineStr">
        <is>
          <t>info@heges-ci.com</t>
        </is>
      </c>
      <c r="J271" s="29" t="inlineStr">
        <is>
          <t>https://www.heges-ci.com</t>
        </is>
      </c>
      <c r="K271" s="29" t="inlineStr">
        <is>
          <t>Directeur des Etudes</t>
        </is>
      </c>
      <c r="L271" s="30" t="inlineStr">
        <is>
          <t>Haute</t>
        </is>
      </c>
      <c r="M271" s="29" t="inlineStr">
        <is>
          <t>MESRS - liste officielle grandes ecoles</t>
        </is>
      </c>
      <c r="N271" s="29" t="inlineStr">
        <is>
          <t>domaine propre</t>
        </is>
      </c>
      <c r="O271" s="14" t="inlineStr">
        <is>
          <t>a verifier</t>
        </is>
      </c>
      <c r="P271" s="29" t="inlineStr">
        <is>
          <t>commerce</t>
        </is>
      </c>
    </row>
    <row r="272">
      <c r="A272" s="29" t="inlineStr">
        <is>
          <t>INSTITUT FAMAH MARCORY (IF MARCORY)</t>
        </is>
      </c>
      <c r="B272" s="29" t="inlineStr">
        <is>
          <t>Grande ecole BTS - assistanat de direction, agriculture tropicale, communication visuelle</t>
        </is>
      </c>
      <c r="C272" s="29" t="inlineStr">
        <is>
          <t>Prive</t>
        </is>
      </c>
      <c r="D272" s="29" t="inlineStr">
        <is>
          <t>Abidjan - Marcory</t>
        </is>
      </c>
      <c r="E272" s="29" t="inlineStr">
        <is>
          <t>quartier résidentiel derrière clinique Farah</t>
        </is>
      </c>
      <c r="F272" s="29" t="inlineStr">
        <is>
          <t>+225 07 78 34 90 35</t>
        </is>
      </c>
      <c r="G272" s="29" t="inlineStr"/>
      <c r="H272" s="29" t="inlineStr">
        <is>
          <t>+225 07 78 34 90 35</t>
        </is>
      </c>
      <c r="I272" s="29" t="inlineStr">
        <is>
          <t>giraudkonan4@gmail.com</t>
        </is>
      </c>
      <c r="J272" s="29" t="inlineStr">
        <is>
          <t>https://www.uns-if.ci</t>
        </is>
      </c>
      <c r="K272" s="29" t="inlineStr">
        <is>
          <t>Directeur des Etudes</t>
        </is>
      </c>
      <c r="L272" s="30" t="inlineStr">
        <is>
          <t>Haute</t>
        </is>
      </c>
      <c r="M272" s="29" t="inlineStr">
        <is>
          <t>MESRS - liste officielle grandes ecoles</t>
        </is>
      </c>
      <c r="N272" s="29" t="inlineStr">
        <is>
          <t>gratuite</t>
        </is>
      </c>
      <c r="O272" s="14" t="inlineStr">
        <is>
          <t>a verifier</t>
        </is>
      </c>
      <c r="P272" s="29" t="inlineStr">
        <is>
          <t>commerce</t>
        </is>
      </c>
    </row>
    <row r="273">
      <c r="A273" s="29" t="inlineStr">
        <is>
          <t>INSTITUT SUPÉRIEUR DE FORMATION PROFESSIONNELLE ZONE 4C (ISFOP Z4C) - GROUPE LOKO (ISFOPZ4 LOKO)</t>
        </is>
      </c>
      <c r="B273" s="29" t="inlineStr">
        <is>
          <t>Grande ecole BTS - assistanat de direction, agriculture tropicale, cosmetologie</t>
        </is>
      </c>
      <c r="C273" s="29" t="inlineStr">
        <is>
          <t>Prive</t>
        </is>
      </c>
      <c r="D273" s="29" t="inlineStr">
        <is>
          <t>Abidjan - Marcory</t>
        </is>
      </c>
      <c r="E273" s="29" t="inlineStr">
        <is>
          <t>Marcory Zone 4 Carrefour Koumassi</t>
        </is>
      </c>
      <c r="F273" s="29" t="inlineStr">
        <is>
          <t>+225 01 60 99 50 81</t>
        </is>
      </c>
      <c r="G273" s="29" t="inlineStr">
        <is>
          <t>+225 01 60 99 50 82</t>
        </is>
      </c>
      <c r="H273" s="29" t="inlineStr">
        <is>
          <t>+225 01 60 99 50 81</t>
        </is>
      </c>
      <c r="I273" s="29" t="inlineStr">
        <is>
          <t>infos@groupeloko5.com</t>
        </is>
      </c>
      <c r="J273" s="29" t="inlineStr">
        <is>
          <t>https://www.groupeloko.com</t>
        </is>
      </c>
      <c r="K273" s="29" t="inlineStr">
        <is>
          <t>Directeur des Etudes</t>
        </is>
      </c>
      <c r="L273" s="30" t="inlineStr">
        <is>
          <t>Haute</t>
        </is>
      </c>
      <c r="M273" s="29" t="inlineStr">
        <is>
          <t>MESRS - liste officielle grandes ecoles</t>
        </is>
      </c>
      <c r="N273" s="29" t="inlineStr">
        <is>
          <t>domaine propre</t>
        </is>
      </c>
      <c r="O273" s="14" t="inlineStr">
        <is>
          <t>a verifier</t>
        </is>
      </c>
      <c r="P273" s="29" t="inlineStr">
        <is>
          <t>commerce</t>
        </is>
      </c>
    </row>
    <row r="274">
      <c r="A274" s="29" t="inlineStr">
        <is>
          <t>INSTITUT SUPÉRIEUR LA FONTAINE (ISLF) - GROUPE LOKO</t>
        </is>
      </c>
      <c r="B274" s="29" t="inlineStr">
        <is>
          <t>Grande ecole BTS - assistanat de direction, agriculture tropicale, communication visuelle</t>
        </is>
      </c>
      <c r="C274" s="29" t="inlineStr">
        <is>
          <t>Prive</t>
        </is>
      </c>
      <c r="D274" s="29" t="inlineStr">
        <is>
          <t>Abidjan - Marcory</t>
        </is>
      </c>
      <c r="E274" s="29" t="inlineStr">
        <is>
          <t>Rue Thomas Edison Marcory ZONE3 Non loin de HONDA</t>
        </is>
      </c>
      <c r="F274" s="29" t="inlineStr">
        <is>
          <t>+225 01 60 99 50 81</t>
        </is>
      </c>
      <c r="G274" s="29" t="inlineStr">
        <is>
          <t>+225 01 60 99 50 82</t>
        </is>
      </c>
      <c r="H274" s="29" t="inlineStr">
        <is>
          <t>+225 01 60 99 50 81</t>
        </is>
      </c>
      <c r="I274" s="29" t="inlineStr">
        <is>
          <t>infos@groupeloko.com</t>
        </is>
      </c>
      <c r="J274" s="29" t="inlineStr">
        <is>
          <t>https://www.groupeloko.com</t>
        </is>
      </c>
      <c r="K274" s="29" t="inlineStr">
        <is>
          <t>Directeur des Etudes</t>
        </is>
      </c>
      <c r="L274" s="30" t="inlineStr">
        <is>
          <t>Haute</t>
        </is>
      </c>
      <c r="M274" s="29" t="inlineStr">
        <is>
          <t>MESRS - liste officielle grandes ecoles</t>
        </is>
      </c>
      <c r="N274" s="29" t="inlineStr">
        <is>
          <t>domaine propre</t>
        </is>
      </c>
      <c r="O274" s="14" t="inlineStr">
        <is>
          <t>a verifier</t>
        </is>
      </c>
      <c r="P274" s="29" t="inlineStr">
        <is>
          <t>commerce</t>
        </is>
      </c>
    </row>
    <row r="275">
      <c r="A275" s="29" t="inlineStr">
        <is>
          <t>INSTITUT SUPÉRIEUR LE PROGRES (ISLP) - GROUPE LOKO</t>
        </is>
      </c>
      <c r="B275" s="29" t="inlineStr">
        <is>
          <t>Grande ecole BTS - arts, assistanat de direction, agriculture tropicale</t>
        </is>
      </c>
      <c r="C275" s="29" t="inlineStr">
        <is>
          <t>Prive</t>
        </is>
      </c>
      <c r="D275" s="29" t="inlineStr">
        <is>
          <t>Abidjan - Marcory</t>
        </is>
      </c>
      <c r="E275" s="29" t="inlineStr">
        <is>
          <t>Marcory Zone 4 Carrefour Koumassi</t>
        </is>
      </c>
      <c r="F275" s="29" t="inlineStr">
        <is>
          <t>+225 01 60 99 50 81</t>
        </is>
      </c>
      <c r="G275" s="29" t="inlineStr">
        <is>
          <t>+225 01 60 99 50 82</t>
        </is>
      </c>
      <c r="H275" s="29" t="inlineStr">
        <is>
          <t>+225 01 60 99 50 81</t>
        </is>
      </c>
      <c r="I275" s="29" t="inlineStr">
        <is>
          <t>infos@groupeloko.com</t>
        </is>
      </c>
      <c r="J275" s="29" t="inlineStr">
        <is>
          <t>https://www.groupeloko.com</t>
        </is>
      </c>
      <c r="K275" s="29" t="inlineStr">
        <is>
          <t>Directeur des Etudes</t>
        </is>
      </c>
      <c r="L275" s="30" t="inlineStr">
        <is>
          <t>Haute</t>
        </is>
      </c>
      <c r="M275" s="29" t="inlineStr">
        <is>
          <t>MESRS - liste officielle grandes ecoles</t>
        </is>
      </c>
      <c r="N275" s="29" t="inlineStr">
        <is>
          <t>domaine propre</t>
        </is>
      </c>
      <c r="O275" s="14" t="inlineStr">
        <is>
          <t>a verifier</t>
        </is>
      </c>
      <c r="P275" s="29" t="inlineStr">
        <is>
          <t>commerce</t>
        </is>
      </c>
    </row>
    <row r="276">
      <c r="A276" s="29" t="inlineStr">
        <is>
          <t>INSTITUT SUPÉRIEUR TERTIAIRE ET DE TECHNOLOGIE AVANCÉE (ISTTA) - GROUPE LOKO</t>
        </is>
      </c>
      <c r="B276" s="29" t="inlineStr">
        <is>
          <t>Grande ecole BTS - arts, assistanat de direction, agriculture tropicale</t>
        </is>
      </c>
      <c r="C276" s="29" t="inlineStr">
        <is>
          <t>Prive</t>
        </is>
      </c>
      <c r="D276" s="29" t="inlineStr">
        <is>
          <t>Abidjan - Marcory</t>
        </is>
      </c>
      <c r="E276" s="29" t="inlineStr">
        <is>
          <t>Marcory residentiel. Rue Bahias</t>
        </is>
      </c>
      <c r="F276" s="29" t="inlineStr">
        <is>
          <t>+225 01 60 99 50 81</t>
        </is>
      </c>
      <c r="G276" s="29" t="inlineStr">
        <is>
          <t>+225 01 60 99 50 82</t>
        </is>
      </c>
      <c r="H276" s="29" t="inlineStr">
        <is>
          <t>+225 01 60 99 50 81</t>
        </is>
      </c>
      <c r="I276" s="29" t="inlineStr">
        <is>
          <t>istta2@groupeloko.com</t>
        </is>
      </c>
      <c r="J276" s="29" t="inlineStr">
        <is>
          <t>https://www.groupeloko.com</t>
        </is>
      </c>
      <c r="K276" s="29" t="inlineStr">
        <is>
          <t>Directeur des Etudes</t>
        </is>
      </c>
      <c r="L276" s="30" t="inlineStr">
        <is>
          <t>Haute</t>
        </is>
      </c>
      <c r="M276" s="29" t="inlineStr">
        <is>
          <t>MESRS - liste officielle grandes ecoles</t>
        </is>
      </c>
      <c r="N276" s="29" t="inlineStr">
        <is>
          <t>domaine propre</t>
        </is>
      </c>
      <c r="O276" s="14" t="inlineStr">
        <is>
          <t>a verifier</t>
        </is>
      </c>
      <c r="P276" s="29" t="inlineStr">
        <is>
          <t>numerique</t>
        </is>
      </c>
    </row>
    <row r="277">
      <c r="A277" s="29" t="inlineStr">
        <is>
          <t>INSTITUT UNIVERSITAIRE DES SCIENCES DE LA SANTE ET DE L ENVIRONNEMENT (IUSSE ZONE 4)</t>
        </is>
      </c>
      <c r="B277" s="29" t="inlineStr">
        <is>
          <t>Grande ecole BTS - assistanat de direction, finances comptabilite, gestion commerciale</t>
        </is>
      </c>
      <c r="C277" s="29" t="inlineStr">
        <is>
          <t>Prive</t>
        </is>
      </c>
      <c r="D277" s="29" t="inlineStr">
        <is>
          <t>Abidjan - Marcory</t>
        </is>
      </c>
      <c r="E277" s="29" t="inlineStr">
        <is>
          <t>MARCORY ZONE 4 BIETRY</t>
        </is>
      </c>
      <c r="F277" s="29" t="inlineStr">
        <is>
          <t>+225 07 07 19 85 28</t>
        </is>
      </c>
      <c r="G277" s="29" t="inlineStr">
        <is>
          <t>+225 07 07 25 75 79</t>
        </is>
      </c>
      <c r="H277" s="29" t="inlineStr">
        <is>
          <t>+225 07 07 19 85 28</t>
        </is>
      </c>
      <c r="I277" s="29" t="inlineStr">
        <is>
          <t>iusse.sanpedro@gmail.com</t>
        </is>
      </c>
      <c r="J277" s="29" t="inlineStr">
        <is>
          <t>https://www.iussesanpedro-ci.com</t>
        </is>
      </c>
      <c r="K277" s="29" t="inlineStr">
        <is>
          <t>Directeur des Etudes</t>
        </is>
      </c>
      <c r="L277" s="30" t="inlineStr">
        <is>
          <t>Haute</t>
        </is>
      </c>
      <c r="M277" s="29" t="inlineStr">
        <is>
          <t>MESRS - liste officielle grandes ecoles</t>
        </is>
      </c>
      <c r="N277" s="29" t="inlineStr">
        <is>
          <t>gratuite</t>
        </is>
      </c>
      <c r="O277" s="14" t="inlineStr">
        <is>
          <t>a verifier</t>
        </is>
      </c>
      <c r="P277" s="29" t="inlineStr">
        <is>
          <t>sante</t>
        </is>
      </c>
    </row>
    <row r="278">
      <c r="A278" s="29" t="inlineStr">
        <is>
          <t>INSTITUT VOLTAIRE D'ENSEIGNEMENT SUPERIEUR TECHNIQUE ET PROFESSIONNEL MARCORY (IVESTP MARCORY)</t>
        </is>
      </c>
      <c r="B278" s="29" t="inlineStr">
        <is>
          <t>Grande ecole BTS/Licence - finances comptabilite, genie civil, gestion commerciale</t>
        </is>
      </c>
      <c r="C278" s="29" t="inlineStr">
        <is>
          <t>Prive</t>
        </is>
      </c>
      <c r="D278" s="29" t="inlineStr">
        <is>
          <t>Abidjan - Marcory</t>
        </is>
      </c>
      <c r="E278" s="29" t="inlineStr">
        <is>
          <t>Carrefour SOLIBRA, entre le super Marché CARREFOUR (PLAYCE) , Centaure Routier, Face au Canal au Bois</t>
        </is>
      </c>
      <c r="F278" s="29" t="inlineStr">
        <is>
          <t>+225 07 07 45 79 82</t>
        </is>
      </c>
      <c r="G278" s="29" t="inlineStr">
        <is>
          <t>+225 07 09 20 33 50</t>
        </is>
      </c>
      <c r="H278" s="29" t="inlineStr">
        <is>
          <t>+225 07 07 45 79 82</t>
        </is>
      </c>
      <c r="I278" s="29" t="inlineStr">
        <is>
          <t>ivestpmarcory@gmail.com</t>
        </is>
      </c>
      <c r="J278" s="29" t="inlineStr">
        <is>
          <t>https://www.ivestp.net</t>
        </is>
      </c>
      <c r="K278" s="29" t="inlineStr">
        <is>
          <t>Directeur des Etudes</t>
        </is>
      </c>
      <c r="L278" s="30" t="inlineStr">
        <is>
          <t>Haute</t>
        </is>
      </c>
      <c r="M278" s="29" t="inlineStr">
        <is>
          <t>MESRS - liste officielle grandes ecoles</t>
        </is>
      </c>
      <c r="N278" s="29" t="inlineStr">
        <is>
          <t>gratuite</t>
        </is>
      </c>
      <c r="O278" s="14" t="inlineStr">
        <is>
          <t>a verifier</t>
        </is>
      </c>
      <c r="P278" s="29" t="inlineStr">
        <is>
          <t>commerce</t>
        </is>
      </c>
    </row>
    <row r="279">
      <c r="A279" s="29" t="inlineStr">
        <is>
          <t>INTELLECT AFRIQUE (IA)</t>
        </is>
      </c>
      <c r="B279" s="29" t="inlineStr">
        <is>
          <t>Grande ecole BTS - assistanat de direction, agriculture tropicale, communication visuelle</t>
        </is>
      </c>
      <c r="C279" s="29" t="inlineStr">
        <is>
          <t>Prive</t>
        </is>
      </c>
      <c r="D279" s="29" t="inlineStr">
        <is>
          <t>Abidjan - Marcory</t>
        </is>
      </c>
      <c r="E279" s="29" t="inlineStr">
        <is>
          <t>Marcory Boulevard Valery Giscard d’Estaing – Immeuble Intellect Afrique (face à ORCA TENDANCE Marcory)</t>
        </is>
      </c>
      <c r="F279" s="29" t="inlineStr">
        <is>
          <t>+225 01 51 11 01 71</t>
        </is>
      </c>
      <c r="G279" s="29" t="inlineStr">
        <is>
          <t>+225 01 51 11 01 57</t>
        </is>
      </c>
      <c r="H279" s="29" t="inlineStr">
        <is>
          <t>+225 01 51 11 01 71</t>
        </is>
      </c>
      <c r="I279" s="29" t="inlineStr">
        <is>
          <t>directionia@gmail.com</t>
        </is>
      </c>
      <c r="J279" s="29" t="inlineStr">
        <is>
          <t>https://www.intellect-afrique.com</t>
        </is>
      </c>
      <c r="K279" s="29" t="inlineStr">
        <is>
          <t>Directeur des Etudes</t>
        </is>
      </c>
      <c r="L279" s="30" t="inlineStr">
        <is>
          <t>Haute</t>
        </is>
      </c>
      <c r="M279" s="29" t="inlineStr">
        <is>
          <t>MESRS - liste officielle grandes ecoles</t>
        </is>
      </c>
      <c r="N279" s="29" t="inlineStr">
        <is>
          <t>gratuite</t>
        </is>
      </c>
      <c r="O279" s="14" t="inlineStr">
        <is>
          <t>a verifier</t>
        </is>
      </c>
      <c r="P279" s="29" t="inlineStr">
        <is>
          <t>commerce</t>
        </is>
      </c>
    </row>
    <row r="280">
      <c r="A280" s="29" t="inlineStr">
        <is>
          <t>ECG - Ecole de Commerce et de Gestion</t>
        </is>
      </c>
      <c r="B280" s="29" t="inlineStr">
        <is>
          <t>Ecole superieure - BTS gestion et commerce</t>
        </is>
      </c>
      <c r="C280" s="29" t="inlineStr">
        <is>
          <t>Prive</t>
        </is>
      </c>
      <c r="D280" s="29" t="inlineStr">
        <is>
          <t>Abidjan - Marcory Zone 4</t>
        </is>
      </c>
      <c r="E280" s="29" t="inlineStr">
        <is>
          <t>20 rue Thomas Edison Marcory Zone 4C - 07 BP 42 Abidjan 07</t>
        </is>
      </c>
      <c r="F280" s="29" t="inlineStr">
        <is>
          <t>+225 27 21 24 42 23</t>
        </is>
      </c>
      <c r="G280" s="29" t="inlineStr">
        <is>
          <t>+225 27 21 35 59 80</t>
        </is>
      </c>
      <c r="H280" s="29" t="inlineStr">
        <is>
          <t>+225 01 51 70 70 20</t>
        </is>
      </c>
      <c r="I280" s="29" t="inlineStr">
        <is>
          <t>infos@ecgecole.com</t>
        </is>
      </c>
      <c r="J280" s="29" t="inlineStr">
        <is>
          <t>ecgecole.com</t>
        </is>
      </c>
      <c r="K280" s="29" t="inlineStr">
        <is>
          <t>Directeur des Etudes</t>
        </is>
      </c>
      <c r="L280" s="30" t="inlineStr">
        <is>
          <t>Haute</t>
        </is>
      </c>
      <c r="M280" s="29" t="inlineStr">
        <is>
          <t>Site officiel ecg.ci + MESRS</t>
        </is>
      </c>
      <c r="N280" s="29" t="inlineStr">
        <is>
          <t>domaine propre</t>
        </is>
      </c>
      <c r="O280" s="30" t="inlineStr">
        <is>
          <t>valide</t>
        </is>
      </c>
      <c r="P280" s="29" t="inlineStr">
        <is>
          <t>commerce</t>
        </is>
      </c>
    </row>
    <row r="281">
      <c r="A281" s="29" t="inlineStr">
        <is>
          <t>EURO FORMATION Marcory</t>
        </is>
      </c>
      <c r="B281" s="29" t="inlineStr">
        <is>
          <t>Centre de formation professionnelle et BTS</t>
        </is>
      </c>
      <c r="C281" s="29" t="inlineStr">
        <is>
          <t>Prive</t>
        </is>
      </c>
      <c r="D281" s="29" t="inlineStr">
        <is>
          <t>Abidjan - Marcory Zone 4</t>
        </is>
      </c>
      <c r="E281" s="29" t="inlineStr">
        <is>
          <t>Zone 4C Rue Fleming Marcory - 26 BP 211 Abidjan 26</t>
        </is>
      </c>
      <c r="F281" s="29" t="inlineStr">
        <is>
          <t>+225 27 21 25 45 15</t>
        </is>
      </c>
      <c r="G281" s="29" t="inlineStr">
        <is>
          <t>+225 05 05 08 84 10</t>
        </is>
      </c>
      <c r="H281" s="29" t="inlineStr"/>
      <c r="I281" s="29" t="inlineStr">
        <is>
          <t>info3a@yahoo.fr</t>
        </is>
      </c>
      <c r="J281" s="29" t="inlineStr">
        <is>
          <t>eurof.org</t>
        </is>
      </c>
      <c r="K281" s="29" t="inlineStr">
        <is>
          <t>Directeur des Etudes</t>
        </is>
      </c>
      <c r="L281" s="30" t="inlineStr">
        <is>
          <t>Haute</t>
        </is>
      </c>
      <c r="M281" s="29" t="inlineStr">
        <is>
          <t>Site officiel eurof.org + MESRS</t>
        </is>
      </c>
      <c r="N281" s="29" t="inlineStr">
        <is>
          <t>gratuite</t>
        </is>
      </c>
      <c r="O281" s="14" t="inlineStr">
        <is>
          <t>a verifier</t>
        </is>
      </c>
      <c r="P281" s="29" t="inlineStr">
        <is>
          <t>formation</t>
        </is>
      </c>
    </row>
    <row r="282">
      <c r="A282" s="29" t="inlineStr">
        <is>
          <t>ITA - Institut des Technologies d'Abidjan</t>
        </is>
      </c>
      <c r="B282" s="29" t="inlineStr">
        <is>
          <t>Institut superieur prive - technologique</t>
        </is>
      </c>
      <c r="C282" s="29" t="inlineStr">
        <is>
          <t>Prive</t>
        </is>
      </c>
      <c r="D282" s="29" t="inlineStr">
        <is>
          <t>Abidjan - Marcory Zone 4</t>
        </is>
      </c>
      <c r="E282" s="29" t="inlineStr">
        <is>
          <t>Boulevard VGE face Immeuble KoZ Zone 4C Marcory - 20 BP 195 Abidjan 20</t>
        </is>
      </c>
      <c r="F282" s="29" t="inlineStr">
        <is>
          <t>+225 27 21 28 32 92</t>
        </is>
      </c>
      <c r="G282" s="29" t="inlineStr">
        <is>
          <t>+225 07 08 11 86 87</t>
        </is>
      </c>
      <c r="H282" s="29" t="inlineStr"/>
      <c r="I282" s="29" t="inlineStr"/>
      <c r="J282" s="29" t="inlineStr">
        <is>
          <t>ita-education.ci</t>
        </is>
      </c>
      <c r="K282" s="29" t="inlineStr">
        <is>
          <t>Directeur des Etudes</t>
        </is>
      </c>
      <c r="L282" s="29" t="inlineStr">
        <is>
          <t>Moyenne</t>
        </is>
      </c>
      <c r="M282" s="29" t="inlineStr">
        <is>
          <t>AnnuaireCI + Le Grand Frere</t>
        </is>
      </c>
      <c r="N282" s="29" t="inlineStr"/>
      <c r="O282" s="31" t="inlineStr">
        <is>
          <t>sans email</t>
        </is>
      </c>
      <c r="P282" s="29" t="inlineStr">
        <is>
          <t>numerique</t>
        </is>
      </c>
    </row>
    <row r="283">
      <c r="A283" s="29" t="inlineStr">
        <is>
          <t>Groupe LOKO (UTT / ISTTA / EST-LOKO)</t>
        </is>
      </c>
      <c r="B283" s="29" t="inlineStr">
        <is>
          <t>Groupe scolaire et superieur (18 etablissements)</t>
        </is>
      </c>
      <c r="C283" s="29" t="inlineStr">
        <is>
          <t>Prive</t>
        </is>
      </c>
      <c r="D283" s="29" t="inlineStr">
        <is>
          <t>Abidjan - Marcory, Yopougon</t>
        </is>
      </c>
      <c r="E283" s="29" t="inlineStr">
        <is>
          <t>05 BP 671 Abidjan 05</t>
        </is>
      </c>
      <c r="F283" s="29" t="inlineStr">
        <is>
          <t>+225 27 21 75 29 90</t>
        </is>
      </c>
      <c r="G283" s="29" t="inlineStr">
        <is>
          <t>+225 27 21 21 19 20</t>
        </is>
      </c>
      <c r="H283" s="29" t="inlineStr">
        <is>
          <t>+225 01 60 99 50 81</t>
        </is>
      </c>
      <c r="I283" s="29" t="inlineStr">
        <is>
          <t>infos@groupeloko.com</t>
        </is>
      </c>
      <c r="J283" s="29" t="inlineStr">
        <is>
          <t>www.groupeloko.com</t>
        </is>
      </c>
      <c r="K283" s="29" t="inlineStr">
        <is>
          <t>Directeur des Etudes (par etablissement)</t>
        </is>
      </c>
      <c r="L283" s="30" t="inlineStr">
        <is>
          <t>Haute</t>
        </is>
      </c>
      <c r="M283" s="29" t="inlineStr">
        <is>
          <t>groupeloko.online + AnnuaireCI + MESRS</t>
        </is>
      </c>
      <c r="N283" s="29" t="inlineStr">
        <is>
          <t>domaine propre</t>
        </is>
      </c>
      <c r="O283" s="30" t="inlineStr">
        <is>
          <t>valide</t>
        </is>
      </c>
      <c r="P283" s="29" t="inlineStr">
        <is>
          <t>commerce</t>
        </is>
      </c>
    </row>
    <row r="284">
      <c r="A284" s="29" t="inlineStr">
        <is>
          <t>ACADEMIE DES SCIENCES TECHNOLOGIQUES ET COMPTABLES (ASTC PLATEAU)</t>
        </is>
      </c>
      <c r="B284" s="29" t="inlineStr">
        <is>
          <t>Grande ecole BTS - assistanat de direction, finances comptabilite, gestion commerciale</t>
        </is>
      </c>
      <c r="C284" s="29" t="inlineStr">
        <is>
          <t>Prive</t>
        </is>
      </c>
      <c r="D284" s="29" t="inlineStr">
        <is>
          <t>Abidjan - Plateau</t>
        </is>
      </c>
      <c r="E284" s="29" t="inlineStr">
        <is>
          <t>Abidjan Plateau - Immeuble Lamblin - 2ème Etage - Carrefour de la grande mosquée - Prolongement Hôtel Pullman</t>
        </is>
      </c>
      <c r="F284" s="29" t="inlineStr">
        <is>
          <t>+225 27 20 32 21 15</t>
        </is>
      </c>
      <c r="G284" s="29" t="inlineStr"/>
      <c r="H284" s="29" t="inlineStr"/>
      <c r="I284" s="29" t="inlineStr">
        <is>
          <t>astc2003@yahoo.fr</t>
        </is>
      </c>
      <c r="J284" s="29" t="inlineStr">
        <is>
          <t>https://www.astc.ci</t>
        </is>
      </c>
      <c r="K284" s="29" t="inlineStr">
        <is>
          <t>Directeur des Etudes</t>
        </is>
      </c>
      <c r="L284" s="30" t="inlineStr">
        <is>
          <t>Haute</t>
        </is>
      </c>
      <c r="M284" s="29" t="inlineStr">
        <is>
          <t>MESRS - liste officielle grandes ecoles</t>
        </is>
      </c>
      <c r="N284" s="29" t="inlineStr">
        <is>
          <t>gratuite</t>
        </is>
      </c>
      <c r="O284" s="14" t="inlineStr">
        <is>
          <t>a verifier</t>
        </is>
      </c>
      <c r="P284" s="29" t="inlineStr">
        <is>
          <t>numerique</t>
        </is>
      </c>
    </row>
    <row r="285">
      <c r="A285" s="29" t="inlineStr">
        <is>
          <t>AIB SARL - Afrique Informatique Bureautique</t>
        </is>
      </c>
      <c r="B285" s="29" t="inlineStr">
        <is>
          <t>Centre de formation professionnelle - informatique et bureautique</t>
        </is>
      </c>
      <c r="C285" s="29" t="inlineStr">
        <is>
          <t>Prive</t>
        </is>
      </c>
      <c r="D285" s="29" t="inlineStr">
        <is>
          <t>Abidjan - Plateau</t>
        </is>
      </c>
      <c r="E285" s="29" t="inlineStr">
        <is>
          <t>Rue du Commerce Plateau Abidjan</t>
        </is>
      </c>
      <c r="F285" s="29" t="inlineStr">
        <is>
          <t>+225 27 20 32 40 78</t>
        </is>
      </c>
      <c r="G285" s="29" t="inlineStr">
        <is>
          <t>+225 27 20 33 13 53</t>
        </is>
      </c>
      <c r="H285" s="29" t="inlineStr"/>
      <c r="I285" s="29" t="inlineStr"/>
      <c r="J285" s="29" t="inlineStr"/>
      <c r="K285" s="29" t="inlineStr">
        <is>
          <t>Directeur des Etudes</t>
        </is>
      </c>
      <c r="L285" s="29" t="inlineStr">
        <is>
          <t>Moyenne</t>
        </is>
      </c>
      <c r="M285" s="29" t="inlineStr">
        <is>
          <t>Annuaire Pratik</t>
        </is>
      </c>
      <c r="N285" s="29" t="inlineStr"/>
      <c r="O285" s="31" t="inlineStr">
        <is>
          <t>sans email</t>
        </is>
      </c>
      <c r="P285" s="29" t="inlineStr">
        <is>
          <t>numerique</t>
        </is>
      </c>
    </row>
    <row r="286">
      <c r="A286" s="29" t="inlineStr">
        <is>
          <t>AIST Plateau - Academie Internationale des Sciences et Techniques</t>
        </is>
      </c>
      <c r="B286" s="29" t="inlineStr">
        <is>
          <t>Ecole superieure privee</t>
        </is>
      </c>
      <c r="C286" s="29" t="inlineStr">
        <is>
          <t>Prive</t>
        </is>
      </c>
      <c r="D286" s="29" t="inlineStr">
        <is>
          <t>Abidjan - Plateau</t>
        </is>
      </c>
      <c r="E286" s="29" t="inlineStr">
        <is>
          <t>SIPF Cercle du Rail derriere immeuble Tyrone Center Plateau</t>
        </is>
      </c>
      <c r="F286" s="29" t="inlineStr">
        <is>
          <t>+225 27 20 22 60 20</t>
        </is>
      </c>
      <c r="G286" s="29" t="inlineStr">
        <is>
          <t>+225 05 05 99 45 13</t>
        </is>
      </c>
      <c r="H286" s="29" t="inlineStr"/>
      <c r="I286" s="29" t="inlineStr">
        <is>
          <t>aistplateau@gmail.com</t>
        </is>
      </c>
      <c r="J286" s="29" t="inlineStr">
        <is>
          <t>groupeaist.com</t>
        </is>
      </c>
      <c r="K286" s="29" t="inlineStr">
        <is>
          <t>Directeur des Etudes</t>
        </is>
      </c>
      <c r="L286" s="30" t="inlineStr">
        <is>
          <t>Haute</t>
        </is>
      </c>
      <c r="M286" s="29" t="inlineStr">
        <is>
          <t>Le Grand Frere + UPESUP | email : Le Grand Frere + UPESUP + MESRS</t>
        </is>
      </c>
      <c r="N286" s="29" t="inlineStr">
        <is>
          <t>gratuite</t>
        </is>
      </c>
      <c r="O286" s="14" t="inlineStr">
        <is>
          <t>a verifier</t>
        </is>
      </c>
      <c r="P286" s="29" t="inlineStr">
        <is>
          <t>commerce</t>
        </is>
      </c>
    </row>
    <row r="287">
      <c r="A287" s="29" t="inlineStr">
        <is>
          <t>CENTRE DES ETUDES SUPERIEURES DES ETUDES D'ABIDJAN PLATEAU (CESA PLATEAU)</t>
        </is>
      </c>
      <c r="B287" s="29" t="inlineStr">
        <is>
          <t>Grande ecole BTS - assistanat de direction, communication visuelle, finances comptabilite</t>
        </is>
      </c>
      <c r="C287" s="29" t="inlineStr">
        <is>
          <t>Prive</t>
        </is>
      </c>
      <c r="D287" s="29" t="inlineStr">
        <is>
          <t>Abidjan - Plateau</t>
        </is>
      </c>
      <c r="E287" s="29" t="inlineStr">
        <is>
          <t>Plateau prolongement ex cercle du rail en allant vers le marché du vivrier</t>
        </is>
      </c>
      <c r="F287" s="29" t="inlineStr">
        <is>
          <t>+225 27 20 21 97 56</t>
        </is>
      </c>
      <c r="G287" s="29" t="inlineStr"/>
      <c r="H287" s="29" t="inlineStr"/>
      <c r="I287" s="29" t="inlineStr"/>
      <c r="J287" s="29" t="inlineStr">
        <is>
          <t>http://www.cofecesa.net</t>
        </is>
      </c>
      <c r="K287" s="29" t="inlineStr">
        <is>
          <t>Directeur des Etudes</t>
        </is>
      </c>
      <c r="L287" s="30" t="inlineStr">
        <is>
          <t>Haute</t>
        </is>
      </c>
      <c r="M287" s="29" t="inlineStr">
        <is>
          <t>MESRS - liste officielle grandes ecoles</t>
        </is>
      </c>
      <c r="N287" s="29" t="inlineStr"/>
      <c r="O287" s="31" t="inlineStr">
        <is>
          <t>sans email</t>
        </is>
      </c>
      <c r="P287" s="29" t="inlineStr">
        <is>
          <t>commerce</t>
        </is>
      </c>
    </row>
    <row r="288">
      <c r="A288" s="29" t="inlineStr">
        <is>
          <t>CESA Plateau - Centre d Etudes Superieures des Affaires d Abidjan</t>
        </is>
      </c>
      <c r="B288" s="29" t="inlineStr">
        <is>
          <t>Ecole superieure privee - BTS Licence Master</t>
        </is>
      </c>
      <c r="C288" s="29" t="inlineStr">
        <is>
          <t>Prive</t>
        </is>
      </c>
      <c r="D288" s="29" t="inlineStr">
        <is>
          <t>Abidjan - Plateau</t>
        </is>
      </c>
      <c r="E288" s="29" t="inlineStr">
        <is>
          <t>Cercle des Rails a 200m de la Direction Generale Sitarail - 01 BP 8596 Abidjan 01</t>
        </is>
      </c>
      <c r="F288" s="29" t="inlineStr">
        <is>
          <t>+225 27 20 21 97 56</t>
        </is>
      </c>
      <c r="G288" s="29" t="inlineStr">
        <is>
          <t>+225 27 21 56 31 74</t>
        </is>
      </c>
      <c r="H288" s="29" t="inlineStr"/>
      <c r="I288" s="29" t="inlineStr">
        <is>
          <t>cofecesa@cofecesa.net</t>
        </is>
      </c>
      <c r="J288" s="29" t="inlineStr">
        <is>
          <t>cofecesa.net</t>
        </is>
      </c>
      <c r="K288" s="29" t="inlineStr">
        <is>
          <t>Directeur des Etudes</t>
        </is>
      </c>
      <c r="L288" s="29" t="inlineStr">
        <is>
          <t>Moyenne</t>
        </is>
      </c>
      <c r="M288" s="29" t="inlineStr">
        <is>
          <t>AnnuaireCI + UPESUP | email : cofecesa.net - boite generale du groupe, repli alain_achi@yahoo.fr</t>
        </is>
      </c>
      <c r="N288" s="29" t="inlineStr">
        <is>
          <t>domaine propre</t>
        </is>
      </c>
      <c r="O288" s="14" t="inlineStr">
        <is>
          <t>a verifier</t>
        </is>
      </c>
      <c r="P288" s="29" t="inlineStr">
        <is>
          <t>defaut</t>
        </is>
      </c>
    </row>
    <row r="289">
      <c r="A289" s="29" t="inlineStr">
        <is>
          <t>CIFEC ABIDJAN</t>
        </is>
      </c>
      <c r="B289" s="29" t="inlineStr">
        <is>
          <t>Grande ecole BTS - finances comptabilite, gestion commerciale, informatique developpeur d'applications</t>
        </is>
      </c>
      <c r="C289" s="29" t="inlineStr">
        <is>
          <t>Prive</t>
        </is>
      </c>
      <c r="D289" s="29" t="inlineStr">
        <is>
          <t>Abidjan - Plateau</t>
        </is>
      </c>
      <c r="E289" s="29" t="inlineStr">
        <is>
          <t>PLATEAU (ABIDJAN) - RUE DE COMMERCE, BÂTIMENT ROUGE-BLANC, AVANT IMMEUBLE DU MALI, FACE A BRIDGE BANK</t>
        </is>
      </c>
      <c r="F289" s="29" t="inlineStr">
        <is>
          <t>+225 27 20 32 22 48</t>
        </is>
      </c>
      <c r="G289" s="29" t="inlineStr"/>
      <c r="H289" s="29" t="inlineStr"/>
      <c r="I289" s="29" t="inlineStr">
        <is>
          <t>cifec2011@yahoo.fr</t>
        </is>
      </c>
      <c r="J289" s="29" t="inlineStr">
        <is>
          <t>https://www.cifecabidjan.ci</t>
        </is>
      </c>
      <c r="K289" s="29" t="inlineStr">
        <is>
          <t>Directeur des Etudes</t>
        </is>
      </c>
      <c r="L289" s="30" t="inlineStr">
        <is>
          <t>Haute</t>
        </is>
      </c>
      <c r="M289" s="29" t="inlineStr">
        <is>
          <t>MESRS - liste officielle grandes ecoles</t>
        </is>
      </c>
      <c r="N289" s="29" t="inlineStr">
        <is>
          <t>gratuite</t>
        </is>
      </c>
      <c r="O289" s="14" t="inlineStr">
        <is>
          <t>a verifier</t>
        </is>
      </c>
      <c r="P289" s="29" t="inlineStr">
        <is>
          <t>commerce</t>
        </is>
      </c>
    </row>
    <row r="290">
      <c r="A290" s="29" t="inlineStr">
        <is>
          <t>COURS SUPERIEUR NOTRE DAME DU PLATEAU (CSNDP)</t>
        </is>
      </c>
      <c r="B290" s="29" t="inlineStr">
        <is>
          <t>Grande ecole BTS - assistanat de direction, finances comptabilite, gestion commerciale</t>
        </is>
      </c>
      <c r="C290" s="29" t="inlineStr">
        <is>
          <t>Prive</t>
        </is>
      </c>
      <c r="D290" s="29" t="inlineStr">
        <is>
          <t>Abidjan - Plateau</t>
        </is>
      </c>
      <c r="E290" s="29" t="inlineStr">
        <is>
          <t>PLATEAU EN FACE DE LA FONCTION PUBLIQUE SUR LE MEME SITE QUE LE COLLEGE NOTRE DAME DU PLATEAU</t>
        </is>
      </c>
      <c r="F290" s="29" t="inlineStr">
        <is>
          <t>+225 27 20 22 71 29</t>
        </is>
      </c>
      <c r="G290" s="29" t="inlineStr">
        <is>
          <t>+225 27 20 21 89 16</t>
        </is>
      </c>
      <c r="H290" s="29" t="inlineStr"/>
      <c r="I290" s="29" t="inlineStr">
        <is>
          <t>csbsndp@aviso.ci</t>
        </is>
      </c>
      <c r="J290" s="29" t="inlineStr">
        <is>
          <t>https://url: www.csn-dp.net</t>
        </is>
      </c>
      <c r="K290" s="29" t="inlineStr">
        <is>
          <t>Directeur des Etudes</t>
        </is>
      </c>
      <c r="L290" s="30" t="inlineStr">
        <is>
          <t>Haute</t>
        </is>
      </c>
      <c r="M290" s="29" t="inlineStr">
        <is>
          <t>MESRS - liste officielle grandes ecoles</t>
        </is>
      </c>
      <c r="N290" s="29" t="inlineStr">
        <is>
          <t>gratuite</t>
        </is>
      </c>
      <c r="O290" s="14" t="inlineStr">
        <is>
          <t>a verifier</t>
        </is>
      </c>
      <c r="P290" s="29" t="inlineStr">
        <is>
          <t>commerce</t>
        </is>
      </c>
    </row>
    <row r="291">
      <c r="A291" s="29" t="inlineStr">
        <is>
          <t>ECOLE PRATIQUE DE LA CHAMBRE DE COMMERCE ET D'INDUSTRIE DE CÔTE D'IVOIRE (EPCCI)</t>
        </is>
      </c>
      <c r="B291" s="29" t="inlineStr">
        <is>
          <t>Grande ecole BTS - assistanat de direction, finances comptabilite, gestion commerciale</t>
        </is>
      </c>
      <c r="C291" s="29" t="inlineStr">
        <is>
          <t>Prive</t>
        </is>
      </c>
      <c r="D291" s="29" t="inlineStr">
        <is>
          <t>Abidjan - Plateau</t>
        </is>
      </c>
      <c r="E291" s="29" t="inlineStr">
        <is>
          <t>10 et 11 Avenue Lamblin (face à l'hôtel SEEN)</t>
        </is>
      </c>
      <c r="F291" s="29" t="inlineStr">
        <is>
          <t>+225 27 20 30 97 21</t>
        </is>
      </c>
      <c r="G291" s="29" t="inlineStr"/>
      <c r="H291" s="29" t="inlineStr"/>
      <c r="I291" s="29" t="inlineStr">
        <is>
          <t>epcci@cci.ci</t>
        </is>
      </c>
      <c r="J291" s="29" t="inlineStr">
        <is>
          <t>https://html://www.epcci.edu.ci</t>
        </is>
      </c>
      <c r="K291" s="29" t="inlineStr">
        <is>
          <t>Directeur des Etudes</t>
        </is>
      </c>
      <c r="L291" s="30" t="inlineStr">
        <is>
          <t>Haute</t>
        </is>
      </c>
      <c r="M291" s="29" t="inlineStr">
        <is>
          <t>MESRS - liste officielle grandes ecoles</t>
        </is>
      </c>
      <c r="N291" s="29" t="inlineStr">
        <is>
          <t>domaine propre</t>
        </is>
      </c>
      <c r="O291" s="14" t="inlineStr">
        <is>
          <t>a verifier</t>
        </is>
      </c>
      <c r="P291" s="29" t="inlineStr">
        <is>
          <t>ingenieur</t>
        </is>
      </c>
    </row>
    <row r="292">
      <c r="A292" s="29" t="inlineStr">
        <is>
          <t>ECOLE SPECIALE DU BÂTIMENT ET DES TRAVAUX PUBLICS PLATEAU (ESBTP PLATEAU)</t>
        </is>
      </c>
      <c r="B292" s="29" t="inlineStr">
        <is>
          <t>Grande ecole BTS - genie civil, mines geologie</t>
        </is>
      </c>
      <c r="C292" s="29" t="inlineStr">
        <is>
          <t>Prive</t>
        </is>
      </c>
      <c r="D292" s="29" t="inlineStr">
        <is>
          <t>Abidjan - Plateau</t>
        </is>
      </c>
      <c r="E292" s="29" t="inlineStr">
        <is>
          <t>PLATEAU RUE DU COMMERCE IMMEUBLE NASSAR ESC B 3ème</t>
        </is>
      </c>
      <c r="F292" s="29" t="inlineStr">
        <is>
          <t>+225 27 20 32 80 01</t>
        </is>
      </c>
      <c r="G292" s="29" t="inlineStr"/>
      <c r="H292" s="29" t="inlineStr"/>
      <c r="I292" s="29" t="inlineStr">
        <is>
          <t>dakoff007@yahoo.fr</t>
        </is>
      </c>
      <c r="J292" s="29" t="inlineStr"/>
      <c r="K292" s="29" t="inlineStr">
        <is>
          <t>Directeur des Etudes</t>
        </is>
      </c>
      <c r="L292" s="30" t="inlineStr">
        <is>
          <t>Haute</t>
        </is>
      </c>
      <c r="M292" s="29" t="inlineStr">
        <is>
          <t>MESRS - liste officielle grandes ecoles</t>
        </is>
      </c>
      <c r="N292" s="29" t="inlineStr">
        <is>
          <t>gratuite</t>
        </is>
      </c>
      <c r="O292" s="14" t="inlineStr">
        <is>
          <t>a verifier</t>
        </is>
      </c>
      <c r="P292" s="29" t="inlineStr">
        <is>
          <t>btp</t>
        </is>
      </c>
    </row>
    <row r="293">
      <c r="A293" s="29" t="inlineStr">
        <is>
          <t>ECOLE SUPERIEURE D'INFORMATIQUE ET DE L'INNOVATION PLATEAU (ES2I PLATEAU)</t>
        </is>
      </c>
      <c r="B293" s="29" t="inlineStr">
        <is>
          <t>Grande ecole BTS - finances comptabilite, gestion commerciale, informatique developpeur d'applications</t>
        </is>
      </c>
      <c r="C293" s="29" t="inlineStr">
        <is>
          <t>Prive</t>
        </is>
      </c>
      <c r="D293" s="29" t="inlineStr">
        <is>
          <t>Abidjan - Plateau</t>
        </is>
      </c>
      <c r="E293" s="29" t="inlineStr">
        <is>
          <t>Immeuble Central Park, au 1er étage voisine de Pigier Annexe, non loin de Galerie du Parc.</t>
        </is>
      </c>
      <c r="F293" s="29" t="inlineStr">
        <is>
          <t>+225 01 01 15 33 44</t>
        </is>
      </c>
      <c r="G293" s="29" t="inlineStr">
        <is>
          <t>+225 07 08 11 04 78</t>
        </is>
      </c>
      <c r="H293" s="29" t="inlineStr">
        <is>
          <t>+225 01 01 15 33 44</t>
        </is>
      </c>
      <c r="I293" s="29" t="inlineStr">
        <is>
          <t>akaabedy@yahoo.fr</t>
        </is>
      </c>
      <c r="J293" s="29" t="inlineStr">
        <is>
          <t>http://www.es2i.ci/</t>
        </is>
      </c>
      <c r="K293" s="29" t="inlineStr">
        <is>
          <t>Directeur des Etudes</t>
        </is>
      </c>
      <c r="L293" s="30" t="inlineStr">
        <is>
          <t>Haute</t>
        </is>
      </c>
      <c r="M293" s="29" t="inlineStr">
        <is>
          <t>MESRS - liste officielle grandes ecoles</t>
        </is>
      </c>
      <c r="N293" s="29" t="inlineStr">
        <is>
          <t>gratuite</t>
        </is>
      </c>
      <c r="O293" s="14" t="inlineStr">
        <is>
          <t>a verifier</t>
        </is>
      </c>
      <c r="P293" s="29" t="inlineStr">
        <is>
          <t>numerique</t>
        </is>
      </c>
    </row>
    <row r="294">
      <c r="A294" s="29" t="inlineStr">
        <is>
          <t>ECOLE SUPERIEURE DES AFFAIRES ET MANAGEMENT/INSTITUT DES HAUTES ETUDES PROFESSIONNELLES ET TECHNIQUES (ESAM/IHPT)</t>
        </is>
      </c>
      <c r="B294" s="29" t="inlineStr">
        <is>
          <t>Grande ecole BTS - assistanat de direction, electrotechnique, finances comptabilite</t>
        </is>
      </c>
      <c r="C294" s="29" t="inlineStr">
        <is>
          <t>Prive</t>
        </is>
      </c>
      <c r="D294" s="29" t="inlineStr">
        <is>
          <t>Abidjan - Plateau</t>
        </is>
      </c>
      <c r="E294" s="29" t="inlineStr">
        <is>
          <t>PLATEAU APRES LE COMMISSARIAT DU 1 er ARRONDISSEMENT EN ALLANT A L’AMBASSADE DE FRANCE 1 er CARREFOUR A GAUCHE IMMEUBLE DOGBA</t>
        </is>
      </c>
      <c r="F294" s="29" t="inlineStr"/>
      <c r="G294" s="29" t="inlineStr"/>
      <c r="H294" s="29" t="inlineStr"/>
      <c r="I294" s="29" t="inlineStr">
        <is>
          <t>esamihpt@gmail.com</t>
        </is>
      </c>
      <c r="J294" s="29" t="inlineStr">
        <is>
          <t>http://www.groupeesam.com</t>
        </is>
      </c>
      <c r="K294" s="29" t="inlineStr">
        <is>
          <t>Directeur des Etudes</t>
        </is>
      </c>
      <c r="L294" s="30" t="inlineStr">
        <is>
          <t>Haute</t>
        </is>
      </c>
      <c r="M294" s="29" t="inlineStr">
        <is>
          <t>MESRS - liste officielle grandes ecoles</t>
        </is>
      </c>
      <c r="N294" s="29" t="inlineStr">
        <is>
          <t>gratuite</t>
        </is>
      </c>
      <c r="O294" s="14" t="inlineStr">
        <is>
          <t>a verifier</t>
        </is>
      </c>
      <c r="P294" s="29" t="inlineStr">
        <is>
          <t>commerce</t>
        </is>
      </c>
    </row>
    <row r="295">
      <c r="A295" s="29" t="inlineStr">
        <is>
          <t>ECOLE SUPERIEURE DES AFFAIRES ET MANAGEMENT/INSTITUT POLYTECHNIQUE KOKO N'GUESSAN (ESAM/IPKN)</t>
        </is>
      </c>
      <c r="B295" s="29" t="inlineStr">
        <is>
          <t>Grande ecole BTS - assistanat de direction, electrotechnique, finances comptabilite</t>
        </is>
      </c>
      <c r="C295" s="29" t="inlineStr">
        <is>
          <t>Prive</t>
        </is>
      </c>
      <c r="D295" s="29" t="inlineStr">
        <is>
          <t>Abidjan - Plateau</t>
        </is>
      </c>
      <c r="E295" s="29" t="inlineStr">
        <is>
          <t>PLATEAU APRES LE COMMISSARIAT DU 1 er ARRONDISSEMENT EN ALLANT A L’AMBASSADE DE FRANCE 1 er CARREFOUR A GAUCHE IMMEUBLE DOGBA</t>
        </is>
      </c>
      <c r="F295" s="29" t="inlineStr"/>
      <c r="G295" s="29" t="inlineStr"/>
      <c r="H295" s="29" t="inlineStr"/>
      <c r="I295" s="29" t="inlineStr">
        <is>
          <t>esamihpt@gmail.com</t>
        </is>
      </c>
      <c r="J295" s="29" t="inlineStr">
        <is>
          <t>http://www.groupeesam.com</t>
        </is>
      </c>
      <c r="K295" s="29" t="inlineStr">
        <is>
          <t>Directeur des Etudes</t>
        </is>
      </c>
      <c r="L295" s="30" t="inlineStr">
        <is>
          <t>Haute</t>
        </is>
      </c>
      <c r="M295" s="29" t="inlineStr">
        <is>
          <t>MESRS - liste officielle grandes ecoles</t>
        </is>
      </c>
      <c r="N295" s="29" t="inlineStr">
        <is>
          <t>gratuite</t>
        </is>
      </c>
      <c r="O295" s="14" t="inlineStr">
        <is>
          <t>a verifier</t>
        </is>
      </c>
      <c r="P295" s="29" t="inlineStr">
        <is>
          <t>ingenieur</t>
        </is>
      </c>
    </row>
    <row r="296">
      <c r="A296" s="29" t="inlineStr">
        <is>
          <t>ECOLE SUPERIEURE GADJI (ESUG)</t>
        </is>
      </c>
      <c r="B296" s="29" t="inlineStr">
        <is>
          <t>Grande ecole BTS - assistanat de direction, finances comptabilite, gestion commerciale</t>
        </is>
      </c>
      <c r="C296" s="29" t="inlineStr">
        <is>
          <t>Prive</t>
        </is>
      </c>
      <c r="D296" s="29" t="inlineStr">
        <is>
          <t>Abidjan - Plateau</t>
        </is>
      </c>
      <c r="E296" s="29" t="inlineStr">
        <is>
          <t>PLATEAU Im GYAM(SOPIM) en face de la sorbone à coté de l'Imprimerie Nationale</t>
        </is>
      </c>
      <c r="F296" s="29" t="inlineStr">
        <is>
          <t>+225 27 31 96 43 63</t>
        </is>
      </c>
      <c r="G296" s="29" t="inlineStr">
        <is>
          <t>+225 05 05 74 16 15</t>
        </is>
      </c>
      <c r="H296" s="29" t="inlineStr">
        <is>
          <t>+225 05 05 74 16 15</t>
        </is>
      </c>
      <c r="I296" s="29" t="inlineStr">
        <is>
          <t>esug2019@gmail.com</t>
        </is>
      </c>
      <c r="J296" s="29" t="inlineStr">
        <is>
          <t>https://www.groupe-esug.com</t>
        </is>
      </c>
      <c r="K296" s="29" t="inlineStr">
        <is>
          <t>Directeur des Etudes</t>
        </is>
      </c>
      <c r="L296" s="30" t="inlineStr">
        <is>
          <t>Haute</t>
        </is>
      </c>
      <c r="M296" s="29" t="inlineStr">
        <is>
          <t>MESRS - liste officielle grandes ecoles</t>
        </is>
      </c>
      <c r="N296" s="29" t="inlineStr">
        <is>
          <t>gratuite</t>
        </is>
      </c>
      <c r="O296" s="14" t="inlineStr">
        <is>
          <t>a verifier</t>
        </is>
      </c>
      <c r="P296" s="29" t="inlineStr">
        <is>
          <t>commerce</t>
        </is>
      </c>
    </row>
    <row r="297">
      <c r="A297" s="29" t="inlineStr">
        <is>
          <t>ECOLE SUPERIEURE INTERNATIONALE DE GESTION ET DE MANAGEMENT (ESIGEM)</t>
        </is>
      </c>
      <c r="B297" s="29" t="inlineStr">
        <is>
          <t>Grande ecole BTS - finances comptabilite, genie civil, gestion commerciale</t>
        </is>
      </c>
      <c r="C297" s="29" t="inlineStr">
        <is>
          <t>Prive</t>
        </is>
      </c>
      <c r="D297" s="29" t="inlineStr">
        <is>
          <t>Abidjan - Plateau</t>
        </is>
      </c>
      <c r="E297" s="29" t="inlineStr"/>
      <c r="F297" s="29" t="inlineStr"/>
      <c r="G297" s="29" t="inlineStr"/>
      <c r="H297" s="29" t="inlineStr"/>
      <c r="I297" s="29" t="inlineStr"/>
      <c r="J297" s="29" t="inlineStr"/>
      <c r="K297" s="29" t="inlineStr">
        <is>
          <t>Directeur des Etudes</t>
        </is>
      </c>
      <c r="L297" s="30" t="inlineStr">
        <is>
          <t>Haute</t>
        </is>
      </c>
      <c r="M297" s="29" t="inlineStr">
        <is>
          <t>MESRS - liste officielle grandes ecoles</t>
        </is>
      </c>
      <c r="N297" s="29" t="inlineStr"/>
      <c r="O297" s="31" t="inlineStr">
        <is>
          <t>sans email</t>
        </is>
      </c>
      <c r="P297" s="29" t="inlineStr">
        <is>
          <t>commerce</t>
        </is>
      </c>
    </row>
    <row r="298">
      <c r="A298" s="29" t="inlineStr">
        <is>
          <t>ECOLE SUPÉRIEURE TERTIAIRE ET DE TECHNOLOGIE APPLIQUÉE (ESTTA) - GROUPE LOKO</t>
        </is>
      </c>
      <c r="B298" s="29" t="inlineStr">
        <is>
          <t>Grande ecole BTS - assistanat de direction, agriculture tropicale, cosmetologie</t>
        </is>
      </c>
      <c r="C298" s="29" t="inlineStr">
        <is>
          <t>Prive</t>
        </is>
      </c>
      <c r="D298" s="29" t="inlineStr">
        <is>
          <t>Abidjan - Plateau</t>
        </is>
      </c>
      <c r="E298" s="29" t="inlineStr">
        <is>
          <t>Plateau Imm LE GENERAL</t>
        </is>
      </c>
      <c r="F298" s="29" t="inlineStr">
        <is>
          <t>+225 01 60 99 50 81</t>
        </is>
      </c>
      <c r="G298" s="29" t="inlineStr">
        <is>
          <t>+225 01 60 99 50 82</t>
        </is>
      </c>
      <c r="H298" s="29" t="inlineStr">
        <is>
          <t>+225 01 60 99 50 81</t>
        </is>
      </c>
      <c r="I298" s="29" t="inlineStr">
        <is>
          <t>estta2@groupeloko.com</t>
        </is>
      </c>
      <c r="J298" s="29" t="inlineStr">
        <is>
          <t>https://www.groupeloko.com</t>
        </is>
      </c>
      <c r="K298" s="29" t="inlineStr">
        <is>
          <t>Directeur des Etudes</t>
        </is>
      </c>
      <c r="L298" s="30" t="inlineStr">
        <is>
          <t>Haute</t>
        </is>
      </c>
      <c r="M298" s="29" t="inlineStr">
        <is>
          <t>MESRS - liste officielle grandes ecoles</t>
        </is>
      </c>
      <c r="N298" s="29" t="inlineStr">
        <is>
          <t>domaine propre</t>
        </is>
      </c>
      <c r="O298" s="14" t="inlineStr">
        <is>
          <t>a verifier</t>
        </is>
      </c>
      <c r="P298" s="29" t="inlineStr">
        <is>
          <t>numerique</t>
        </is>
      </c>
    </row>
    <row r="299">
      <c r="A299" s="29" t="inlineStr">
        <is>
          <t>ECOLE TECHNIQUE D'ENSEIGNEMENT PROFESSIONNEL PLATEAU (ETEP PLATEAU)</t>
        </is>
      </c>
      <c r="B299" s="29" t="inlineStr">
        <is>
          <t>Grande ecole BTS - assistanat de direction, agriculture tropicale, communication visuelle</t>
        </is>
      </c>
      <c r="C299" s="29" t="inlineStr">
        <is>
          <t>Prive</t>
        </is>
      </c>
      <c r="D299" s="29" t="inlineStr">
        <is>
          <t>Abidjan - Plateau</t>
        </is>
      </c>
      <c r="E299" s="29" t="inlineStr">
        <is>
          <t>plateau sitarail</t>
        </is>
      </c>
      <c r="F299" s="29" t="inlineStr">
        <is>
          <t>+225 01 01 83 21 18</t>
        </is>
      </c>
      <c r="G299" s="29" t="inlineStr"/>
      <c r="H299" s="29" t="inlineStr">
        <is>
          <t>+225 01 01 83 21 18</t>
        </is>
      </c>
      <c r="I299" s="29" t="inlineStr">
        <is>
          <t>etep01plateau@gmail.com</t>
        </is>
      </c>
      <c r="J299" s="29" t="inlineStr">
        <is>
          <t>http://www.groupetep.org/</t>
        </is>
      </c>
      <c r="K299" s="29" t="inlineStr">
        <is>
          <t>Directeur des Etudes</t>
        </is>
      </c>
      <c r="L299" s="30" t="inlineStr">
        <is>
          <t>Haute</t>
        </is>
      </c>
      <c r="M299" s="29" t="inlineStr">
        <is>
          <t>MESRS - liste officielle grandes ecoles</t>
        </is>
      </c>
      <c r="N299" s="29" t="inlineStr">
        <is>
          <t>gratuite</t>
        </is>
      </c>
      <c r="O299" s="14" t="inlineStr">
        <is>
          <t>a verifier</t>
        </is>
      </c>
      <c r="P299" s="29" t="inlineStr">
        <is>
          <t>commerce</t>
        </is>
      </c>
    </row>
    <row r="300">
      <c r="A300" s="29" t="inlineStr">
        <is>
          <t>ESC Castaing - Ecole Superieure de Commerce Castaing</t>
        </is>
      </c>
      <c r="B300" s="29" t="inlineStr">
        <is>
          <t>Ecole superieure de commerce - logistique transport</t>
        </is>
      </c>
      <c r="C300" s="29" t="inlineStr">
        <is>
          <t>Prive</t>
        </is>
      </c>
      <c r="D300" s="29" t="inlineStr">
        <is>
          <t>Abidjan - Plateau</t>
        </is>
      </c>
      <c r="E300" s="29" t="inlineStr">
        <is>
          <t>Avenue Crousson Duplessis face a Tralala Plateau - 01 BP 2617 Abidjan 01</t>
        </is>
      </c>
      <c r="F300" s="29" t="inlineStr">
        <is>
          <t>+225 27 20 21 22 89</t>
        </is>
      </c>
      <c r="G300" s="29" t="inlineStr">
        <is>
          <t>+225 27 20 21 63 47</t>
        </is>
      </c>
      <c r="H300" s="29" t="inlineStr"/>
      <c r="I300" s="29" t="inlineStr">
        <is>
          <t>castaing@aviso.ci</t>
        </is>
      </c>
      <c r="J300" s="29" t="inlineStr">
        <is>
          <t>esccastaing.com</t>
        </is>
      </c>
      <c r="K300" s="29" t="inlineStr">
        <is>
          <t>Directeur des Etudes</t>
        </is>
      </c>
      <c r="L300" s="30" t="inlineStr">
        <is>
          <t>Haute</t>
        </is>
      </c>
      <c r="M300" s="29" t="inlineStr">
        <is>
          <t>Site officiel esccastaing.com + MESRS</t>
        </is>
      </c>
      <c r="N300" s="29" t="inlineStr">
        <is>
          <t>gratuite</t>
        </is>
      </c>
      <c r="O300" s="30" t="inlineStr">
        <is>
          <t>valide</t>
        </is>
      </c>
      <c r="P300" s="29" t="inlineStr">
        <is>
          <t>logistique</t>
        </is>
      </c>
    </row>
    <row r="301">
      <c r="A301" s="29" t="inlineStr">
        <is>
          <t>ESCI PLATEAU</t>
        </is>
      </c>
      <c r="B301" s="29" t="inlineStr">
        <is>
          <t>Grande ecole BTS - finances comptabilite, gestion commerciale, informatique developpeur d'applications</t>
        </is>
      </c>
      <c r="C301" s="29" t="inlineStr">
        <is>
          <t>Prive</t>
        </is>
      </c>
      <c r="D301" s="29" t="inlineStr">
        <is>
          <t>Abidjan - Plateau</t>
        </is>
      </c>
      <c r="E301" s="29" t="inlineStr">
        <is>
          <t>immeuble Borg 2e étage à coté du cercle des rails</t>
        </is>
      </c>
      <c r="F301" s="29" t="inlineStr">
        <is>
          <t>+225 27 20 21 20 80</t>
        </is>
      </c>
      <c r="G301" s="29" t="inlineStr"/>
      <c r="H301" s="29" t="inlineStr"/>
      <c r="I301" s="29" t="inlineStr">
        <is>
          <t>2006.esci@gmail.com</t>
        </is>
      </c>
      <c r="J301" s="29" t="inlineStr">
        <is>
          <t>https://www.ecole-sci.com</t>
        </is>
      </c>
      <c r="K301" s="29" t="inlineStr">
        <is>
          <t>Directeur des Etudes</t>
        </is>
      </c>
      <c r="L301" s="30" t="inlineStr">
        <is>
          <t>Haute</t>
        </is>
      </c>
      <c r="M301" s="29" t="inlineStr">
        <is>
          <t>MESRS - liste officielle grandes ecoles</t>
        </is>
      </c>
      <c r="N301" s="29" t="inlineStr">
        <is>
          <t>gratuite</t>
        </is>
      </c>
      <c r="O301" s="14" t="inlineStr">
        <is>
          <t>a verifier</t>
        </is>
      </c>
      <c r="P301" s="29" t="inlineStr">
        <is>
          <t>commerce</t>
        </is>
      </c>
    </row>
    <row r="302">
      <c r="A302" s="29" t="inlineStr">
        <is>
          <t>ESTAN PLATEAU ABIDJAN</t>
        </is>
      </c>
      <c r="B302" s="29" t="inlineStr">
        <is>
          <t>Grande ecole BTS - assistanat de direction, finances comptabilite, genie civil</t>
        </is>
      </c>
      <c r="C302" s="29" t="inlineStr">
        <is>
          <t>Prive</t>
        </is>
      </c>
      <c r="D302" s="29" t="inlineStr">
        <is>
          <t>Abidjan - Plateau</t>
        </is>
      </c>
      <c r="E302" s="29" t="inlineStr">
        <is>
          <t>Plateau Rue du Commerce,Immeuble Nassar et Ghaddar, Escalier C 1er Etage , Au dessus de la Pharmacie Mazuet , Entre la Gare sud Sotra et l Hotel Novotel.</t>
        </is>
      </c>
      <c r="F302" s="29" t="inlineStr">
        <is>
          <t>+225 27 20 32 10 27</t>
        </is>
      </c>
      <c r="G302" s="29" t="inlineStr"/>
      <c r="H302" s="29" t="inlineStr"/>
      <c r="I302" s="29" t="inlineStr">
        <is>
          <t>estanplateau@gmail.com</t>
        </is>
      </c>
      <c r="J302" s="29" t="inlineStr">
        <is>
          <t>https://URL: www.groupevignon.ci</t>
        </is>
      </c>
      <c r="K302" s="29" t="inlineStr">
        <is>
          <t>Directeur des Etudes</t>
        </is>
      </c>
      <c r="L302" s="30" t="inlineStr">
        <is>
          <t>Haute</t>
        </is>
      </c>
      <c r="M302" s="29" t="inlineStr">
        <is>
          <t>MESRS - liste officielle grandes ecoles</t>
        </is>
      </c>
      <c r="N302" s="29" t="inlineStr">
        <is>
          <t>gratuite</t>
        </is>
      </c>
      <c r="O302" s="14" t="inlineStr">
        <is>
          <t>a verifier</t>
        </is>
      </c>
      <c r="P302" s="29" t="inlineStr">
        <is>
          <t>commerce</t>
        </is>
      </c>
    </row>
    <row r="303">
      <c r="A303" s="29" t="inlineStr">
        <is>
          <t>GROUPE CEFIAT ABIDJAN (GCT)</t>
        </is>
      </c>
      <c r="B303" s="29" t="inlineStr">
        <is>
          <t>Grande ecole BTS - assistanat de direction, communication visuelle, finances comptabilite</t>
        </is>
      </c>
      <c r="C303" s="29" t="inlineStr">
        <is>
          <t>Prive</t>
        </is>
      </c>
      <c r="D303" s="29" t="inlineStr">
        <is>
          <t>Abidjan - Plateau</t>
        </is>
      </c>
      <c r="E303" s="29" t="inlineStr">
        <is>
          <t>Plateau Avenue Noguès, Rue 33, Immeuble Groupe CEFIAT - Salomon, face nouvelle CNPS</t>
        </is>
      </c>
      <c r="F303" s="29" t="inlineStr">
        <is>
          <t>+225 27 20 21 01 21</t>
        </is>
      </c>
      <c r="G303" s="29" t="inlineStr"/>
      <c r="H303" s="29" t="inlineStr"/>
      <c r="I303" s="29" t="inlineStr">
        <is>
          <t>groupecefiat@aviso.ci</t>
        </is>
      </c>
      <c r="J303" s="29" t="inlineStr">
        <is>
          <t>http://www.cefiat.ci/infographie.php</t>
        </is>
      </c>
      <c r="K303" s="29" t="inlineStr">
        <is>
          <t>Directeur des Etudes</t>
        </is>
      </c>
      <c r="L303" s="30" t="inlineStr">
        <is>
          <t>Haute</t>
        </is>
      </c>
      <c r="M303" s="29" t="inlineStr">
        <is>
          <t>MESRS - liste officielle grandes ecoles</t>
        </is>
      </c>
      <c r="N303" s="29" t="inlineStr">
        <is>
          <t>gratuite</t>
        </is>
      </c>
      <c r="O303" s="14" t="inlineStr">
        <is>
          <t>a verifier</t>
        </is>
      </c>
      <c r="P303" s="29" t="inlineStr">
        <is>
          <t>commerce</t>
        </is>
      </c>
    </row>
    <row r="304">
      <c r="A304" s="29" t="inlineStr">
        <is>
          <t>GROUPE CEFIAT SALOMON (GCT)</t>
        </is>
      </c>
      <c r="B304" s="29" t="inlineStr">
        <is>
          <t>Grande ecole BTS - assistanat de direction, finances comptabilite, genie civil</t>
        </is>
      </c>
      <c r="C304" s="29" t="inlineStr">
        <is>
          <t>Prive</t>
        </is>
      </c>
      <c r="D304" s="29" t="inlineStr">
        <is>
          <t>Abidjan - Plateau</t>
        </is>
      </c>
      <c r="E304" s="29" t="inlineStr">
        <is>
          <t>Plateau Avenue Houdaille, Rue Augustin de Tessieres Immeuble Groupe CEFIAT - Salomon, face nouvelle CNPS</t>
        </is>
      </c>
      <c r="F304" s="29" t="inlineStr">
        <is>
          <t>+225 27 20 21 01 21</t>
        </is>
      </c>
      <c r="G304" s="29" t="inlineStr"/>
      <c r="H304" s="29" t="inlineStr"/>
      <c r="I304" s="29" t="inlineStr">
        <is>
          <t>groupecefiat@aviso.ci</t>
        </is>
      </c>
      <c r="J304" s="29" t="inlineStr">
        <is>
          <t>http://www.cefiat.ci/accueil.php</t>
        </is>
      </c>
      <c r="K304" s="29" t="inlineStr">
        <is>
          <t>Directeur des Etudes</t>
        </is>
      </c>
      <c r="L304" s="30" t="inlineStr">
        <is>
          <t>Haute</t>
        </is>
      </c>
      <c r="M304" s="29" t="inlineStr">
        <is>
          <t>MESRS - liste officielle grandes ecoles</t>
        </is>
      </c>
      <c r="N304" s="29" t="inlineStr">
        <is>
          <t>gratuite</t>
        </is>
      </c>
      <c r="O304" s="14" t="inlineStr">
        <is>
          <t>a verifier</t>
        </is>
      </c>
      <c r="P304" s="29" t="inlineStr">
        <is>
          <t>commerce</t>
        </is>
      </c>
    </row>
    <row r="305">
      <c r="A305" s="29" t="inlineStr">
        <is>
          <t>GROUPE ECOLE DES SCIENCES APPLIQUEES ET GESTION DES ENTREPRISES D'ABIDJAN PLATEAU (GROUPE ESSA PLATEAU)</t>
        </is>
      </c>
      <c r="B305" s="29" t="inlineStr">
        <is>
          <t>Grande ecole BTS - finances comptabilite, gestion commerciale, informatique developpeur d'applications</t>
        </is>
      </c>
      <c r="C305" s="29" t="inlineStr">
        <is>
          <t>Prive</t>
        </is>
      </c>
      <c r="D305" s="29" t="inlineStr">
        <is>
          <t>Abidjan - Plateau</t>
        </is>
      </c>
      <c r="E305" s="29" t="inlineStr">
        <is>
          <t>Abidjan Plateau,immeuble BORG 2ème étage porte 5 et 3ème étage porte 6 entre Longchamp et le cercle du rail, face station Total et pharmacie bvd Carde</t>
        </is>
      </c>
      <c r="F305" s="29" t="inlineStr">
        <is>
          <t>+225 27 20 33 41 88</t>
        </is>
      </c>
      <c r="G305" s="29" t="inlineStr"/>
      <c r="H305" s="29" t="inlineStr"/>
      <c r="I305" s="29" t="inlineStr">
        <is>
          <t>groupessa@yahoo.fr</t>
        </is>
      </c>
      <c r="J305" s="29" t="inlineStr">
        <is>
          <t>http://www.groupeessa-ci.com</t>
        </is>
      </c>
      <c r="K305" s="29" t="inlineStr">
        <is>
          <t>Directeur des Etudes</t>
        </is>
      </c>
      <c r="L305" s="30" t="inlineStr">
        <is>
          <t>Haute</t>
        </is>
      </c>
      <c r="M305" s="29" t="inlineStr">
        <is>
          <t>MESRS - liste officielle grandes ecoles</t>
        </is>
      </c>
      <c r="N305" s="29" t="inlineStr">
        <is>
          <t>gratuite</t>
        </is>
      </c>
      <c r="O305" s="14" t="inlineStr">
        <is>
          <t>a verifier</t>
        </is>
      </c>
      <c r="P305" s="29" t="inlineStr">
        <is>
          <t>commerce</t>
        </is>
      </c>
    </row>
    <row r="306">
      <c r="A306" s="29" t="inlineStr">
        <is>
          <t>GROUPE ECOLE ENTREPRISE EMPLOI PLATEAU (GROUPE 3E PLATEAU)</t>
        </is>
      </c>
      <c r="B306" s="29" t="inlineStr">
        <is>
          <t>Grande ecole BTS -</t>
        </is>
      </c>
      <c r="C306" s="29" t="inlineStr">
        <is>
          <t>Prive</t>
        </is>
      </c>
      <c r="D306" s="29" t="inlineStr">
        <is>
          <t>Abidjan - Plateau</t>
        </is>
      </c>
      <c r="E306" s="29" t="inlineStr"/>
      <c r="F306" s="29" t="inlineStr"/>
      <c r="G306" s="29" t="inlineStr"/>
      <c r="H306" s="29" t="inlineStr"/>
      <c r="I306" s="29" t="inlineStr"/>
      <c r="J306" s="29" t="inlineStr"/>
      <c r="K306" s="29" t="inlineStr">
        <is>
          <t>Directeur des Etudes</t>
        </is>
      </c>
      <c r="L306" s="30" t="inlineStr">
        <is>
          <t>Haute</t>
        </is>
      </c>
      <c r="M306" s="29" t="inlineStr">
        <is>
          <t>MESRS - liste officielle grandes ecoles</t>
        </is>
      </c>
      <c r="N306" s="29" t="inlineStr"/>
      <c r="O306" s="31" t="inlineStr">
        <is>
          <t>sans email</t>
        </is>
      </c>
      <c r="P306" s="29" t="inlineStr">
        <is>
          <t>defaut</t>
        </is>
      </c>
    </row>
    <row r="307">
      <c r="A307" s="29" t="inlineStr">
        <is>
          <t>GROUPE ECOLE SUPERIEURE DE COMMERCE DE GESTION ET DE TECHNOLOGIE PLATEAU (GROUPE ESCOGET PLATEAU)</t>
        </is>
      </c>
      <c r="B307" s="29" t="inlineStr">
        <is>
          <t>Grande ecole BTS - finances comptabilite, gestion commerciale, gestion de l'environnement</t>
        </is>
      </c>
      <c r="C307" s="29" t="inlineStr">
        <is>
          <t>Prive</t>
        </is>
      </c>
      <c r="D307" s="29" t="inlineStr">
        <is>
          <t>Abidjan - Plateau</t>
        </is>
      </c>
      <c r="E307" s="29" t="inlineStr">
        <is>
          <t>PLATEAU AVENUE LAMBLIN RESIDENCE LAMBLIN</t>
        </is>
      </c>
      <c r="F307" s="29" t="inlineStr">
        <is>
          <t>+225 27 20 32 20 63</t>
        </is>
      </c>
      <c r="G307" s="29" t="inlineStr"/>
      <c r="H307" s="29" t="inlineStr"/>
      <c r="I307" s="29" t="inlineStr">
        <is>
          <t>infoplateau@groupescoget.com</t>
        </is>
      </c>
      <c r="J307" s="29" t="inlineStr">
        <is>
          <t>http://groupescoget.com</t>
        </is>
      </c>
      <c r="K307" s="29" t="inlineStr">
        <is>
          <t>Directeur des Etudes</t>
        </is>
      </c>
      <c r="L307" s="30" t="inlineStr">
        <is>
          <t>Haute</t>
        </is>
      </c>
      <c r="M307" s="29" t="inlineStr">
        <is>
          <t>MESRS - liste officielle grandes ecoles</t>
        </is>
      </c>
      <c r="N307" s="29" t="inlineStr">
        <is>
          <t>domaine propre</t>
        </is>
      </c>
      <c r="O307" s="14" t="inlineStr">
        <is>
          <t>a verifier</t>
        </is>
      </c>
      <c r="P307" s="29" t="inlineStr">
        <is>
          <t>numerique</t>
        </is>
      </c>
    </row>
    <row r="308">
      <c r="A308" s="29" t="inlineStr">
        <is>
          <t>Groupe ESICOM (Ecole Superieure d'Informatique et de Commerce)</t>
        </is>
      </c>
      <c r="B308" s="29" t="inlineStr">
        <is>
          <t>Grande ecole - informatique / commerce</t>
        </is>
      </c>
      <c r="C308" s="29" t="inlineStr">
        <is>
          <t>Prive</t>
        </is>
      </c>
      <c r="D308" s="29" t="inlineStr">
        <is>
          <t>Abidjan - Plateau</t>
        </is>
      </c>
      <c r="E308" s="29" t="inlineStr">
        <is>
          <t>Bd Roume, entre Hotel Ibis et Saham Assurances, 04 BP 801 Abidjan 04</t>
        </is>
      </c>
      <c r="F308" s="29" t="inlineStr">
        <is>
          <t>+225 27 20 21 40 13</t>
        </is>
      </c>
      <c r="G308" s="29" t="inlineStr">
        <is>
          <t>+225 27 20 33 54 80</t>
        </is>
      </c>
      <c r="H308" s="29" t="inlineStr">
        <is>
          <t>+225 01 01 32 46 09</t>
        </is>
      </c>
      <c r="I308" s="29" t="inlineStr"/>
      <c r="J308" s="29" t="inlineStr">
        <is>
          <t>www.esicom.net</t>
        </is>
      </c>
      <c r="K308" s="29" t="inlineStr">
        <is>
          <t>Directeur des Etudes</t>
        </is>
      </c>
      <c r="L308" s="29" t="inlineStr">
        <is>
          <t>Moyenne</t>
        </is>
      </c>
      <c r="M308" s="29" t="inlineStr">
        <is>
          <t>AnnuaireCI + esicom.info</t>
        </is>
      </c>
      <c r="N308" s="29" t="inlineStr"/>
      <c r="O308" s="31" t="inlineStr">
        <is>
          <t>sans email</t>
        </is>
      </c>
      <c r="P308" s="29" t="inlineStr">
        <is>
          <t>numerique</t>
        </is>
      </c>
    </row>
    <row r="309">
      <c r="A309" s="29" t="inlineStr">
        <is>
          <t>GROUPE ONYX EXCELLENCE PLATEAU (GOEP)</t>
        </is>
      </c>
      <c r="B309" s="29" t="inlineStr">
        <is>
          <t>Grande ecole BTS - assistanat de direction, agriculture tropicale, finances comptabilite</t>
        </is>
      </c>
      <c r="C309" s="29" t="inlineStr">
        <is>
          <t>Prive</t>
        </is>
      </c>
      <c r="D309" s="29" t="inlineStr">
        <is>
          <t>Abidjan - Plateau</t>
        </is>
      </c>
      <c r="E309" s="29" t="inlineStr">
        <is>
          <t>IMMEUBLE BORG Près du cercle de rail</t>
        </is>
      </c>
      <c r="F309" s="29" t="inlineStr">
        <is>
          <t>+225 01 01 36 67 27</t>
        </is>
      </c>
      <c r="G309" s="29" t="inlineStr"/>
      <c r="H309" s="29" t="inlineStr">
        <is>
          <t>+225 01 01 36 67 27</t>
        </is>
      </c>
      <c r="I309" s="29" t="inlineStr">
        <is>
          <t>ftahoue@yahoo.fr</t>
        </is>
      </c>
      <c r="J309" s="29" t="inlineStr">
        <is>
          <t>https://www.groupeonyxexcellence.org</t>
        </is>
      </c>
      <c r="K309" s="29" t="inlineStr">
        <is>
          <t>Directeur des Etudes</t>
        </is>
      </c>
      <c r="L309" s="30" t="inlineStr">
        <is>
          <t>Haute</t>
        </is>
      </c>
      <c r="M309" s="29" t="inlineStr">
        <is>
          <t>MESRS - liste officielle grandes ecoles</t>
        </is>
      </c>
      <c r="N309" s="29" t="inlineStr">
        <is>
          <t>gratuite</t>
        </is>
      </c>
      <c r="O309" s="14" t="inlineStr">
        <is>
          <t>a verifier</t>
        </is>
      </c>
      <c r="P309" s="29" t="inlineStr">
        <is>
          <t>commerce</t>
        </is>
      </c>
    </row>
    <row r="310">
      <c r="A310" s="29" t="inlineStr">
        <is>
          <t>HEC LA ROCHE PLATEAU ABIDJAN</t>
        </is>
      </c>
      <c r="B310" s="29" t="inlineStr">
        <is>
          <t>Grande ecole BTS - finances comptabilite, gestion commerciale, logistique</t>
        </is>
      </c>
      <c r="C310" s="29" t="inlineStr">
        <is>
          <t>Prive</t>
        </is>
      </c>
      <c r="D310" s="29" t="inlineStr">
        <is>
          <t>Abidjan - Plateau</t>
        </is>
      </c>
      <c r="E310" s="29" t="inlineStr">
        <is>
          <t>Plateau rue des banques</t>
        </is>
      </c>
      <c r="F310" s="29" t="inlineStr">
        <is>
          <t>+225 07 07 65 93 26</t>
        </is>
      </c>
      <c r="G310" s="29" t="inlineStr"/>
      <c r="H310" s="29" t="inlineStr">
        <is>
          <t>+225 07 07 65 93 26</t>
        </is>
      </c>
      <c r="I310" s="29" t="inlineStr">
        <is>
          <t>heclaroche1@gmail.com</t>
        </is>
      </c>
      <c r="J310" s="29" t="inlineStr">
        <is>
          <t>http://www.heclaroche.net</t>
        </is>
      </c>
      <c r="K310" s="29" t="inlineStr">
        <is>
          <t>Directeur des Etudes</t>
        </is>
      </c>
      <c r="L310" s="30" t="inlineStr">
        <is>
          <t>Haute</t>
        </is>
      </c>
      <c r="M310" s="29" t="inlineStr">
        <is>
          <t>MESRS - liste officielle grandes ecoles</t>
        </is>
      </c>
      <c r="N310" s="29" t="inlineStr">
        <is>
          <t>gratuite</t>
        </is>
      </c>
      <c r="O310" s="14" t="inlineStr">
        <is>
          <t>a verifier</t>
        </is>
      </c>
      <c r="P310" s="29" t="inlineStr">
        <is>
          <t>commerce</t>
        </is>
      </c>
    </row>
    <row r="311">
      <c r="A311" s="29" t="inlineStr">
        <is>
          <t>IHPT TREICHVILLE (IHPT ESAM PLATEAU)</t>
        </is>
      </c>
      <c r="B311" s="29" t="inlineStr">
        <is>
          <t>Grande ecole BTS - assistanat de direction, electrotechnique, finances comptabilite</t>
        </is>
      </c>
      <c r="C311" s="29" t="inlineStr">
        <is>
          <t>Prive</t>
        </is>
      </c>
      <c r="D311" s="29" t="inlineStr">
        <is>
          <t>Abidjan - Plateau</t>
        </is>
      </c>
      <c r="E311" s="29" t="inlineStr">
        <is>
          <t>PLATEAU FACE AU CONSEIL CONSTITUTIONNEL</t>
        </is>
      </c>
      <c r="F311" s="29" t="inlineStr">
        <is>
          <t>+225 01 03 29 29 18</t>
        </is>
      </c>
      <c r="G311" s="29" t="inlineStr"/>
      <c r="H311" s="29" t="inlineStr">
        <is>
          <t>+225 01 03 29 29 18</t>
        </is>
      </c>
      <c r="I311" s="29" t="inlineStr">
        <is>
          <t>ma21p03@gmail.com</t>
        </is>
      </c>
      <c r="J311" s="29" t="inlineStr">
        <is>
          <t>https://hppts://www.groupeesam.com</t>
        </is>
      </c>
      <c r="K311" s="29" t="inlineStr">
        <is>
          <t>Directeur des Etudes</t>
        </is>
      </c>
      <c r="L311" s="30" t="inlineStr">
        <is>
          <t>Haute</t>
        </is>
      </c>
      <c r="M311" s="29" t="inlineStr">
        <is>
          <t>MESRS - liste officielle grandes ecoles</t>
        </is>
      </c>
      <c r="N311" s="29" t="inlineStr">
        <is>
          <t>gratuite</t>
        </is>
      </c>
      <c r="O311" s="14" t="inlineStr">
        <is>
          <t>a verifier</t>
        </is>
      </c>
      <c r="P311" s="29" t="inlineStr">
        <is>
          <t>commerce</t>
        </is>
      </c>
    </row>
    <row r="312">
      <c r="A312" s="29" t="inlineStr">
        <is>
          <t>INSTITUT DE COMMUNICATION DE GESTION ET D'ETUDE SCIENTIFIQUE PLATEAU (ICOGES PLATEAU)</t>
        </is>
      </c>
      <c r="B312" s="29" t="inlineStr">
        <is>
          <t>Grande ecole BTS - assistanat de direction, finances comptabilite, gestion commerciale</t>
        </is>
      </c>
      <c r="C312" s="29" t="inlineStr">
        <is>
          <t>Prive</t>
        </is>
      </c>
      <c r="D312" s="29" t="inlineStr">
        <is>
          <t>Abidjan - Plateau</t>
        </is>
      </c>
      <c r="E312" s="29" t="inlineStr"/>
      <c r="F312" s="29" t="inlineStr">
        <is>
          <t>+225 27 22 47 45 11</t>
        </is>
      </c>
      <c r="G312" s="29" t="inlineStr"/>
      <c r="H312" s="29" t="inlineStr"/>
      <c r="I312" s="29" t="inlineStr">
        <is>
          <t>icogesplateau@gmail.com</t>
        </is>
      </c>
      <c r="J312" s="29" t="inlineStr"/>
      <c r="K312" s="29" t="inlineStr">
        <is>
          <t>Directeur des Etudes</t>
        </is>
      </c>
      <c r="L312" s="30" t="inlineStr">
        <is>
          <t>Haute</t>
        </is>
      </c>
      <c r="M312" s="29" t="inlineStr">
        <is>
          <t>MESRS - liste officielle grandes ecoles</t>
        </is>
      </c>
      <c r="N312" s="29" t="inlineStr">
        <is>
          <t>gratuite</t>
        </is>
      </c>
      <c r="O312" s="14" t="inlineStr">
        <is>
          <t>a verifier</t>
        </is>
      </c>
      <c r="P312" s="29" t="inlineStr">
        <is>
          <t>communication</t>
        </is>
      </c>
    </row>
    <row r="313">
      <c r="A313" s="29" t="inlineStr">
        <is>
          <t>INSTITUT DE FORMATION ARTS ET DEVELOPPEMENT (IFAD)</t>
        </is>
      </c>
      <c r="B313" s="29" t="inlineStr">
        <is>
          <t>Grande ecole BTS - assistanat de direction, agriculture tropicale, communication visuelle</t>
        </is>
      </c>
      <c r="C313" s="29" t="inlineStr">
        <is>
          <t>Prive</t>
        </is>
      </c>
      <c r="D313" s="29" t="inlineStr">
        <is>
          <t>Abidjan - Plateau</t>
        </is>
      </c>
      <c r="E313" s="29" t="inlineStr">
        <is>
          <t>Plateau, Immeuble Borg, 1er étage en face de la station total du cercle des rails non loin de la pharmarcie longchamp</t>
        </is>
      </c>
      <c r="F313" s="29" t="inlineStr">
        <is>
          <t>+225 27 20 21 46 02</t>
        </is>
      </c>
      <c r="G313" s="29" t="inlineStr">
        <is>
          <t>+225 01 40 46 89 26</t>
        </is>
      </c>
      <c r="H313" s="29" t="inlineStr">
        <is>
          <t>+225 01 40 46 89 26</t>
        </is>
      </c>
      <c r="I313" s="29" t="inlineStr">
        <is>
          <t>ifadabidjan@gmail.com</t>
        </is>
      </c>
      <c r="J313" s="29" t="inlineStr">
        <is>
          <t>https://www.ifad-ci.com</t>
        </is>
      </c>
      <c r="K313" s="29" t="inlineStr">
        <is>
          <t>Directeur des Etudes</t>
        </is>
      </c>
      <c r="L313" s="30" t="inlineStr">
        <is>
          <t>Haute</t>
        </is>
      </c>
      <c r="M313" s="29" t="inlineStr">
        <is>
          <t>MESRS - liste officielle grandes ecoles</t>
        </is>
      </c>
      <c r="N313" s="29" t="inlineStr">
        <is>
          <t>gratuite</t>
        </is>
      </c>
      <c r="O313" s="14" t="inlineStr">
        <is>
          <t>a verifier</t>
        </is>
      </c>
      <c r="P313" s="29" t="inlineStr">
        <is>
          <t>communication</t>
        </is>
      </c>
    </row>
    <row r="314">
      <c r="A314" s="29" t="inlineStr">
        <is>
          <t>INSTITUT DE FORMATION PROFESSIONNELLE ET GENERALE/INSTITUT SUPERIEUR DE FORMATION TECHNIQUE ET PROFESSIONNELLE PLATEAU (IFPG/ISFPT PLATEAU)</t>
        </is>
      </c>
      <c r="B314" s="29" t="inlineStr">
        <is>
          <t>Grande ecole BTS - assistanat de direction, finances comptabilite, gestion commerciale</t>
        </is>
      </c>
      <c r="C314" s="29" t="inlineStr">
        <is>
          <t>Prive</t>
        </is>
      </c>
      <c r="D314" s="29" t="inlineStr">
        <is>
          <t>Abidjan - Plateau</t>
        </is>
      </c>
      <c r="E314" s="29" t="inlineStr">
        <is>
          <t>Plateau Cercle du Rail</t>
        </is>
      </c>
      <c r="F314" s="29" t="inlineStr">
        <is>
          <t>+225 27 20 22 51 88</t>
        </is>
      </c>
      <c r="G314" s="29" t="inlineStr"/>
      <c r="H314" s="29" t="inlineStr"/>
      <c r="I314" s="29" t="inlineStr">
        <is>
          <t>jjsilue37@gmail.com</t>
        </is>
      </c>
      <c r="J314" s="29" t="inlineStr">
        <is>
          <t>https://www.ifpg-isfpt.com</t>
        </is>
      </c>
      <c r="K314" s="29" t="inlineStr">
        <is>
          <t>Directeur des Etudes</t>
        </is>
      </c>
      <c r="L314" s="30" t="inlineStr">
        <is>
          <t>Haute</t>
        </is>
      </c>
      <c r="M314" s="29" t="inlineStr">
        <is>
          <t>MESRS - liste officielle grandes ecoles</t>
        </is>
      </c>
      <c r="N314" s="29" t="inlineStr">
        <is>
          <t>gratuite</t>
        </is>
      </c>
      <c r="O314" s="14" t="inlineStr">
        <is>
          <t>a verifier</t>
        </is>
      </c>
      <c r="P314" s="29" t="inlineStr">
        <is>
          <t>commerce</t>
        </is>
      </c>
    </row>
    <row r="315">
      <c r="A315" s="29" t="inlineStr">
        <is>
          <t>INSTITUT LEGACY PLATEAU ABIDJAN</t>
        </is>
      </c>
      <c r="B315" s="29" t="inlineStr">
        <is>
          <t>Grande ecole BTS - finances comptabilite, gestion commerciale, informatique developpeur d'applications</t>
        </is>
      </c>
      <c r="C315" s="29" t="inlineStr">
        <is>
          <t>Prive</t>
        </is>
      </c>
      <c r="D315" s="29" t="inlineStr">
        <is>
          <t>Abidjan - Plateau</t>
        </is>
      </c>
      <c r="E315" s="29" t="inlineStr">
        <is>
          <t>ABIDJAN-PLATEAU</t>
        </is>
      </c>
      <c r="F315" s="29" t="inlineStr">
        <is>
          <t>+225 27 20 22 95 47</t>
        </is>
      </c>
      <c r="G315" s="29" t="inlineStr">
        <is>
          <t>+225 07 07 47 40 05</t>
        </is>
      </c>
      <c r="H315" s="29" t="inlineStr">
        <is>
          <t>+225 07 07 47 40 05</t>
        </is>
      </c>
      <c r="I315" s="29" t="inlineStr">
        <is>
          <t>ductinan@yahoo.fr</t>
        </is>
      </c>
      <c r="J315" s="29" t="inlineStr">
        <is>
          <t>https://htt://www.legacyinstitute-ci.org</t>
        </is>
      </c>
      <c r="K315" s="29" t="inlineStr">
        <is>
          <t>Directeur des Etudes</t>
        </is>
      </c>
      <c r="L315" s="30" t="inlineStr">
        <is>
          <t>Haute</t>
        </is>
      </c>
      <c r="M315" s="29" t="inlineStr">
        <is>
          <t>MESRS - liste officielle grandes ecoles</t>
        </is>
      </c>
      <c r="N315" s="29" t="inlineStr">
        <is>
          <t>gratuite</t>
        </is>
      </c>
      <c r="O315" s="14" t="inlineStr">
        <is>
          <t>a verifier</t>
        </is>
      </c>
      <c r="P315" s="29" t="inlineStr">
        <is>
          <t>commerce</t>
        </is>
      </c>
    </row>
    <row r="316">
      <c r="A316" s="29" t="inlineStr">
        <is>
          <t>INSTITUT SUPERIEUR ADAM MARSHALL PLATEAU</t>
        </is>
      </c>
      <c r="B316" s="29" t="inlineStr">
        <is>
          <t>Grande ecole BTS - finances comptabilite, gestion commerciale, ressources humaines</t>
        </is>
      </c>
      <c r="C316" s="29" t="inlineStr">
        <is>
          <t>Prive</t>
        </is>
      </c>
      <c r="D316" s="29" t="inlineStr">
        <is>
          <t>Abidjan - Plateau</t>
        </is>
      </c>
      <c r="E316" s="29" t="inlineStr"/>
      <c r="F316" s="29" t="inlineStr">
        <is>
          <t>+225 27 20 22 68 91</t>
        </is>
      </c>
      <c r="G316" s="29" t="inlineStr"/>
      <c r="H316" s="29" t="inlineStr"/>
      <c r="I316" s="29" t="inlineStr">
        <is>
          <t>infoadammarshall@gmail.com</t>
        </is>
      </c>
      <c r="J316" s="29" t="inlineStr"/>
      <c r="K316" s="29" t="inlineStr">
        <is>
          <t>Directeur des Etudes</t>
        </is>
      </c>
      <c r="L316" s="30" t="inlineStr">
        <is>
          <t>Haute</t>
        </is>
      </c>
      <c r="M316" s="29" t="inlineStr">
        <is>
          <t>MESRS - liste officielle grandes ecoles</t>
        </is>
      </c>
      <c r="N316" s="29" t="inlineStr">
        <is>
          <t>gratuite</t>
        </is>
      </c>
      <c r="O316" s="14" t="inlineStr">
        <is>
          <t>a verifier</t>
        </is>
      </c>
      <c r="P316" s="29" t="inlineStr">
        <is>
          <t>commerce</t>
        </is>
      </c>
    </row>
    <row r="317">
      <c r="A317" s="29" t="inlineStr">
        <is>
          <t>INSTITUT SUPERIEUR DE FORMATION AUX METIERS DE L'INFORMATIQUE (ISFMI)</t>
        </is>
      </c>
      <c r="B317" s="29" t="inlineStr">
        <is>
          <t>Grande ecole BTS - assistanat de direction, finances comptabilite, gestion commerciale</t>
        </is>
      </c>
      <c r="C317" s="29" t="inlineStr">
        <is>
          <t>Prive</t>
        </is>
      </c>
      <c r="D317" s="29" t="inlineStr">
        <is>
          <t>Abidjan - Plateau</t>
        </is>
      </c>
      <c r="E317" s="29" t="inlineStr">
        <is>
          <t>Plateau non loin de la Gare Sud, face à l'immeuble SIDAM</t>
        </is>
      </c>
      <c r="F317" s="29" t="inlineStr">
        <is>
          <t>+225 27 20 32 83 39</t>
        </is>
      </c>
      <c r="G317" s="29" t="inlineStr"/>
      <c r="H317" s="29" t="inlineStr"/>
      <c r="I317" s="29" t="inlineStr">
        <is>
          <t>yeyinou123@yahoo.fr</t>
        </is>
      </c>
      <c r="J317" s="29" t="inlineStr">
        <is>
          <t>http://www.isfmi.net</t>
        </is>
      </c>
      <c r="K317" s="29" t="inlineStr">
        <is>
          <t>Directeur des Etudes</t>
        </is>
      </c>
      <c r="L317" s="30" t="inlineStr">
        <is>
          <t>Haute</t>
        </is>
      </c>
      <c r="M317" s="29" t="inlineStr">
        <is>
          <t>MESRS - liste officielle grandes ecoles</t>
        </is>
      </c>
      <c r="N317" s="29" t="inlineStr">
        <is>
          <t>gratuite</t>
        </is>
      </c>
      <c r="O317" s="14" t="inlineStr">
        <is>
          <t>a verifier</t>
        </is>
      </c>
      <c r="P317" s="29" t="inlineStr">
        <is>
          <t>numerique</t>
        </is>
      </c>
    </row>
    <row r="318">
      <c r="A318" s="29" t="inlineStr">
        <is>
          <t>INSTITUT SUPERIEUR DE TECHNOLOGIE DE COTE D'IVOIRE PLATEAU (ISTCI PLATEAU)</t>
        </is>
      </c>
      <c r="B318" s="29" t="inlineStr">
        <is>
          <t>Grande ecole BTS - assistanat de direction, communication visuelle, electrotechnique</t>
        </is>
      </c>
      <c r="C318" s="29" t="inlineStr">
        <is>
          <t>Prive</t>
        </is>
      </c>
      <c r="D318" s="29" t="inlineStr">
        <is>
          <t>Abidjan - Plateau</t>
        </is>
      </c>
      <c r="E318" s="29" t="inlineStr">
        <is>
          <t>: 5 Boulevard Angoulvant en face de l'Alliance Biblique au Plateau en allant vers l'Immeuble des Finances (Pour la géolocalisation google maps, entrez les coordonnées suivantes : 8XGH+H54, Rue Thomasset, Abidjan)</t>
        </is>
      </c>
      <c r="F318" s="29" t="inlineStr"/>
      <c r="G318" s="29" t="inlineStr"/>
      <c r="H318" s="29" t="inlineStr"/>
      <c r="I318" s="29" t="inlineStr">
        <is>
          <t>rusta.istci@gmail.com</t>
        </is>
      </c>
      <c r="J318" s="29" t="inlineStr">
        <is>
          <t>http:// www.istci-plateau.com</t>
        </is>
      </c>
      <c r="K318" s="29" t="inlineStr">
        <is>
          <t>Directeur des Etudes</t>
        </is>
      </c>
      <c r="L318" s="30" t="inlineStr">
        <is>
          <t>Haute</t>
        </is>
      </c>
      <c r="M318" s="29" t="inlineStr">
        <is>
          <t>MESRS - liste officielle grandes ecoles</t>
        </is>
      </c>
      <c r="N318" s="29" t="inlineStr">
        <is>
          <t>gratuite</t>
        </is>
      </c>
      <c r="O318" s="14" t="inlineStr">
        <is>
          <t>a verifier</t>
        </is>
      </c>
      <c r="P318" s="29" t="inlineStr">
        <is>
          <t>numerique</t>
        </is>
      </c>
    </row>
    <row r="319">
      <c r="A319" s="29" t="inlineStr">
        <is>
          <t>INSTITUT SUPERIEUR DES TECHNOLOGIES ET DE MANAGEMENT ABIDJAN (ISTEMA PLATEAU) (GROUPE ISTEMA)</t>
        </is>
      </c>
      <c r="B319" s="29" t="inlineStr">
        <is>
          <t>Grande ecole BTS/Licence - assistanat de direction, finances comptabilite, gestion commerciale</t>
        </is>
      </c>
      <c r="C319" s="29" t="inlineStr">
        <is>
          <t>Prive</t>
        </is>
      </c>
      <c r="D319" s="29" t="inlineStr">
        <is>
          <t>Abidjan - Plateau</t>
        </is>
      </c>
      <c r="E319" s="29" t="inlineStr">
        <is>
          <t>Rue du Commerce en face de Bridge Bank</t>
        </is>
      </c>
      <c r="F319" s="29" t="inlineStr">
        <is>
          <t>+225 25 23 00 38 32</t>
        </is>
      </c>
      <c r="G319" s="29" t="inlineStr">
        <is>
          <t>+225 07 08 93 79 93</t>
        </is>
      </c>
      <c r="H319" s="29" t="inlineStr">
        <is>
          <t>+225 07 08 93 79 93</t>
        </is>
      </c>
      <c r="I319" s="29" t="inlineStr">
        <is>
          <t>2018groupe.istema@gmail.com</t>
        </is>
      </c>
      <c r="J319" s="29" t="inlineStr">
        <is>
          <t>https://htt://www.groupeistema.net</t>
        </is>
      </c>
      <c r="K319" s="29" t="inlineStr">
        <is>
          <t>Directeur des Etudes</t>
        </is>
      </c>
      <c r="L319" s="30" t="inlineStr">
        <is>
          <t>Haute</t>
        </is>
      </c>
      <c r="M319" s="29" t="inlineStr">
        <is>
          <t>MESRS - liste officielle grandes ecoles</t>
        </is>
      </c>
      <c r="N319" s="29" t="inlineStr">
        <is>
          <t>gratuite</t>
        </is>
      </c>
      <c r="O319" s="14" t="inlineStr">
        <is>
          <t>a verifier</t>
        </is>
      </c>
      <c r="P319" s="29" t="inlineStr">
        <is>
          <t>numerique</t>
        </is>
      </c>
    </row>
    <row r="320">
      <c r="A320" s="29" t="inlineStr">
        <is>
          <t>INSTITUT SUPERIEUR DES TECHNOLOGIES ET DE MANAGEMENT PLATEAU (ISTM PLATEAU)</t>
        </is>
      </c>
      <c r="B320" s="29" t="inlineStr">
        <is>
          <t>Grande ecole BTS - assistanat de direction, electrotechnique, finances comptabilite</t>
        </is>
      </c>
      <c r="C320" s="29" t="inlineStr">
        <is>
          <t>Prive</t>
        </is>
      </c>
      <c r="D320" s="29" t="inlineStr">
        <is>
          <t>Abidjan - Plateau</t>
        </is>
      </c>
      <c r="E320" s="29" t="inlineStr">
        <is>
          <t>PLATEAU AU SEIN DE LA MISSION LIBANAISE DU SACRE COEUR JUSTE APRES LE MINISTERE DE LA DEFENSE</t>
        </is>
      </c>
      <c r="F320" s="29" t="inlineStr">
        <is>
          <t>+225 07 68 87 67 73</t>
        </is>
      </c>
      <c r="G320" s="29" t="inlineStr">
        <is>
          <t>+225 05 56 98 81 82</t>
        </is>
      </c>
      <c r="H320" s="29" t="inlineStr">
        <is>
          <t>+225 07 68 87 67 73</t>
        </is>
      </c>
      <c r="I320" s="29" t="inlineStr">
        <is>
          <t>diaksidik@gmail.com</t>
        </is>
      </c>
      <c r="J320" s="29" t="inlineStr">
        <is>
          <t>https://www.istm-ci.com</t>
        </is>
      </c>
      <c r="K320" s="29" t="inlineStr">
        <is>
          <t>Directeur des Etudes</t>
        </is>
      </c>
      <c r="L320" s="30" t="inlineStr">
        <is>
          <t>Haute</t>
        </is>
      </c>
      <c r="M320" s="29" t="inlineStr">
        <is>
          <t>MESRS - liste officielle grandes ecoles</t>
        </is>
      </c>
      <c r="N320" s="29" t="inlineStr">
        <is>
          <t>gratuite</t>
        </is>
      </c>
      <c r="O320" s="14" t="inlineStr">
        <is>
          <t>a verifier</t>
        </is>
      </c>
      <c r="P320" s="29" t="inlineStr">
        <is>
          <t>numerique</t>
        </is>
      </c>
    </row>
    <row r="321">
      <c r="A321" s="29" t="inlineStr">
        <is>
          <t>INSTITUT SUPERIEUR NANAN THERESE (ISNT)</t>
        </is>
      </c>
      <c r="B321" s="29" t="inlineStr">
        <is>
          <t>Grande ecole BTS/Licence - assistanat de direction, communication visuelle, finances comptabilite</t>
        </is>
      </c>
      <c r="C321" s="29" t="inlineStr">
        <is>
          <t>Prive</t>
        </is>
      </c>
      <c r="D321" s="29" t="inlineStr">
        <is>
          <t>Abidjan - Plateau</t>
        </is>
      </c>
      <c r="E321" s="29" t="inlineStr">
        <is>
          <t>PLATEAU BVD CARDE FACE AU CONSEIL CONSTITUTIONNEL A 200M DE LA CITE ADMINISTRATIVE</t>
        </is>
      </c>
      <c r="F321" s="29" t="inlineStr">
        <is>
          <t>+225 27 20 24 31 51</t>
        </is>
      </c>
      <c r="G321" s="29" t="inlineStr">
        <is>
          <t>+225 07 59 45 45 77</t>
        </is>
      </c>
      <c r="H321" s="29" t="inlineStr">
        <is>
          <t>+225 07 59 45 45 77</t>
        </is>
      </c>
      <c r="I321" s="29" t="inlineStr">
        <is>
          <t>institutsuperieurnanantherese@gmail.com</t>
        </is>
      </c>
      <c r="J321" s="29" t="inlineStr">
        <is>
          <t>https://isnt-ci.com</t>
        </is>
      </c>
      <c r="K321" s="29" t="inlineStr">
        <is>
          <t>Directeur des Etudes</t>
        </is>
      </c>
      <c r="L321" s="30" t="inlineStr">
        <is>
          <t>Haute</t>
        </is>
      </c>
      <c r="M321" s="29" t="inlineStr">
        <is>
          <t>MESRS - liste officielle grandes ecoles</t>
        </is>
      </c>
      <c r="N321" s="29" t="inlineStr">
        <is>
          <t>gratuite</t>
        </is>
      </c>
      <c r="O321" s="14" t="inlineStr">
        <is>
          <t>a verifier</t>
        </is>
      </c>
      <c r="P321" s="29" t="inlineStr">
        <is>
          <t>commerce</t>
        </is>
      </c>
    </row>
    <row r="322">
      <c r="A322" s="29" t="inlineStr">
        <is>
          <t>INSTITUT SUPÉRIEUR DE FORMATION DES OPTICIENS (ISFOP -OPTIQUE LOKO)</t>
        </is>
      </c>
      <c r="B322" s="29" t="inlineStr">
        <is>
          <t>Grande ecole BTS - optique lunetterie</t>
        </is>
      </c>
      <c r="C322" s="29" t="inlineStr">
        <is>
          <t>Prive</t>
        </is>
      </c>
      <c r="D322" s="29" t="inlineStr">
        <is>
          <t>Abidjan - Plateau</t>
        </is>
      </c>
      <c r="E322" s="29" t="inlineStr">
        <is>
          <t>Immeuble SIGNAL PLATEAU BL REPUBLIQUE</t>
        </is>
      </c>
      <c r="F322" s="29" t="inlineStr">
        <is>
          <t>+225 01 60 99 50 81</t>
        </is>
      </c>
      <c r="G322" s="29" t="inlineStr">
        <is>
          <t>+225 01 60 99 50 82</t>
        </is>
      </c>
      <c r="H322" s="29" t="inlineStr">
        <is>
          <t>+225 01 60 99 50 81</t>
        </is>
      </c>
      <c r="I322" s="29" t="inlineStr">
        <is>
          <t>infos@groupeloko.com</t>
        </is>
      </c>
      <c r="J322" s="29" t="inlineStr">
        <is>
          <t>https://www.isfopoptiqueloko.com</t>
        </is>
      </c>
      <c r="K322" s="29" t="inlineStr">
        <is>
          <t>Directeur des Etudes</t>
        </is>
      </c>
      <c r="L322" s="30" t="inlineStr">
        <is>
          <t>Haute</t>
        </is>
      </c>
      <c r="M322" s="29" t="inlineStr">
        <is>
          <t>MESRS - liste officielle grandes ecoles</t>
        </is>
      </c>
      <c r="N322" s="29" t="inlineStr">
        <is>
          <t>domaine propre</t>
        </is>
      </c>
      <c r="O322" s="14" t="inlineStr">
        <is>
          <t>a verifier</t>
        </is>
      </c>
      <c r="P322" s="29" t="inlineStr">
        <is>
          <t>formation</t>
        </is>
      </c>
    </row>
    <row r="323">
      <c r="A323" s="29" t="inlineStr">
        <is>
          <t>IST RACINE</t>
        </is>
      </c>
      <c r="B323" s="29" t="inlineStr">
        <is>
          <t>Grande ecole BTS - finances comptabilite, gestion commerciale, ressources humaines</t>
        </is>
      </c>
      <c r="C323" s="29" t="inlineStr">
        <is>
          <t>Prive</t>
        </is>
      </c>
      <c r="D323" s="29" t="inlineStr">
        <is>
          <t>Abidjan - Plateau</t>
        </is>
      </c>
      <c r="E323" s="29" t="inlineStr">
        <is>
          <t>Plateau, Rue du Commerce, Immeuble NASSAR et GADDAR 1er étage, Escalier E</t>
        </is>
      </c>
      <c r="F323" s="29" t="inlineStr">
        <is>
          <t>+225 27 22 43 56 98</t>
        </is>
      </c>
      <c r="G323" s="29" t="inlineStr"/>
      <c r="H323" s="29" t="inlineStr"/>
      <c r="I323" s="29" t="inlineStr"/>
      <c r="J323" s="29" t="inlineStr"/>
      <c r="K323" s="29" t="inlineStr">
        <is>
          <t>Directeur des Etudes</t>
        </is>
      </c>
      <c r="L323" s="30" t="inlineStr">
        <is>
          <t>Haute</t>
        </is>
      </c>
      <c r="M323" s="29" t="inlineStr">
        <is>
          <t>MESRS - liste officielle grandes ecoles</t>
        </is>
      </c>
      <c r="N323" s="29" t="inlineStr"/>
      <c r="O323" s="31" t="inlineStr">
        <is>
          <t>sans email</t>
        </is>
      </c>
      <c r="P323" s="29" t="inlineStr">
        <is>
          <t>commerce</t>
        </is>
      </c>
    </row>
    <row r="324">
      <c r="A324" s="29" t="inlineStr">
        <is>
          <t>TLM BUSINESS SCHOOL</t>
        </is>
      </c>
      <c r="B324" s="29" t="inlineStr">
        <is>
          <t>Grande ecole BTS - assistanat de direction, electrotechnique, finances comptabilite</t>
        </is>
      </c>
      <c r="C324" s="29" t="inlineStr">
        <is>
          <t>Prive</t>
        </is>
      </c>
      <c r="D324" s="29" t="inlineStr">
        <is>
          <t>Abidjan - Plateau</t>
        </is>
      </c>
      <c r="E324" s="29" t="inlineStr">
        <is>
          <t>Immeuble Ran face à l’OHADA PLATEAU Blv Card</t>
        </is>
      </c>
      <c r="F324" s="29" t="inlineStr">
        <is>
          <t>+225 27 20 22 42 98</t>
        </is>
      </c>
      <c r="G324" s="29" t="inlineStr">
        <is>
          <t>+225 07 09 51 48 48</t>
        </is>
      </c>
      <c r="H324" s="29" t="inlineStr">
        <is>
          <t>+225 07 09 51 48 48</t>
        </is>
      </c>
      <c r="I324" s="29" t="inlineStr">
        <is>
          <t>mingath@yahoo.fr</t>
        </is>
      </c>
      <c r="J324" s="29" t="inlineStr">
        <is>
          <t>https://www.tlmbusinessschool-ci.com</t>
        </is>
      </c>
      <c r="K324" s="29" t="inlineStr">
        <is>
          <t>Directeur des Etudes</t>
        </is>
      </c>
      <c r="L324" s="30" t="inlineStr">
        <is>
          <t>Haute</t>
        </is>
      </c>
      <c r="M324" s="29" t="inlineStr">
        <is>
          <t>MESRS - liste officielle grandes ecoles</t>
        </is>
      </c>
      <c r="N324" s="29" t="inlineStr">
        <is>
          <t>gratuite</t>
        </is>
      </c>
      <c r="O324" s="14" t="inlineStr">
        <is>
          <t>a verifier</t>
        </is>
      </c>
      <c r="P324" s="29" t="inlineStr">
        <is>
          <t>commerce</t>
        </is>
      </c>
    </row>
    <row r="325">
      <c r="A325" s="29" t="inlineStr">
        <is>
          <t>ESBTP (Ecole Speciale du Batiment et des Travaux Publics)</t>
        </is>
      </c>
      <c r="B325" s="29" t="inlineStr">
        <is>
          <t>Grande ecole - BTP</t>
        </is>
      </c>
      <c r="C325" s="29" t="inlineStr">
        <is>
          <t>Prive</t>
        </is>
      </c>
      <c r="D325" s="29" t="inlineStr">
        <is>
          <t>Abidjan - Plateau (+ Yopougon, Treichville, Riviera)</t>
        </is>
      </c>
      <c r="E325" s="29" t="inlineStr">
        <is>
          <t>Rue du Commerce, Imm. Nassar et Gaddar, Esc. B 3e etage, 01 BP 3694 Abidjan 01</t>
        </is>
      </c>
      <c r="F325" s="29" t="inlineStr">
        <is>
          <t>+225 27 20 32 80 01</t>
        </is>
      </c>
      <c r="G325" s="29" t="inlineStr">
        <is>
          <t>+225 07 07 00 48 18</t>
        </is>
      </c>
      <c r="H325" s="29" t="inlineStr">
        <is>
          <t>+225 05 05 30 88 40</t>
        </is>
      </c>
      <c r="I325" s="29" t="inlineStr">
        <is>
          <t>esbtpab@aviso.ci</t>
        </is>
      </c>
      <c r="J325" s="29" t="inlineStr">
        <is>
          <t>www.esbtp-ci.net</t>
        </is>
      </c>
      <c r="K325" s="29" t="inlineStr">
        <is>
          <t>Directeur des Etudes (par campus)</t>
        </is>
      </c>
      <c r="L325" s="30" t="inlineStr">
        <is>
          <t>Haute</t>
        </is>
      </c>
      <c r="M325" s="29" t="inlineStr">
        <is>
          <t>Page contact esbtp-ci.net</t>
        </is>
      </c>
      <c r="N325" s="29" t="inlineStr">
        <is>
          <t>gratuite</t>
        </is>
      </c>
      <c r="O325" s="30" t="inlineStr">
        <is>
          <t>valide</t>
        </is>
      </c>
      <c r="P325" s="29" t="inlineStr">
        <is>
          <t>btp</t>
        </is>
      </c>
    </row>
    <row r="326">
      <c r="A326" s="29" t="inlineStr">
        <is>
          <t>PIGIER Cote d'Ivoire</t>
        </is>
      </c>
      <c r="B326" s="29" t="inlineStr">
        <is>
          <t>Grande ecole - commerce / gestion</t>
        </is>
      </c>
      <c r="C326" s="29" t="inlineStr">
        <is>
          <t>Prive</t>
        </is>
      </c>
      <c r="D326" s="29" t="inlineStr">
        <is>
          <t>Abidjan - Plateau (+ Yopougon, Yamoussoukro)</t>
        </is>
      </c>
      <c r="E326" s="29" t="inlineStr">
        <is>
          <t>Boulevard de la Republique, face ex-Sorbonne, 01 BP 1585 Abidjan 01</t>
        </is>
      </c>
      <c r="F326" s="29" t="inlineStr">
        <is>
          <t>+225 27 20 30 35 00</t>
        </is>
      </c>
      <c r="G326" s="29" t="inlineStr">
        <is>
          <t>+225 07 07 05 78 18</t>
        </is>
      </c>
      <c r="H326" s="29" t="inlineStr">
        <is>
          <t>+225 07 08 33 45 39</t>
        </is>
      </c>
      <c r="I326" s="29" t="inlineStr">
        <is>
          <t>pigierci@pigierci.com</t>
        </is>
      </c>
      <c r="J326" s="29" t="inlineStr">
        <is>
          <t>www.pigierci.com</t>
        </is>
      </c>
      <c r="K326" s="29" t="inlineStr">
        <is>
          <t>Directeur des Etudes (par campus)</t>
        </is>
      </c>
      <c r="L326" s="30" t="inlineStr">
        <is>
          <t>Haute</t>
        </is>
      </c>
      <c r="M326" s="29" t="inlineStr">
        <is>
          <t>Site officiel pigierci.com + MESRS</t>
        </is>
      </c>
      <c r="N326" s="29" t="inlineStr">
        <is>
          <t>domaine propre</t>
        </is>
      </c>
      <c r="O326" s="30" t="inlineStr">
        <is>
          <t>valide</t>
        </is>
      </c>
      <c r="P326" s="29" t="inlineStr">
        <is>
          <t>commerce</t>
        </is>
      </c>
    </row>
    <row r="327">
      <c r="A327" s="29" t="inlineStr">
        <is>
          <t>ISTCI - Institut Superieur de Technologie de Cote d'Ivoire</t>
        </is>
      </c>
      <c r="B327" s="29" t="inlineStr">
        <is>
          <t>Institut de technologie - informatique appliquee</t>
        </is>
      </c>
      <c r="C327" s="29" t="inlineStr">
        <is>
          <t>Prive</t>
        </is>
      </c>
      <c r="D327" s="29" t="inlineStr">
        <is>
          <t>Abidjan - Plateau et Cocody</t>
        </is>
      </c>
      <c r="E327" s="29" t="inlineStr">
        <is>
          <t>5 Bd Angoulvant entre l'Alliance Biblique et l'Hotel Ibis Plateau - 01 BP 1482 Abidjan 01</t>
        </is>
      </c>
      <c r="F327" s="29" t="inlineStr">
        <is>
          <t>+225 27 20 22 70 82</t>
        </is>
      </c>
      <c r="G327" s="29" t="inlineStr">
        <is>
          <t>+225 27 20 22 69 22</t>
        </is>
      </c>
      <c r="H327" s="29" t="inlineStr"/>
      <c r="I327" s="29" t="inlineStr"/>
      <c r="J327" s="29" t="inlineStr"/>
      <c r="K327" s="29" t="inlineStr">
        <is>
          <t>Directeur des Etudes</t>
        </is>
      </c>
      <c r="L327" s="29" t="inlineStr">
        <is>
          <t>Moyenne</t>
        </is>
      </c>
      <c r="M327" s="29" t="inlineStr">
        <is>
          <t>AnnuaireCI + Le Grand Frere</t>
        </is>
      </c>
      <c r="N327" s="29" t="inlineStr"/>
      <c r="O327" s="31" t="inlineStr">
        <is>
          <t>sans email</t>
        </is>
      </c>
      <c r="P327" s="29" t="inlineStr">
        <is>
          <t>numerique</t>
        </is>
      </c>
    </row>
    <row r="328">
      <c r="A328" s="29" t="inlineStr">
        <is>
          <t>Groupe ESCOGET - Ecole Superieure de Commerce de Gestion et de Technologie</t>
        </is>
      </c>
      <c r="B328" s="29" t="inlineStr">
        <is>
          <t>Ecole superieure privee - BTS</t>
        </is>
      </c>
      <c r="C328" s="29" t="inlineStr">
        <is>
          <t>Prive</t>
        </is>
      </c>
      <c r="D328" s="29" t="inlineStr">
        <is>
          <t>Abidjan - Plateau et Riviera Palmeraie</t>
        </is>
      </c>
      <c r="E328" s="29" t="inlineStr">
        <is>
          <t>Avenue Lamblin Residence 1er etage pres de la CNPS Plateau - 01 BP 1368 Abidjan 01</t>
        </is>
      </c>
      <c r="F328" s="29" t="inlineStr">
        <is>
          <t>+225 07 78 39 15 14</t>
        </is>
      </c>
      <c r="G328" s="29" t="inlineStr">
        <is>
          <t>+225 27 22 49 49 62</t>
        </is>
      </c>
      <c r="H328" s="29" t="inlineStr"/>
      <c r="I328" s="29" t="inlineStr">
        <is>
          <t>info@groupescoget.com</t>
        </is>
      </c>
      <c r="J328" s="29" t="inlineStr">
        <is>
          <t>groupescoget.com</t>
        </is>
      </c>
      <c r="K328" s="29" t="inlineStr">
        <is>
          <t>Directeur des Etudes (par campus)</t>
        </is>
      </c>
      <c r="L328" s="29" t="inlineStr">
        <is>
          <t>Moyenne</t>
        </is>
      </c>
      <c r="M328" s="29" t="inlineStr">
        <is>
          <t>AnnuaireCI + groupescoget.com</t>
        </is>
      </c>
      <c r="N328" s="29" t="inlineStr">
        <is>
          <t>domaine propre</t>
        </is>
      </c>
      <c r="O328" s="32" t="inlineStr">
        <is>
          <t>boite pleine</t>
        </is>
      </c>
      <c r="P328" s="29" t="inlineStr">
        <is>
          <t>defaut</t>
        </is>
      </c>
    </row>
    <row r="329">
      <c r="A329" s="29" t="inlineStr">
        <is>
          <t>ECOLE SUPERIEURE GADJI (ESUG) PORT-BOUET</t>
        </is>
      </c>
      <c r="B329" s="29" t="inlineStr">
        <is>
          <t>Grande ecole BTS - assistanat de direction, electrotechnique, finances comptabilite</t>
        </is>
      </c>
      <c r="C329" s="29" t="inlineStr">
        <is>
          <t>Prive</t>
        </is>
      </c>
      <c r="D329" s="29" t="inlineStr">
        <is>
          <t>Abidjan - Port Bouet</t>
        </is>
      </c>
      <c r="E329" s="29" t="inlineStr">
        <is>
          <t>Port Bouet Gonzague 2 poteaux terminus Sotra</t>
        </is>
      </c>
      <c r="F329" s="29" t="inlineStr">
        <is>
          <t>+225 01 01 51 72 58</t>
        </is>
      </c>
      <c r="G329" s="29" t="inlineStr">
        <is>
          <t>+225 05 05 74 16 15</t>
        </is>
      </c>
      <c r="H329" s="29" t="inlineStr">
        <is>
          <t>+225 01 01 51 72 58</t>
        </is>
      </c>
      <c r="I329" s="29" t="inlineStr">
        <is>
          <t>esugportbouet2024@outlook.com</t>
        </is>
      </c>
      <c r="J329" s="29" t="inlineStr">
        <is>
          <t>https://groupe-esug.com</t>
        </is>
      </c>
      <c r="K329" s="29" t="inlineStr">
        <is>
          <t>Directeur des Etudes</t>
        </is>
      </c>
      <c r="L329" s="30" t="inlineStr">
        <is>
          <t>Haute</t>
        </is>
      </c>
      <c r="M329" s="29" t="inlineStr">
        <is>
          <t>MESRS - liste officielle grandes ecoles</t>
        </is>
      </c>
      <c r="N329" s="29" t="inlineStr">
        <is>
          <t>gratuite</t>
        </is>
      </c>
      <c r="O329" s="14" t="inlineStr">
        <is>
          <t>a verifier</t>
        </is>
      </c>
      <c r="P329" s="29" t="inlineStr">
        <is>
          <t>commerce</t>
        </is>
      </c>
    </row>
    <row r="330">
      <c r="A330" s="29" t="inlineStr">
        <is>
          <t>ESTC VRIDI</t>
        </is>
      </c>
      <c r="B330" s="29" t="inlineStr">
        <is>
          <t>Grande ecole BTS - assistanat de direction, finances comptabilite, gestion commerciale</t>
        </is>
      </c>
      <c r="C330" s="29" t="inlineStr">
        <is>
          <t>Prive</t>
        </is>
      </c>
      <c r="D330" s="29" t="inlineStr">
        <is>
          <t>Abidjan - Port Bouet</t>
        </is>
      </c>
      <c r="E330" s="29" t="inlineStr">
        <is>
          <t>vridi tripostal non loin du collège le Néophyte</t>
        </is>
      </c>
      <c r="F330" s="29" t="inlineStr">
        <is>
          <t>+225 07 49 16 35 61</t>
        </is>
      </c>
      <c r="G330" s="29" t="inlineStr">
        <is>
          <t>+225 05 45 48 79 80</t>
        </is>
      </c>
      <c r="H330" s="29" t="inlineStr">
        <is>
          <t>+225 07 49 16 35 61</t>
        </is>
      </c>
      <c r="I330" s="29" t="inlineStr">
        <is>
          <t>estcvridi@gmail.com</t>
        </is>
      </c>
      <c r="J330" s="29" t="inlineStr">
        <is>
          <t>http://www.estc-vridi.com</t>
        </is>
      </c>
      <c r="K330" s="29" t="inlineStr">
        <is>
          <t>Directeur des Etudes</t>
        </is>
      </c>
      <c r="L330" s="30" t="inlineStr">
        <is>
          <t>Haute</t>
        </is>
      </c>
      <c r="M330" s="29" t="inlineStr">
        <is>
          <t>MESRS - liste officielle grandes ecoles</t>
        </is>
      </c>
      <c r="N330" s="29" t="inlineStr">
        <is>
          <t>gratuite</t>
        </is>
      </c>
      <c r="O330" s="14" t="inlineStr">
        <is>
          <t>a verifier</t>
        </is>
      </c>
      <c r="P330" s="29" t="inlineStr">
        <is>
          <t>commerce</t>
        </is>
      </c>
    </row>
    <row r="331">
      <c r="A331" s="29" t="inlineStr">
        <is>
          <t>GROUPE ECOLE DE TECHNOLOGIE ET DE COMMERCE PORT-BOUËT (GROUPE ETEC PORT-BOUËT)</t>
        </is>
      </c>
      <c r="B331" s="29" t="inlineStr">
        <is>
          <t>Grande ecole BTS - assistanat de direction, finances comptabilite, gestion commerciale</t>
        </is>
      </c>
      <c r="C331" s="29" t="inlineStr">
        <is>
          <t>Prive</t>
        </is>
      </c>
      <c r="D331" s="29" t="inlineStr">
        <is>
          <t>Abidjan - Port Bouet</t>
        </is>
      </c>
      <c r="E331" s="29" t="inlineStr">
        <is>
          <t>PORT-BOUET CARREFOUR AEROPORT CITE SIPIM</t>
        </is>
      </c>
      <c r="F331" s="29" t="inlineStr">
        <is>
          <t>+225 07 77 94 52 92</t>
        </is>
      </c>
      <c r="G331" s="29" t="inlineStr">
        <is>
          <t>+225 01 42 89 18 84</t>
        </is>
      </c>
      <c r="H331" s="29" t="inlineStr">
        <is>
          <t>+225 07 77 94 52 92</t>
        </is>
      </c>
      <c r="I331" s="29" t="inlineStr">
        <is>
          <t>groupetec.getec@gmail.com</t>
        </is>
      </c>
      <c r="J331" s="29" t="inlineStr"/>
      <c r="K331" s="29" t="inlineStr">
        <is>
          <t>Directeur des Etudes</t>
        </is>
      </c>
      <c r="L331" s="30" t="inlineStr">
        <is>
          <t>Haute</t>
        </is>
      </c>
      <c r="M331" s="29" t="inlineStr">
        <is>
          <t>MESRS - liste officielle grandes ecoles</t>
        </is>
      </c>
      <c r="N331" s="29" t="inlineStr">
        <is>
          <t>gratuite</t>
        </is>
      </c>
      <c r="O331" s="14" t="inlineStr">
        <is>
          <t>a verifier</t>
        </is>
      </c>
      <c r="P331" s="29" t="inlineStr">
        <is>
          <t>numerique</t>
        </is>
      </c>
    </row>
    <row r="332">
      <c r="A332" s="29" t="inlineStr">
        <is>
          <t>GROUPE ECOLE N'GUETTIA (GEN)</t>
        </is>
      </c>
      <c r="B332" s="29" t="inlineStr">
        <is>
          <t>Grande ecole BTS - assistanat de direction, finances comptabilite, gestion commerciale</t>
        </is>
      </c>
      <c r="C332" s="29" t="inlineStr">
        <is>
          <t>Prive</t>
        </is>
      </c>
      <c r="D332" s="29" t="inlineStr">
        <is>
          <t>Abidjan - Port Bouet</t>
        </is>
      </c>
      <c r="E332" s="29" t="inlineStr">
        <is>
          <t>GONZAGUEVILLE Quartier Benegosso</t>
        </is>
      </c>
      <c r="F332" s="29" t="inlineStr">
        <is>
          <t>+225 07 59 93 31 10</t>
        </is>
      </c>
      <c r="G332" s="29" t="inlineStr"/>
      <c r="H332" s="29" t="inlineStr">
        <is>
          <t>+225 07 59 93 31 10</t>
        </is>
      </c>
      <c r="I332" s="29" t="inlineStr"/>
      <c r="J332" s="29" t="inlineStr"/>
      <c r="K332" s="29" t="inlineStr">
        <is>
          <t>Directeur des Etudes</t>
        </is>
      </c>
      <c r="L332" s="30" t="inlineStr">
        <is>
          <t>Haute</t>
        </is>
      </c>
      <c r="M332" s="29" t="inlineStr">
        <is>
          <t>MESRS - liste officielle grandes ecoles</t>
        </is>
      </c>
      <c r="N332" s="29" t="inlineStr"/>
      <c r="O332" s="31" t="inlineStr">
        <is>
          <t>sans email</t>
        </is>
      </c>
      <c r="P332" s="29" t="inlineStr">
        <is>
          <t>commerce</t>
        </is>
      </c>
    </row>
    <row r="333">
      <c r="A333" s="29" t="inlineStr">
        <is>
          <t>INSTITUT DE FORMATION SAINTE MARIE PORT BOUET (IFSM PORT BOUET)</t>
        </is>
      </c>
      <c r="B333" s="29" t="inlineStr">
        <is>
          <t>Grande ecole BTS - agriculture tropicale, electrotechnique, finances comptabilite</t>
        </is>
      </c>
      <c r="C333" s="29" t="inlineStr">
        <is>
          <t>Prive</t>
        </is>
      </c>
      <c r="D333" s="29" t="inlineStr">
        <is>
          <t>Abidjan - Port Bouet</t>
        </is>
      </c>
      <c r="E333" s="29" t="inlineStr">
        <is>
          <t>Non loin de la cité universitaire de PORT BOUET 3. En face du Lycée Professionnel des Métiers de la Mode et du Social, Ex CEP. A 200m du phare de Port-Bouët</t>
        </is>
      </c>
      <c r="F333" s="29" t="inlineStr"/>
      <c r="G333" s="29" t="inlineStr"/>
      <c r="H333" s="29" t="inlineStr"/>
      <c r="I333" s="29" t="inlineStr">
        <is>
          <t>ifsmportbouet@ifsmedu.com</t>
        </is>
      </c>
      <c r="J333" s="29" t="inlineStr">
        <is>
          <t>https://www.ifsm.ci</t>
        </is>
      </c>
      <c r="K333" s="29" t="inlineStr">
        <is>
          <t>Directeur des Etudes</t>
        </is>
      </c>
      <c r="L333" s="30" t="inlineStr">
        <is>
          <t>Haute</t>
        </is>
      </c>
      <c r="M333" s="29" t="inlineStr">
        <is>
          <t>MESRS - liste officielle grandes ecoles</t>
        </is>
      </c>
      <c r="N333" s="29" t="inlineStr">
        <is>
          <t>domaine propre</t>
        </is>
      </c>
      <c r="O333" s="14" t="inlineStr">
        <is>
          <t>a verifier</t>
        </is>
      </c>
      <c r="P333" s="29" t="inlineStr">
        <is>
          <t>commerce</t>
        </is>
      </c>
    </row>
    <row r="334">
      <c r="A334" s="29" t="inlineStr">
        <is>
          <t>INSTITUT FAMAH PORT-BOUËT (IF PORT-BOUËT) ABIDJAN</t>
        </is>
      </c>
      <c r="B334" s="29" t="inlineStr">
        <is>
          <t>Grande ecole BTS - assistanat de direction, agriculture tropicale, communication visuelle</t>
        </is>
      </c>
      <c r="C334" s="29" t="inlineStr">
        <is>
          <t>Prive</t>
        </is>
      </c>
      <c r="D334" s="29" t="inlineStr">
        <is>
          <t>Abidjan - Port Bouet</t>
        </is>
      </c>
      <c r="E334" s="29" t="inlineStr">
        <is>
          <t>Carrefour petit Bassam</t>
        </is>
      </c>
      <c r="F334" s="29" t="inlineStr">
        <is>
          <t>+225 07 58 98 67 79</t>
        </is>
      </c>
      <c r="G334" s="29" t="inlineStr"/>
      <c r="H334" s="29" t="inlineStr">
        <is>
          <t>+225 07 58 98 67 79</t>
        </is>
      </c>
      <c r="I334" s="29" t="inlineStr">
        <is>
          <t>singodiomande2021@gmail.com</t>
        </is>
      </c>
      <c r="J334" s="29" t="inlineStr">
        <is>
          <t>https://www.uns-if.ci</t>
        </is>
      </c>
      <c r="K334" s="29" t="inlineStr">
        <is>
          <t>Directeur des Etudes</t>
        </is>
      </c>
      <c r="L334" s="30" t="inlineStr">
        <is>
          <t>Haute</t>
        </is>
      </c>
      <c r="M334" s="29" t="inlineStr">
        <is>
          <t>MESRS - liste officielle grandes ecoles</t>
        </is>
      </c>
      <c r="N334" s="29" t="inlineStr">
        <is>
          <t>gratuite</t>
        </is>
      </c>
      <c r="O334" s="14" t="inlineStr">
        <is>
          <t>a verifier</t>
        </is>
      </c>
      <c r="P334" s="29" t="inlineStr">
        <is>
          <t>commerce</t>
        </is>
      </c>
    </row>
    <row r="335">
      <c r="A335" s="29" t="inlineStr">
        <is>
          <t>INSTITUT INTERNATIONAL POLYTECHNIQUE DES ELITES D'ABIDJAN (IIPEA PORT BOUET)</t>
        </is>
      </c>
      <c r="B335" s="29" t="inlineStr">
        <is>
          <t>Grande ecole BTS - assistanat de direction, finances comptabilite, gestion commerciale</t>
        </is>
      </c>
      <c r="C335" s="29" t="inlineStr">
        <is>
          <t>Prive</t>
        </is>
      </c>
      <c r="D335" s="29" t="inlineStr">
        <is>
          <t>Abidjan - Port Bouet</t>
        </is>
      </c>
      <c r="E335" s="29" t="inlineStr">
        <is>
          <t>Port Bouet en face du Carrefour Anani</t>
        </is>
      </c>
      <c r="F335" s="29" t="inlineStr">
        <is>
          <t>+225 07 02 01 71 27</t>
        </is>
      </c>
      <c r="G335" s="29" t="inlineStr"/>
      <c r="H335" s="29" t="inlineStr">
        <is>
          <t>+225 07 02 01 71 27</t>
        </is>
      </c>
      <c r="I335" s="29" t="inlineStr">
        <is>
          <t>secretariat@iipea.com</t>
        </is>
      </c>
      <c r="J335" s="29" t="inlineStr">
        <is>
          <t>https://www.iipea.com</t>
        </is>
      </c>
      <c r="K335" s="29" t="inlineStr">
        <is>
          <t>Directeur des Etudes</t>
        </is>
      </c>
      <c r="L335" s="30" t="inlineStr">
        <is>
          <t>Haute</t>
        </is>
      </c>
      <c r="M335" s="29" t="inlineStr">
        <is>
          <t>MESRS - liste officielle grandes ecoles</t>
        </is>
      </c>
      <c r="N335" s="29" t="inlineStr">
        <is>
          <t>domaine propre</t>
        </is>
      </c>
      <c r="O335" s="14" t="inlineStr">
        <is>
          <t>a verifier</t>
        </is>
      </c>
      <c r="P335" s="29" t="inlineStr">
        <is>
          <t>ingenieur</t>
        </is>
      </c>
    </row>
    <row r="336">
      <c r="A336" s="29" t="inlineStr">
        <is>
          <t>ESAM Vridi - Ecole Superieure des Affaires et du Management</t>
        </is>
      </c>
      <c r="B336" s="29" t="inlineStr">
        <is>
          <t>Ecole superieure privee - BTS Licence Master</t>
        </is>
      </c>
      <c r="C336" s="29" t="inlineStr">
        <is>
          <t>Prive</t>
        </is>
      </c>
      <c r="D336" s="29" t="inlineStr">
        <is>
          <t>Abidjan - Port-Bouet</t>
        </is>
      </c>
      <c r="E336" s="29" t="inlineStr">
        <is>
          <t>Zone industrielle de Vridi vers Tripostal Port-Bouet - 15 BP 576 Abidjan 15</t>
        </is>
      </c>
      <c r="F336" s="29" t="inlineStr">
        <is>
          <t>+225 27 21 27 42 00</t>
        </is>
      </c>
      <c r="G336" s="29" t="inlineStr">
        <is>
          <t>+225 27 21 27 42 42</t>
        </is>
      </c>
      <c r="H336" s="29" t="inlineStr">
        <is>
          <t>+225 01 01 57 12 42</t>
        </is>
      </c>
      <c r="I336" s="29" t="inlineStr">
        <is>
          <t>groupeesam.ci.nv@gmail.com</t>
        </is>
      </c>
      <c r="J336" s="29" t="inlineStr"/>
      <c r="K336" s="29" t="inlineStr">
        <is>
          <t>Directeur des Etudes (par campus)</t>
        </is>
      </c>
      <c r="L336" s="30" t="inlineStr">
        <is>
          <t>Haute</t>
        </is>
      </c>
      <c r="M336" s="29" t="inlineStr">
        <is>
          <t>AnnuaireCI + Le Grand Frere + MESRS</t>
        </is>
      </c>
      <c r="N336" s="29" t="inlineStr">
        <is>
          <t>gratuite</t>
        </is>
      </c>
      <c r="O336" s="30" t="inlineStr">
        <is>
          <t>valide</t>
        </is>
      </c>
      <c r="P336" s="29" t="inlineStr">
        <is>
          <t>commerce</t>
        </is>
      </c>
    </row>
    <row r="337">
      <c r="A337" s="29" t="inlineStr">
        <is>
          <t>ACADEMIE INTERNATIONALE DES SCIENCES ET TECHNIQUES RIVIERA BONOUMIN (AIST RIVIERA BONOUMIN)</t>
        </is>
      </c>
      <c r="B337" s="29" t="inlineStr">
        <is>
          <t>Grande ecole BTS - agriculture tropicale, finances comptabilite, genie civil</t>
        </is>
      </c>
      <c r="C337" s="29" t="inlineStr">
        <is>
          <t>Prive</t>
        </is>
      </c>
      <c r="D337" s="29" t="inlineStr">
        <is>
          <t>Abidjan - Riviera</t>
        </is>
      </c>
      <c r="E337" s="29" t="inlineStr"/>
      <c r="F337" s="29" t="inlineStr">
        <is>
          <t>+225 27 22 47 36 33</t>
        </is>
      </c>
      <c r="G337" s="29" t="inlineStr"/>
      <c r="H337" s="29" t="inlineStr"/>
      <c r="I337" s="29" t="inlineStr">
        <is>
          <t>aistacademie@yahoo.fr</t>
        </is>
      </c>
      <c r="J337" s="29" t="inlineStr"/>
      <c r="K337" s="29" t="inlineStr">
        <is>
          <t>Directeur des Etudes</t>
        </is>
      </c>
      <c r="L337" s="30" t="inlineStr">
        <is>
          <t>Haute</t>
        </is>
      </c>
      <c r="M337" s="29" t="inlineStr">
        <is>
          <t>MESRS - liste officielle grandes ecoles</t>
        </is>
      </c>
      <c r="N337" s="29" t="inlineStr">
        <is>
          <t>gratuite</t>
        </is>
      </c>
      <c r="O337" s="14" t="inlineStr">
        <is>
          <t>a verifier</t>
        </is>
      </c>
      <c r="P337" s="29" t="inlineStr">
        <is>
          <t>commerce</t>
        </is>
      </c>
    </row>
    <row r="338">
      <c r="A338" s="29" t="inlineStr">
        <is>
          <t>ECOLE DE GESTION ET DE TECHNOLOGIES (EGETECH)</t>
        </is>
      </c>
      <c r="B338" s="29" t="inlineStr">
        <is>
          <t>Grande ecole BTS - assistanat de direction, communication visuelle, finances comptabilite</t>
        </is>
      </c>
      <c r="C338" s="29" t="inlineStr">
        <is>
          <t>Prive</t>
        </is>
      </c>
      <c r="D338" s="29" t="inlineStr">
        <is>
          <t>Abidjan - Riviera</t>
        </is>
      </c>
      <c r="E338" s="29" t="inlineStr"/>
      <c r="F338" s="29" t="inlineStr">
        <is>
          <t>+225 07 00 77 79 96</t>
        </is>
      </c>
      <c r="G338" s="29" t="inlineStr">
        <is>
          <t>+225 07 57 57 57 36</t>
        </is>
      </c>
      <c r="H338" s="29" t="inlineStr">
        <is>
          <t>+225 07 00 77 79 96</t>
        </is>
      </c>
      <c r="I338" s="29" t="inlineStr">
        <is>
          <t>egetech.ci@gmail.com</t>
        </is>
      </c>
      <c r="J338" s="29" t="inlineStr">
        <is>
          <t>https://www.egetech-ci.com</t>
        </is>
      </c>
      <c r="K338" s="29" t="inlineStr">
        <is>
          <t>Directeur des Etudes</t>
        </is>
      </c>
      <c r="L338" s="30" t="inlineStr">
        <is>
          <t>Haute</t>
        </is>
      </c>
      <c r="M338" s="29" t="inlineStr">
        <is>
          <t>MESRS - liste officielle grandes ecoles</t>
        </is>
      </c>
      <c r="N338" s="29" t="inlineStr">
        <is>
          <t>gratuite</t>
        </is>
      </c>
      <c r="O338" s="14" t="inlineStr">
        <is>
          <t>a verifier</t>
        </is>
      </c>
      <c r="P338" s="29" t="inlineStr">
        <is>
          <t>numerique</t>
        </is>
      </c>
    </row>
    <row r="339">
      <c r="A339" s="29" t="inlineStr">
        <is>
          <t>ECOLE SUPERIEURE AMINA (ESA)</t>
        </is>
      </c>
      <c r="B339" s="29" t="inlineStr">
        <is>
          <t>Grande ecole BTS - assistanat de direction, electrotechnique, finances comptabilite</t>
        </is>
      </c>
      <c r="C339" s="29" t="inlineStr">
        <is>
          <t>Prive</t>
        </is>
      </c>
      <c r="D339" s="29" t="inlineStr">
        <is>
          <t>Abidjan - Riviera</t>
        </is>
      </c>
      <c r="E339" s="29" t="inlineStr">
        <is>
          <t>RIVIERA SAINTE FAMILLE</t>
        </is>
      </c>
      <c r="F339" s="29" t="inlineStr">
        <is>
          <t>+225 27 22 47 18 21</t>
        </is>
      </c>
      <c r="G339" s="29" t="inlineStr"/>
      <c r="H339" s="29" t="inlineStr"/>
      <c r="I339" s="29" t="inlineStr">
        <is>
          <t>etep01esa@gmail.com</t>
        </is>
      </c>
      <c r="J339" s="29" t="inlineStr">
        <is>
          <t>https://HTTPS://WWW.GROUPETEP.ORG</t>
        </is>
      </c>
      <c r="K339" s="29" t="inlineStr">
        <is>
          <t>Directeur des Etudes</t>
        </is>
      </c>
      <c r="L339" s="30" t="inlineStr">
        <is>
          <t>Haute</t>
        </is>
      </c>
      <c r="M339" s="29" t="inlineStr">
        <is>
          <t>MESRS - liste officielle grandes ecoles</t>
        </is>
      </c>
      <c r="N339" s="29" t="inlineStr">
        <is>
          <t>gratuite</t>
        </is>
      </c>
      <c r="O339" s="14" t="inlineStr">
        <is>
          <t>a verifier</t>
        </is>
      </c>
      <c r="P339" s="29" t="inlineStr">
        <is>
          <t>commerce</t>
        </is>
      </c>
    </row>
    <row r="340">
      <c r="A340" s="29" t="inlineStr">
        <is>
          <t>EFAC (ECOLE DE FORMATION D’ASSISTANCE ET DE CONSEIL)</t>
        </is>
      </c>
      <c r="B340" s="29" t="inlineStr">
        <is>
          <t>Grande ecole BTS - assistanat de direction, finances comptabilite, genie civil</t>
        </is>
      </c>
      <c r="C340" s="29" t="inlineStr">
        <is>
          <t>Prive</t>
        </is>
      </c>
      <c r="D340" s="29" t="inlineStr">
        <is>
          <t>Abidjan - Riviera</t>
        </is>
      </c>
      <c r="E340" s="29" t="inlineStr">
        <is>
          <t>RIVIERA 2 EN FACE DE LA 1RE STATION TOTAL EN VENANT DE L ECOLE DE POLICE</t>
        </is>
      </c>
      <c r="F340" s="29" t="inlineStr">
        <is>
          <t>+225 27 22 43 30 82</t>
        </is>
      </c>
      <c r="G340" s="29" t="inlineStr">
        <is>
          <t>+225 01 03 02 04 84</t>
        </is>
      </c>
      <c r="H340" s="29" t="inlineStr">
        <is>
          <t>+225 01 03 02 04 84</t>
        </is>
      </c>
      <c r="I340" s="29" t="inlineStr">
        <is>
          <t>efacabidjan@gmail.com</t>
        </is>
      </c>
      <c r="J340" s="29" t="inlineStr">
        <is>
          <t>https://groupe-ecoles-esdesup.net</t>
        </is>
      </c>
      <c r="K340" s="29" t="inlineStr">
        <is>
          <t>Directeur des Etudes</t>
        </is>
      </c>
      <c r="L340" s="30" t="inlineStr">
        <is>
          <t>Haute</t>
        </is>
      </c>
      <c r="M340" s="29" t="inlineStr">
        <is>
          <t>MESRS - liste officielle grandes ecoles</t>
        </is>
      </c>
      <c r="N340" s="29" t="inlineStr">
        <is>
          <t>gratuite</t>
        </is>
      </c>
      <c r="O340" s="14" t="inlineStr">
        <is>
          <t>a verifier</t>
        </is>
      </c>
      <c r="P340" s="29" t="inlineStr">
        <is>
          <t>commerce</t>
        </is>
      </c>
    </row>
    <row r="341">
      <c r="A341" s="29" t="inlineStr">
        <is>
          <t>EPMACI - Ecole polyvalente du Maghreb en Côte d’Ivoire - RIVIERA (EPMACI RIVIERA)</t>
        </is>
      </c>
      <c r="B341" s="29" t="inlineStr">
        <is>
          <t>Grande ecole BTS - finances comptabilite, genie civil, gestion commerciale</t>
        </is>
      </c>
      <c r="C341" s="29" t="inlineStr">
        <is>
          <t>Prive</t>
        </is>
      </c>
      <c r="D341" s="29" t="inlineStr">
        <is>
          <t>Abidjan - Riviera</t>
        </is>
      </c>
      <c r="E341" s="29" t="inlineStr">
        <is>
          <t>Riviera 2 Attoban Face Jules Ferry</t>
        </is>
      </c>
      <c r="F341" s="29" t="inlineStr">
        <is>
          <t>+225 27 22 43 95 19</t>
        </is>
      </c>
      <c r="G341" s="29" t="inlineStr"/>
      <c r="H341" s="29" t="inlineStr"/>
      <c r="I341" s="29" t="inlineStr">
        <is>
          <t>universitemaghreb_ci@yahoo.fr</t>
        </is>
      </c>
      <c r="J341" s="29" t="inlineStr">
        <is>
          <t>http://universitedumaghrebci.com</t>
        </is>
      </c>
      <c r="K341" s="29" t="inlineStr">
        <is>
          <t>Directeur des Etudes</t>
        </is>
      </c>
      <c r="L341" s="30" t="inlineStr">
        <is>
          <t>Haute</t>
        </is>
      </c>
      <c r="M341" s="29" t="inlineStr">
        <is>
          <t>MESRS - liste officielle grandes ecoles</t>
        </is>
      </c>
      <c r="N341" s="29" t="inlineStr">
        <is>
          <t>gratuite</t>
        </is>
      </c>
      <c r="O341" s="14" t="inlineStr">
        <is>
          <t>a verifier</t>
        </is>
      </c>
      <c r="P341" s="29" t="inlineStr">
        <is>
          <t>commerce</t>
        </is>
      </c>
    </row>
    <row r="342">
      <c r="A342" s="29" t="inlineStr">
        <is>
          <t>ETEP ANNEXE RIVIERA</t>
        </is>
      </c>
      <c r="B342" s="29" t="inlineStr">
        <is>
          <t>Grande ecole BTS - assistanat de direction, communication visuelle, electrotechnique</t>
        </is>
      </c>
      <c r="C342" s="29" t="inlineStr">
        <is>
          <t>Prive</t>
        </is>
      </c>
      <c r="D342" s="29" t="inlineStr">
        <is>
          <t>Abidjan - Riviera</t>
        </is>
      </c>
      <c r="E342" s="29" t="inlineStr">
        <is>
          <t>RIVIERA SAINTE FAMILLE</t>
        </is>
      </c>
      <c r="F342" s="29" t="inlineStr">
        <is>
          <t>+225 01 01 61 89 51</t>
        </is>
      </c>
      <c r="G342" s="29" t="inlineStr"/>
      <c r="H342" s="29" t="inlineStr">
        <is>
          <t>+225 01 01 61 89 51</t>
        </is>
      </c>
      <c r="I342" s="29" t="inlineStr">
        <is>
          <t>etep01riviera@gmail.com</t>
        </is>
      </c>
      <c r="J342" s="29" t="inlineStr">
        <is>
          <t>https://www.groupetep.org</t>
        </is>
      </c>
      <c r="K342" s="29" t="inlineStr">
        <is>
          <t>Directeur des Etudes</t>
        </is>
      </c>
      <c r="L342" s="30" t="inlineStr">
        <is>
          <t>Haute</t>
        </is>
      </c>
      <c r="M342" s="29" t="inlineStr">
        <is>
          <t>MESRS - liste officielle grandes ecoles</t>
        </is>
      </c>
      <c r="N342" s="29" t="inlineStr">
        <is>
          <t>gratuite</t>
        </is>
      </c>
      <c r="O342" s="14" t="inlineStr">
        <is>
          <t>a verifier</t>
        </is>
      </c>
      <c r="P342" s="29" t="inlineStr">
        <is>
          <t>commerce</t>
        </is>
      </c>
    </row>
    <row r="343">
      <c r="A343" s="29" t="inlineStr">
        <is>
          <t>GROUPE ECOLES BETHEL (GEB)</t>
        </is>
      </c>
      <c r="B343" s="29" t="inlineStr">
        <is>
          <t>Grande ecole BTS - finances comptabilite, gestion commerciale, informatique developpeur d'applications</t>
        </is>
      </c>
      <c r="C343" s="29" t="inlineStr">
        <is>
          <t>Prive</t>
        </is>
      </c>
      <c r="D343" s="29" t="inlineStr">
        <is>
          <t>Abidjan - Riviera</t>
        </is>
      </c>
      <c r="E343" s="29" t="inlineStr">
        <is>
          <t>Rond point Riviera 3 route Bonoumin en face Université desLagunes</t>
        </is>
      </c>
      <c r="F343" s="29" t="inlineStr">
        <is>
          <t>+225 27 22 49 21 41</t>
        </is>
      </c>
      <c r="G343" s="29" t="inlineStr"/>
      <c r="H343" s="29" t="inlineStr"/>
      <c r="I343" s="29" t="inlineStr">
        <is>
          <t>groupecolebethel@gmail.com</t>
        </is>
      </c>
      <c r="J343" s="29" t="inlineStr"/>
      <c r="K343" s="29" t="inlineStr">
        <is>
          <t>Directeur des Etudes</t>
        </is>
      </c>
      <c r="L343" s="30" t="inlineStr">
        <is>
          <t>Haute</t>
        </is>
      </c>
      <c r="M343" s="29" t="inlineStr">
        <is>
          <t>MESRS - liste officielle grandes ecoles</t>
        </is>
      </c>
      <c r="N343" s="29" t="inlineStr">
        <is>
          <t>gratuite</t>
        </is>
      </c>
      <c r="O343" s="14" t="inlineStr">
        <is>
          <t>a verifier</t>
        </is>
      </c>
      <c r="P343" s="29" t="inlineStr">
        <is>
          <t>commerce</t>
        </is>
      </c>
    </row>
    <row r="344">
      <c r="A344" s="29" t="inlineStr">
        <is>
          <t>HAUTES ETUDES COMMERCIALES LA ROCHE RIVERA (HEC LA ROCHE RIVERA)</t>
        </is>
      </c>
      <c r="B344" s="29" t="inlineStr">
        <is>
          <t>Grande ecole BTS - assistanat de direction, agriculture tropicale, finances comptabilite</t>
        </is>
      </c>
      <c r="C344" s="29" t="inlineStr">
        <is>
          <t>Prive</t>
        </is>
      </c>
      <c r="D344" s="29" t="inlineStr">
        <is>
          <t>Abidjan - Riviera</t>
        </is>
      </c>
      <c r="E344" s="29" t="inlineStr">
        <is>
          <t>RIVIERA PALMERAIE RUE COCO PLANETE</t>
        </is>
      </c>
      <c r="F344" s="29" t="inlineStr">
        <is>
          <t>+225 27 22 49 18 73</t>
        </is>
      </c>
      <c r="G344" s="29" t="inlineStr"/>
      <c r="H344" s="29" t="inlineStr"/>
      <c r="I344" s="29" t="inlineStr">
        <is>
          <t>heclaroche1@gmail.com</t>
        </is>
      </c>
      <c r="J344" s="29" t="inlineStr">
        <is>
          <t>https://heclaroche.com</t>
        </is>
      </c>
      <c r="K344" s="29" t="inlineStr">
        <is>
          <t>Directeur des Etudes</t>
        </is>
      </c>
      <c r="L344" s="30" t="inlineStr">
        <is>
          <t>Haute</t>
        </is>
      </c>
      <c r="M344" s="29" t="inlineStr">
        <is>
          <t>MESRS - liste officielle grandes ecoles</t>
        </is>
      </c>
      <c r="N344" s="29" t="inlineStr">
        <is>
          <t>gratuite</t>
        </is>
      </c>
      <c r="O344" s="14" t="inlineStr">
        <is>
          <t>a verifier</t>
        </is>
      </c>
      <c r="P344" s="29" t="inlineStr">
        <is>
          <t>commerce</t>
        </is>
      </c>
    </row>
    <row r="345">
      <c r="A345" s="29" t="inlineStr">
        <is>
          <t>ICOGES ABIDJAN</t>
        </is>
      </c>
      <c r="B345" s="29" t="inlineStr">
        <is>
          <t>Grande ecole BTS - assistanat de direction, finances comptabilite, gestion commerciale</t>
        </is>
      </c>
      <c r="C345" s="29" t="inlineStr">
        <is>
          <t>Prive</t>
        </is>
      </c>
      <c r="D345" s="29" t="inlineStr">
        <is>
          <t>Abidjan - Riviera</t>
        </is>
      </c>
      <c r="E345" s="29" t="inlineStr">
        <is>
          <t>RIVIERA III Bonoumin fin de la rue passant devant le Ministère de la salurité urbaine,derrière la résidence de gossio</t>
        </is>
      </c>
      <c r="F345" s="29" t="inlineStr">
        <is>
          <t>+225 27 22 47 45 11</t>
        </is>
      </c>
      <c r="G345" s="29" t="inlineStr"/>
      <c r="H345" s="29" t="inlineStr"/>
      <c r="I345" s="29" t="inlineStr">
        <is>
          <t>chiwara495@yahoo.fr</t>
        </is>
      </c>
      <c r="J345" s="29" t="inlineStr"/>
      <c r="K345" s="29" t="inlineStr">
        <is>
          <t>Directeur des Etudes</t>
        </is>
      </c>
      <c r="L345" s="30" t="inlineStr">
        <is>
          <t>Haute</t>
        </is>
      </c>
      <c r="M345" s="29" t="inlineStr">
        <is>
          <t>MESRS - liste officielle grandes ecoles</t>
        </is>
      </c>
      <c r="N345" s="29" t="inlineStr">
        <is>
          <t>gratuite</t>
        </is>
      </c>
      <c r="O345" s="14" t="inlineStr">
        <is>
          <t>a verifier</t>
        </is>
      </c>
      <c r="P345" s="29" t="inlineStr">
        <is>
          <t>commerce</t>
        </is>
      </c>
    </row>
    <row r="346">
      <c r="A346" s="29" t="inlineStr">
        <is>
          <t>INSTITUT DE RECHERCHE EN SECURITE ET PROTECTION DE L'ENVIRONNEMENT (IRSPE KIBIO) (I.R.S.P.E Groupe KIBIO)</t>
        </is>
      </c>
      <c r="B346" s="29" t="inlineStr">
        <is>
          <t>Grande ecole BTS - genie civil, gestion de l'environnement, hygiene</t>
        </is>
      </c>
      <c r="C346" s="29" t="inlineStr">
        <is>
          <t>Prive</t>
        </is>
      </c>
      <c r="D346" s="29" t="inlineStr">
        <is>
          <t>Abidjan - Riviera</t>
        </is>
      </c>
      <c r="E346" s="29" t="inlineStr">
        <is>
          <t>Cocody Riviera Palmeraie, derrière Rosiers Programme 4</t>
        </is>
      </c>
      <c r="F346" s="29" t="inlineStr">
        <is>
          <t>+225 27 22 49 22 21</t>
        </is>
      </c>
      <c r="G346" s="29" t="inlineStr">
        <is>
          <t>+225 27 22 49 22 00</t>
        </is>
      </c>
      <c r="H346" s="29" t="inlineStr"/>
      <c r="I346" s="29" t="inlineStr">
        <is>
          <t>irspekibio@yahoo.fr</t>
        </is>
      </c>
      <c r="J346" s="29" t="inlineStr">
        <is>
          <t>https://www.irspe-groupekibio.ci</t>
        </is>
      </c>
      <c r="K346" s="29" t="inlineStr">
        <is>
          <t>Directeur des Etudes</t>
        </is>
      </c>
      <c r="L346" s="30" t="inlineStr">
        <is>
          <t>Haute</t>
        </is>
      </c>
      <c r="M346" s="29" t="inlineStr">
        <is>
          <t>MESRS - liste officielle grandes ecoles</t>
        </is>
      </c>
      <c r="N346" s="29" t="inlineStr">
        <is>
          <t>gratuite</t>
        </is>
      </c>
      <c r="O346" s="14" t="inlineStr">
        <is>
          <t>a verifier</t>
        </is>
      </c>
      <c r="P346" s="29" t="inlineStr">
        <is>
          <t>commerce</t>
        </is>
      </c>
    </row>
    <row r="347">
      <c r="A347" s="29" t="inlineStr">
        <is>
          <t>INSTITUT INTERNATIONAL DE FORMATION EN ENTREPRENEURIAT-2IAE RIVIERA PALMERAIE (2IFE-2IAE RIVIERA PALMERAIE) (GROUPE 2IFE-2IAE)</t>
        </is>
      </c>
      <c r="B347" s="29" t="inlineStr">
        <is>
          <t>Grande ecole BTS - agriculture tropicale, finances comptabilite, genie civil</t>
        </is>
      </c>
      <c r="C347" s="29" t="inlineStr">
        <is>
          <t>Prive</t>
        </is>
      </c>
      <c r="D347" s="29" t="inlineStr">
        <is>
          <t>Abidjan - Riviera</t>
        </is>
      </c>
      <c r="E347" s="29" t="inlineStr">
        <is>
          <t>Riviera palmeraie,rue Ministre</t>
        </is>
      </c>
      <c r="F347" s="29" t="inlineStr">
        <is>
          <t>+225 27 22 51 81 75</t>
        </is>
      </c>
      <c r="G347" s="29" t="inlineStr"/>
      <c r="H347" s="29" t="inlineStr"/>
      <c r="I347" s="29" t="inlineStr">
        <is>
          <t>skoua2000@yahoo.fr</t>
        </is>
      </c>
      <c r="J347" s="29" t="inlineStr">
        <is>
          <t>http://www.2iae.com</t>
        </is>
      </c>
      <c r="K347" s="29" t="inlineStr">
        <is>
          <t>Directeur des Etudes</t>
        </is>
      </c>
      <c r="L347" s="30" t="inlineStr">
        <is>
          <t>Haute</t>
        </is>
      </c>
      <c r="M347" s="29" t="inlineStr">
        <is>
          <t>MESRS - liste officielle grandes ecoles</t>
        </is>
      </c>
      <c r="N347" s="29" t="inlineStr">
        <is>
          <t>gratuite</t>
        </is>
      </c>
      <c r="O347" s="14" t="inlineStr">
        <is>
          <t>a verifier</t>
        </is>
      </c>
      <c r="P347" s="29" t="inlineStr">
        <is>
          <t>commerce</t>
        </is>
      </c>
    </row>
    <row r="348">
      <c r="A348" s="29" t="inlineStr">
        <is>
          <t>INSTITUT SACRE COEUR (ISC)</t>
        </is>
      </c>
      <c r="B348" s="29" t="inlineStr">
        <is>
          <t>Grande ecole BTS - finances comptabilite, gestion commerciale, informatique developpeur d'applications</t>
        </is>
      </c>
      <c r="C348" s="29" t="inlineStr">
        <is>
          <t>Prive</t>
        </is>
      </c>
      <c r="D348" s="29" t="inlineStr">
        <is>
          <t>Abidjan - Riviera</t>
        </is>
      </c>
      <c r="E348" s="29" t="inlineStr">
        <is>
          <t>: RIVIERA 4 CIAD, Carrefour Mosquée ou Station Pétro Ivoire , BP 653 ABIDJAN 22</t>
        </is>
      </c>
      <c r="F348" s="29" t="inlineStr">
        <is>
          <t>+225 27 22 43 59 52</t>
        </is>
      </c>
      <c r="G348" s="29" t="inlineStr">
        <is>
          <t>+225 07 08 14 80 45</t>
        </is>
      </c>
      <c r="H348" s="29" t="inlineStr">
        <is>
          <t>+225 07 08 14 80 45</t>
        </is>
      </c>
      <c r="I348" s="29" t="inlineStr">
        <is>
          <t>institutsacrecoeur@gmail.com</t>
        </is>
      </c>
      <c r="J348" s="29" t="inlineStr"/>
      <c r="K348" s="29" t="inlineStr">
        <is>
          <t>Directeur des Etudes</t>
        </is>
      </c>
      <c r="L348" s="30" t="inlineStr">
        <is>
          <t>Haute</t>
        </is>
      </c>
      <c r="M348" s="29" t="inlineStr">
        <is>
          <t>MESRS - liste officielle grandes ecoles</t>
        </is>
      </c>
      <c r="N348" s="29" t="inlineStr">
        <is>
          <t>gratuite</t>
        </is>
      </c>
      <c r="O348" s="14" t="inlineStr">
        <is>
          <t>a verifier</t>
        </is>
      </c>
      <c r="P348" s="29" t="inlineStr">
        <is>
          <t>commerce</t>
        </is>
      </c>
    </row>
    <row r="349">
      <c r="A349" s="29" t="inlineStr">
        <is>
          <t>INSTITUT SUPERIEUR DE TECHNOLOGIE DUBASS (IST-DUBASS)</t>
        </is>
      </c>
      <c r="B349" s="29" t="inlineStr">
        <is>
          <t>Grande ecole BTS - communication visuelle, finances comptabilite, informatique developpeur d'applications</t>
        </is>
      </c>
      <c r="C349" s="29" t="inlineStr">
        <is>
          <t>Prive</t>
        </is>
      </c>
      <c r="D349" s="29" t="inlineStr">
        <is>
          <t>Abidjan - Riviera</t>
        </is>
      </c>
      <c r="E349" s="29" t="inlineStr">
        <is>
          <t>RIVIERA-FAYA, ROUTE DE BINGERVILLE, CARREFOUR FAYA, COTE GENIE 2000, LONGER CAMP AKOUEDO JUSQU'A LA PHARMACIE ST-MARTIN DE FAYA, TOURNER: DROITE-GAUCHE-GAUCHE</t>
        </is>
      </c>
      <c r="F349" s="29" t="inlineStr">
        <is>
          <t>+225 27 22 00 47 67</t>
        </is>
      </c>
      <c r="G349" s="29" t="inlineStr"/>
      <c r="H349" s="29" t="inlineStr"/>
      <c r="I349" s="29" t="inlineStr">
        <is>
          <t>istdubass@gmail.com</t>
        </is>
      </c>
      <c r="J349" s="29" t="inlineStr">
        <is>
          <t>http://www.istdubass.edu.ci</t>
        </is>
      </c>
      <c r="K349" s="29" t="inlineStr">
        <is>
          <t>Directeur des Etudes</t>
        </is>
      </c>
      <c r="L349" s="30" t="inlineStr">
        <is>
          <t>Haute</t>
        </is>
      </c>
      <c r="M349" s="29" t="inlineStr">
        <is>
          <t>MESRS - liste officielle grandes ecoles</t>
        </is>
      </c>
      <c r="N349" s="29" t="inlineStr">
        <is>
          <t>gratuite</t>
        </is>
      </c>
      <c r="O349" s="14" t="inlineStr">
        <is>
          <t>a verifier</t>
        </is>
      </c>
      <c r="P349" s="29" t="inlineStr">
        <is>
          <t>numerique</t>
        </is>
      </c>
    </row>
    <row r="350">
      <c r="A350" s="29" t="inlineStr">
        <is>
          <t>INSTITUT FINAK DE SONGON (IFS)</t>
        </is>
      </c>
      <c r="B350" s="29" t="inlineStr">
        <is>
          <t>Grande ecole BTS - assistanat de direction, agriculture tropicale, communication visuelle</t>
        </is>
      </c>
      <c r="C350" s="29" t="inlineStr">
        <is>
          <t>Prive</t>
        </is>
      </c>
      <c r="D350" s="29" t="inlineStr">
        <is>
          <t>Abidjan - Songon</t>
        </is>
      </c>
      <c r="E350" s="29" t="inlineStr">
        <is>
          <t>SONGON -GODOUME en face de la Nouvelle Mairie</t>
        </is>
      </c>
      <c r="F350" s="29" t="inlineStr"/>
      <c r="G350" s="29" t="inlineStr"/>
      <c r="H350" s="29" t="inlineStr"/>
      <c r="I350" s="29" t="inlineStr">
        <is>
          <t>info@institutfinak.ci</t>
        </is>
      </c>
      <c r="J350" s="29" t="inlineStr">
        <is>
          <t>https://institutfinak.ci</t>
        </is>
      </c>
      <c r="K350" s="29" t="inlineStr">
        <is>
          <t>Directeur des Etudes</t>
        </is>
      </c>
      <c r="L350" s="30" t="inlineStr">
        <is>
          <t>Haute</t>
        </is>
      </c>
      <c r="M350" s="29" t="inlineStr">
        <is>
          <t>MESRS - liste officielle grandes ecoles</t>
        </is>
      </c>
      <c r="N350" s="29" t="inlineStr">
        <is>
          <t>domaine propre</t>
        </is>
      </c>
      <c r="O350" s="14" t="inlineStr">
        <is>
          <t>a verifier</t>
        </is>
      </c>
      <c r="P350" s="29" t="inlineStr">
        <is>
          <t>commerce</t>
        </is>
      </c>
    </row>
    <row r="351">
      <c r="A351" s="29" t="inlineStr">
        <is>
          <t>ACADEMIE INTERNATIONALE DES SCIENCES ET TECHNIQUES TREICHVILLE (AIST TREICHVILLE)</t>
        </is>
      </c>
      <c r="B351" s="29" t="inlineStr">
        <is>
          <t>Grande ecole BTS - agriculture tropicale, finances comptabilite, genie civil</t>
        </is>
      </c>
      <c r="C351" s="29" t="inlineStr">
        <is>
          <t>Prive</t>
        </is>
      </c>
      <c r="D351" s="29" t="inlineStr">
        <is>
          <t>Abidjan - Treichville</t>
        </is>
      </c>
      <c r="E351" s="29" t="inlineStr">
        <is>
          <t>TREICHVILLE VGE, FACE A SOLIBRA, IMMEUBLE LA BALANCE (FADCO) 2e ETAGE</t>
        </is>
      </c>
      <c r="F351" s="29" t="inlineStr">
        <is>
          <t>+225 27 21 24 12 18</t>
        </is>
      </c>
      <c r="G351" s="29" t="inlineStr">
        <is>
          <t>+225 07 07 48 36 18</t>
        </is>
      </c>
      <c r="H351" s="29" t="inlineStr">
        <is>
          <t>+225 07 07 48 36 18</t>
        </is>
      </c>
      <c r="I351" s="29" t="inlineStr">
        <is>
          <t>aist.treichville1@gmail.com</t>
        </is>
      </c>
      <c r="J351" s="29" t="inlineStr">
        <is>
          <t>https://www.groupeaist.net</t>
        </is>
      </c>
      <c r="K351" s="29" t="inlineStr">
        <is>
          <t>Directeur des Etudes</t>
        </is>
      </c>
      <c r="L351" s="30" t="inlineStr">
        <is>
          <t>Haute</t>
        </is>
      </c>
      <c r="M351" s="29" t="inlineStr">
        <is>
          <t>MESRS - liste officielle grandes ecoles</t>
        </is>
      </c>
      <c r="N351" s="29" t="inlineStr">
        <is>
          <t>gratuite</t>
        </is>
      </c>
      <c r="O351" s="14" t="inlineStr">
        <is>
          <t>a verifier</t>
        </is>
      </c>
      <c r="P351" s="29" t="inlineStr">
        <is>
          <t>commerce</t>
        </is>
      </c>
    </row>
    <row r="352">
      <c r="A352" s="29" t="inlineStr">
        <is>
          <t>AIST Treichville - Academie Internationale des Sciences et Techniques</t>
        </is>
      </c>
      <c r="B352" s="29" t="inlineStr">
        <is>
          <t>Ecole superieure privee</t>
        </is>
      </c>
      <c r="C352" s="29" t="inlineStr">
        <is>
          <t>Prive</t>
        </is>
      </c>
      <c r="D352" s="29" t="inlineStr">
        <is>
          <t>Abidjan - Treichville</t>
        </is>
      </c>
      <c r="E352" s="29" t="inlineStr">
        <is>
          <t>Bd VGE face SOLIBRA Immeuble La Balance Zone 3 Treichville</t>
        </is>
      </c>
      <c r="F352" s="29" t="inlineStr">
        <is>
          <t>+225 01 02 10 68 29</t>
        </is>
      </c>
      <c r="G352" s="29" t="inlineStr">
        <is>
          <t>+225 27 21 24 12 18</t>
        </is>
      </c>
      <c r="H352" s="29" t="inlineStr"/>
      <c r="I352" s="29" t="inlineStr"/>
      <c r="J352" s="29" t="inlineStr">
        <is>
          <t>groupeaist.com</t>
        </is>
      </c>
      <c r="K352" s="29" t="inlineStr">
        <is>
          <t>Directeur des Etudes</t>
        </is>
      </c>
      <c r="L352" s="29" t="inlineStr">
        <is>
          <t>Moyenne</t>
        </is>
      </c>
      <c r="M352" s="29" t="inlineStr">
        <is>
          <t>AnnuaireCI + UPESUP</t>
        </is>
      </c>
      <c r="N352" s="29" t="inlineStr"/>
      <c r="O352" s="31" t="inlineStr">
        <is>
          <t>sans email</t>
        </is>
      </c>
      <c r="P352" s="29" t="inlineStr">
        <is>
          <t>defaut</t>
        </is>
      </c>
    </row>
    <row r="353">
      <c r="A353" s="29" t="inlineStr">
        <is>
          <t>CELIA TREICHVILLE/EP2005</t>
        </is>
      </c>
      <c r="B353" s="29" t="inlineStr">
        <is>
          <t>Grande ecole BTS -</t>
        </is>
      </c>
      <c r="C353" s="29" t="inlineStr">
        <is>
          <t>Prive</t>
        </is>
      </c>
      <c r="D353" s="29" t="inlineStr">
        <is>
          <t>Abidjan - Treichville</t>
        </is>
      </c>
      <c r="E353" s="29" t="inlineStr"/>
      <c r="F353" s="29" t="inlineStr"/>
      <c r="G353" s="29" t="inlineStr"/>
      <c r="H353" s="29" t="inlineStr"/>
      <c r="I353" s="29" t="inlineStr"/>
      <c r="J353" s="29" t="inlineStr"/>
      <c r="K353" s="29" t="inlineStr">
        <is>
          <t>Directeur des Etudes</t>
        </is>
      </c>
      <c r="L353" s="30" t="inlineStr">
        <is>
          <t>Haute</t>
        </is>
      </c>
      <c r="M353" s="29" t="inlineStr">
        <is>
          <t>MESRS - liste officielle grandes ecoles</t>
        </is>
      </c>
      <c r="N353" s="29" t="inlineStr"/>
      <c r="O353" s="31" t="inlineStr">
        <is>
          <t>sans email</t>
        </is>
      </c>
      <c r="P353" s="29" t="inlineStr">
        <is>
          <t>defaut</t>
        </is>
      </c>
    </row>
    <row r="354">
      <c r="A354" s="29" t="inlineStr">
        <is>
          <t>ECOLE SPECIALE DU BÂTIMENT ET DES TRAVAUX PUBLICS TREICHVILLE (ESBTP TREICHVILLE)</t>
        </is>
      </c>
      <c r="B354" s="29" t="inlineStr">
        <is>
          <t>Grande ecole BTS - genie civil, mines geologie</t>
        </is>
      </c>
      <c r="C354" s="29" t="inlineStr">
        <is>
          <t>Prive</t>
        </is>
      </c>
      <c r="D354" s="29" t="inlineStr">
        <is>
          <t>Abidjan - Treichville</t>
        </is>
      </c>
      <c r="E354" s="29" t="inlineStr">
        <is>
          <t>TREICHVILLE BGE en Face de SOLIBRA Immeuble la Balance</t>
        </is>
      </c>
      <c r="F354" s="29" t="inlineStr">
        <is>
          <t>+225 27 20 32 80 01</t>
        </is>
      </c>
      <c r="G354" s="29" t="inlineStr"/>
      <c r="H354" s="29" t="inlineStr"/>
      <c r="I354" s="29" t="inlineStr">
        <is>
          <t>dakoff007@yahoo.fr</t>
        </is>
      </c>
      <c r="J354" s="29" t="inlineStr"/>
      <c r="K354" s="29" t="inlineStr">
        <is>
          <t>Directeur des Etudes</t>
        </is>
      </c>
      <c r="L354" s="30" t="inlineStr">
        <is>
          <t>Haute</t>
        </is>
      </c>
      <c r="M354" s="29" t="inlineStr">
        <is>
          <t>MESRS - liste officielle grandes ecoles</t>
        </is>
      </c>
      <c r="N354" s="29" t="inlineStr">
        <is>
          <t>gratuite</t>
        </is>
      </c>
      <c r="O354" s="14" t="inlineStr">
        <is>
          <t>a verifier</t>
        </is>
      </c>
      <c r="P354" s="29" t="inlineStr">
        <is>
          <t>btp</t>
        </is>
      </c>
    </row>
    <row r="355">
      <c r="A355" s="29" t="inlineStr">
        <is>
          <t>ECOLE SUPERIEURE POLYTECHNIQUE MINCH (ESPM)</t>
        </is>
      </c>
      <c r="B355" s="29" t="inlineStr">
        <is>
          <t>Grande ecole BTS - assistanat de direction, finances comptabilite, gestion commerciale</t>
        </is>
      </c>
      <c r="C355" s="29" t="inlineStr">
        <is>
          <t>Prive</t>
        </is>
      </c>
      <c r="D355" s="29" t="inlineStr">
        <is>
          <t>Abidjan - Treichville</t>
        </is>
      </c>
      <c r="E355" s="29" t="inlineStr">
        <is>
          <t>TREICHVILLE</t>
        </is>
      </c>
      <c r="F355" s="29" t="inlineStr">
        <is>
          <t>+225 07 10 00 64 00</t>
        </is>
      </c>
      <c r="G355" s="29" t="inlineStr">
        <is>
          <t>+225 07 00 08 09 10</t>
        </is>
      </c>
      <c r="H355" s="29" t="inlineStr">
        <is>
          <t>+225 07 10 00 64 00</t>
        </is>
      </c>
      <c r="I355" s="29" t="inlineStr">
        <is>
          <t>esp1minch@gmail.com</t>
        </is>
      </c>
      <c r="J355" s="29" t="inlineStr">
        <is>
          <t>https://espminch.com</t>
        </is>
      </c>
      <c r="K355" s="29" t="inlineStr">
        <is>
          <t>Directeur des Etudes</t>
        </is>
      </c>
      <c r="L355" s="30" t="inlineStr">
        <is>
          <t>Haute</t>
        </is>
      </c>
      <c r="M355" s="29" t="inlineStr">
        <is>
          <t>MESRS - liste officielle grandes ecoles</t>
        </is>
      </c>
      <c r="N355" s="29" t="inlineStr">
        <is>
          <t>gratuite</t>
        </is>
      </c>
      <c r="O355" s="14" t="inlineStr">
        <is>
          <t>a verifier</t>
        </is>
      </c>
      <c r="P355" s="29" t="inlineStr">
        <is>
          <t>ingenieur</t>
        </is>
      </c>
    </row>
    <row r="356">
      <c r="A356" s="29" t="inlineStr">
        <is>
          <t>Entrepreneurs Business School (EBS)</t>
        </is>
      </c>
      <c r="B356" s="29" t="inlineStr">
        <is>
          <t>Grande ecole BTS - assistanat de direction, finances comptabilite, gestion commerciale</t>
        </is>
      </c>
      <c r="C356" s="29" t="inlineStr">
        <is>
          <t>Prive</t>
        </is>
      </c>
      <c r="D356" s="29" t="inlineStr">
        <is>
          <t>Abidjan - Treichville</t>
        </is>
      </c>
      <c r="E356" s="29" t="inlineStr">
        <is>
          <t>Gare de Bassam, centre commercial KOBEISSI</t>
        </is>
      </c>
      <c r="F356" s="29" t="inlineStr">
        <is>
          <t>+225 27 21 51 06 25</t>
        </is>
      </c>
      <c r="G356" s="29" t="inlineStr">
        <is>
          <t>+225 05 05 98 34 98</t>
        </is>
      </c>
      <c r="H356" s="29" t="inlineStr">
        <is>
          <t>+225 05 05 98 34 98</t>
        </is>
      </c>
      <c r="I356" s="29" t="inlineStr">
        <is>
          <t>groupeebs.center@gmail.com</t>
        </is>
      </c>
      <c r="J356" s="29" t="inlineStr">
        <is>
          <t>https://www.ebs-edu.ci</t>
        </is>
      </c>
      <c r="K356" s="29" t="inlineStr">
        <is>
          <t>Directeur des Etudes</t>
        </is>
      </c>
      <c r="L356" s="30" t="inlineStr">
        <is>
          <t>Haute</t>
        </is>
      </c>
      <c r="M356" s="29" t="inlineStr">
        <is>
          <t>MESRS - liste officielle grandes ecoles</t>
        </is>
      </c>
      <c r="N356" s="29" t="inlineStr">
        <is>
          <t>gratuite</t>
        </is>
      </c>
      <c r="O356" s="14" t="inlineStr">
        <is>
          <t>a verifier</t>
        </is>
      </c>
      <c r="P356" s="29" t="inlineStr">
        <is>
          <t>commerce</t>
        </is>
      </c>
    </row>
    <row r="357">
      <c r="A357" s="29" t="inlineStr">
        <is>
          <t>ESATIC (Ecole Superieure Africaine des TIC)</t>
        </is>
      </c>
      <c r="B357" s="29" t="inlineStr">
        <is>
          <t>Grande ecole publique - numerique</t>
        </is>
      </c>
      <c r="C357" s="29" t="inlineStr">
        <is>
          <t>Public</t>
        </is>
      </c>
      <c r="D357" s="29" t="inlineStr">
        <is>
          <t>Abidjan - Treichville</t>
        </is>
      </c>
      <c r="E357" s="29" t="inlineStr">
        <is>
          <t>KM4 Boulevard de Marseille, 18 BP 1501 Abidjan 18</t>
        </is>
      </c>
      <c r="F357" s="29" t="inlineStr">
        <is>
          <t>+225 27 21 21 81 00</t>
        </is>
      </c>
      <c r="G357" s="29" t="inlineStr">
        <is>
          <t>+225 01 03 10 81 81</t>
        </is>
      </c>
      <c r="H357" s="29" t="inlineStr"/>
      <c r="I357" s="29" t="inlineStr"/>
      <c r="J357" s="29" t="inlineStr">
        <is>
          <t>www.esatic.ci</t>
        </is>
      </c>
      <c r="K357" s="29" t="inlineStr">
        <is>
          <t>Directeur des Etudes / Directeur Pedagogique</t>
        </is>
      </c>
      <c r="L357" s="29" t="inlineStr">
        <is>
          <t>Moyenne</t>
        </is>
      </c>
      <c r="M357" s="29" t="inlineStr">
        <is>
          <t>Site officiel esatic.ci</t>
        </is>
      </c>
      <c r="N357" s="29" t="inlineStr"/>
      <c r="O357" s="31" t="inlineStr">
        <is>
          <t>sans email</t>
        </is>
      </c>
      <c r="P357" s="29" t="inlineStr">
        <is>
          <t>numerique</t>
        </is>
      </c>
    </row>
    <row r="358">
      <c r="A358" s="29" t="inlineStr">
        <is>
          <t>GROUPE INSTEC</t>
        </is>
      </c>
      <c r="B358" s="29" t="inlineStr">
        <is>
          <t>Grande ecole BTS - assistanat de direction, finances comptabilite, gestion commerciale</t>
        </is>
      </c>
      <c r="C358" s="29" t="inlineStr">
        <is>
          <t>Prive</t>
        </is>
      </c>
      <c r="D358" s="29" t="inlineStr">
        <is>
          <t>Abidjan - Treichville</t>
        </is>
      </c>
      <c r="E358" s="29" t="inlineStr">
        <is>
          <t>GARE DE BASSAM, NON LOIN DE LA GARE STC GHANA ET SOCOCE TREICHVILLE-ABIDJAN</t>
        </is>
      </c>
      <c r="F358" s="29" t="inlineStr">
        <is>
          <t>+225 27 21 24 91 42</t>
        </is>
      </c>
      <c r="G358" s="29" t="inlineStr"/>
      <c r="H358" s="29" t="inlineStr"/>
      <c r="I358" s="29" t="inlineStr">
        <is>
          <t>info@gr-instec.net</t>
        </is>
      </c>
      <c r="J358" s="29" t="inlineStr"/>
      <c r="K358" s="29" t="inlineStr">
        <is>
          <t>Directeur des Etudes</t>
        </is>
      </c>
      <c r="L358" s="30" t="inlineStr">
        <is>
          <t>Haute</t>
        </is>
      </c>
      <c r="M358" s="29" t="inlineStr">
        <is>
          <t>MESRS - liste officielle grandes ecoles</t>
        </is>
      </c>
      <c r="N358" s="29" t="inlineStr">
        <is>
          <t>domaine propre</t>
        </is>
      </c>
      <c r="O358" s="14" t="inlineStr">
        <is>
          <t>a verifier</t>
        </is>
      </c>
      <c r="P358" s="29" t="inlineStr">
        <is>
          <t>commerce</t>
        </is>
      </c>
    </row>
    <row r="359">
      <c r="A359" s="29" t="inlineStr">
        <is>
          <t>INSTITUT SUPERIEUR DES CARRIERES COMMERCIALES TREICHVILLE (ISCC TREICHVILLE)</t>
        </is>
      </c>
      <c r="B359" s="29" t="inlineStr">
        <is>
          <t>Grande ecole BTS - assistanat de direction, finances comptabilite, gestion commerciale</t>
        </is>
      </c>
      <c r="C359" s="29" t="inlineStr">
        <is>
          <t>Prive</t>
        </is>
      </c>
      <c r="D359" s="29" t="inlineStr">
        <is>
          <t>Abidjan - Treichville</t>
        </is>
      </c>
      <c r="E359" s="29" t="inlineStr">
        <is>
          <t>Treichville Avenue 21 Rue 22 barrée, non loin de la pharmacie Avenue 21</t>
        </is>
      </c>
      <c r="F359" s="29" t="inlineStr">
        <is>
          <t>+225 27 21 37 72 67</t>
        </is>
      </c>
      <c r="G359" s="29" t="inlineStr">
        <is>
          <t>+225 05 45 38 57 57</t>
        </is>
      </c>
      <c r="H359" s="29" t="inlineStr">
        <is>
          <t>+225 05 45 38 57 57</t>
        </is>
      </c>
      <c r="I359" s="29" t="inlineStr">
        <is>
          <t>iscc18@yahoo.fr</t>
        </is>
      </c>
      <c r="J359" s="29" t="inlineStr">
        <is>
          <t>https://iscc-ci.net</t>
        </is>
      </c>
      <c r="K359" s="29" t="inlineStr">
        <is>
          <t>Directeur des Etudes</t>
        </is>
      </c>
      <c r="L359" s="30" t="inlineStr">
        <is>
          <t>Haute</t>
        </is>
      </c>
      <c r="M359" s="29" t="inlineStr">
        <is>
          <t>MESRS - liste officielle grandes ecoles</t>
        </is>
      </c>
      <c r="N359" s="29" t="inlineStr">
        <is>
          <t>gratuite</t>
        </is>
      </c>
      <c r="O359" s="14" t="inlineStr">
        <is>
          <t>a verifier</t>
        </is>
      </c>
      <c r="P359" s="29" t="inlineStr">
        <is>
          <t>commerce</t>
        </is>
      </c>
    </row>
    <row r="360">
      <c r="A360" s="29" t="inlineStr">
        <is>
          <t>INSTITUT SUPERIEUR PROFESSIONNEL NOTRE DAME DE LA PAIX TREICHVILLE (ISP NDP TREICHVILLE)</t>
        </is>
      </c>
      <c r="B360" s="29" t="inlineStr">
        <is>
          <t>Grande ecole BTS - assistanat de direction, finances comptabilite, gestion commerciale</t>
        </is>
      </c>
      <c r="C360" s="29" t="inlineStr">
        <is>
          <t>Prive</t>
        </is>
      </c>
      <c r="D360" s="29" t="inlineStr">
        <is>
          <t>Abidjan - Treichville</t>
        </is>
      </c>
      <c r="E360" s="29" t="inlineStr">
        <is>
          <t>TREICHVILLE AVENUE 21 RUE 38</t>
        </is>
      </c>
      <c r="F360" s="29" t="inlineStr">
        <is>
          <t>+225 27 21 25 65 24</t>
        </is>
      </c>
      <c r="G360" s="29" t="inlineStr"/>
      <c r="H360" s="29" t="inlineStr"/>
      <c r="I360" s="29" t="inlineStr">
        <is>
          <t>ispndptreichville@yahoo.fr</t>
        </is>
      </c>
      <c r="J360" s="29" t="inlineStr"/>
      <c r="K360" s="29" t="inlineStr">
        <is>
          <t>Directeur des Etudes</t>
        </is>
      </c>
      <c r="L360" s="30" t="inlineStr">
        <is>
          <t>Haute</t>
        </is>
      </c>
      <c r="M360" s="29" t="inlineStr">
        <is>
          <t>MESRS - liste officielle grandes ecoles</t>
        </is>
      </c>
      <c r="N360" s="29" t="inlineStr">
        <is>
          <t>gratuite</t>
        </is>
      </c>
      <c r="O360" s="14" t="inlineStr">
        <is>
          <t>a verifier</t>
        </is>
      </c>
      <c r="P360" s="29" t="inlineStr">
        <is>
          <t>commerce</t>
        </is>
      </c>
    </row>
    <row r="361">
      <c r="A361" s="29" t="inlineStr">
        <is>
          <t>INSTITUT VOLTAIRE D'ENSEIGNEMENT SUPERIEUR TECHNIQUE ET PROFESSIONNEL TREICHVILLE (IVESTP TREICHVILLE)</t>
        </is>
      </c>
      <c r="B361" s="29" t="inlineStr">
        <is>
          <t>Grande ecole BTS - finances comptabilite, genie civil, industries agro-alimentaires</t>
        </is>
      </c>
      <c r="C361" s="29" t="inlineStr">
        <is>
          <t>Prive</t>
        </is>
      </c>
      <c r="D361" s="29" t="inlineStr">
        <is>
          <t>Abidjan - Treichville</t>
        </is>
      </c>
      <c r="E361" s="29" t="inlineStr">
        <is>
          <t>Boulevard Nanan Yamousso</t>
        </is>
      </c>
      <c r="F361" s="29" t="inlineStr">
        <is>
          <t>+225 07 07 45 79 82</t>
        </is>
      </c>
      <c r="G361" s="29" t="inlineStr">
        <is>
          <t>+225 07 09 20 33 50</t>
        </is>
      </c>
      <c r="H361" s="29" t="inlineStr">
        <is>
          <t>+225 07 07 45 79 82</t>
        </is>
      </c>
      <c r="I361" s="29" t="inlineStr">
        <is>
          <t>ivestptreichville@gmail.com</t>
        </is>
      </c>
      <c r="J361" s="29" t="inlineStr">
        <is>
          <t>https://www.ivestp.net</t>
        </is>
      </c>
      <c r="K361" s="29" t="inlineStr">
        <is>
          <t>Directeur des Etudes</t>
        </is>
      </c>
      <c r="L361" s="30" t="inlineStr">
        <is>
          <t>Haute</t>
        </is>
      </c>
      <c r="M361" s="29" t="inlineStr">
        <is>
          <t>MESRS - liste officielle grandes ecoles</t>
        </is>
      </c>
      <c r="N361" s="29" t="inlineStr">
        <is>
          <t>gratuite</t>
        </is>
      </c>
      <c r="O361" s="14" t="inlineStr">
        <is>
          <t>a verifier</t>
        </is>
      </c>
      <c r="P361" s="29" t="inlineStr">
        <is>
          <t>commerce</t>
        </is>
      </c>
    </row>
    <row r="362">
      <c r="A362" s="29" t="inlineStr">
        <is>
          <t>INTERNATIONAL BUSINESS SCHOOL COTE D'IVOIRE (IBS-CI)</t>
        </is>
      </c>
      <c r="B362" s="29" t="inlineStr">
        <is>
          <t>Grande ecole BTS - finances comptabilite, gestion commerciale, genie civil</t>
        </is>
      </c>
      <c r="C362" s="29" t="inlineStr">
        <is>
          <t>Prive</t>
        </is>
      </c>
      <c r="D362" s="29" t="inlineStr">
        <is>
          <t>Abidjan - Treichville</t>
        </is>
      </c>
      <c r="E362" s="29" t="inlineStr">
        <is>
          <t>Solibra</t>
        </is>
      </c>
      <c r="F362" s="29" t="inlineStr">
        <is>
          <t>+225 07 08 41 64 71</t>
        </is>
      </c>
      <c r="G362" s="29" t="inlineStr">
        <is>
          <t>+225 01 01 67 16 76</t>
        </is>
      </c>
      <c r="H362" s="29" t="inlineStr">
        <is>
          <t>+225 07 08 41 64 71</t>
        </is>
      </c>
      <c r="I362" s="29" t="inlineStr">
        <is>
          <t>ibsformation@yahoo.com</t>
        </is>
      </c>
      <c r="J362" s="29" t="inlineStr">
        <is>
          <t>https://www.ibs-ci.com</t>
        </is>
      </c>
      <c r="K362" s="29" t="inlineStr">
        <is>
          <t>Directeur des Etudes</t>
        </is>
      </c>
      <c r="L362" s="30" t="inlineStr">
        <is>
          <t>Haute</t>
        </is>
      </c>
      <c r="M362" s="29" t="inlineStr">
        <is>
          <t>MESRS - liste officielle grandes ecoles</t>
        </is>
      </c>
      <c r="N362" s="29" t="inlineStr">
        <is>
          <t>gratuite</t>
        </is>
      </c>
      <c r="O362" s="14" t="inlineStr">
        <is>
          <t>a verifier</t>
        </is>
      </c>
      <c r="P362" s="29" t="inlineStr">
        <is>
          <t>commerce</t>
        </is>
      </c>
    </row>
    <row r="363">
      <c r="A363" s="29" t="inlineStr">
        <is>
          <t>ACADEMIE DE L'ENTREPRENEURIAT ET DES METIERS (AEM) YOPOUGON</t>
        </is>
      </c>
      <c r="B363" s="29" t="inlineStr">
        <is>
          <t>Grande ecole BTS - assistanat de direction, agriculture tropicale, electrotechnique</t>
        </is>
      </c>
      <c r="C363" s="29" t="inlineStr">
        <is>
          <t>Prive</t>
        </is>
      </c>
      <c r="D363" s="29" t="inlineStr">
        <is>
          <t>Abidjan - Yopougon</t>
        </is>
      </c>
      <c r="E363" s="29" t="inlineStr"/>
      <c r="F363" s="29" t="inlineStr"/>
      <c r="G363" s="29" t="inlineStr"/>
      <c r="H363" s="29" t="inlineStr"/>
      <c r="I363" s="29" t="inlineStr"/>
      <c r="J363" s="29" t="inlineStr"/>
      <c r="K363" s="29" t="inlineStr">
        <is>
          <t>Directeur des Etudes</t>
        </is>
      </c>
      <c r="L363" s="30" t="inlineStr">
        <is>
          <t>Haute</t>
        </is>
      </c>
      <c r="M363" s="29" t="inlineStr">
        <is>
          <t>MESRS - liste officielle grandes ecoles</t>
        </is>
      </c>
      <c r="N363" s="29" t="inlineStr"/>
      <c r="O363" s="31" t="inlineStr">
        <is>
          <t>sans email</t>
        </is>
      </c>
      <c r="P363" s="29" t="inlineStr">
        <is>
          <t>commerce</t>
        </is>
      </c>
    </row>
    <row r="364">
      <c r="A364" s="29" t="inlineStr">
        <is>
          <t>ACADEMIE ELITES</t>
        </is>
      </c>
      <c r="B364" s="29" t="inlineStr">
        <is>
          <t>Grande ecole BTS - communication visuelle, finances comptabilite, gestion commerciale</t>
        </is>
      </c>
      <c r="C364" s="29" t="inlineStr">
        <is>
          <t>Prive</t>
        </is>
      </c>
      <c r="D364" s="29" t="inlineStr">
        <is>
          <t>Abidjan - Yopougon</t>
        </is>
      </c>
      <c r="E364" s="29" t="inlineStr">
        <is>
          <t>Yopougon residentiel ancien Belair</t>
        </is>
      </c>
      <c r="F364" s="29" t="inlineStr">
        <is>
          <t>+225 27 23 41 94 43</t>
        </is>
      </c>
      <c r="G364" s="29" t="inlineStr">
        <is>
          <t>+225 01 01 44 74 44</t>
        </is>
      </c>
      <c r="H364" s="29" t="inlineStr">
        <is>
          <t>+225 01 01 44 74 44</t>
        </is>
      </c>
      <c r="I364" s="29" t="inlineStr">
        <is>
          <t>info@academie-elites.com</t>
        </is>
      </c>
      <c r="J364" s="29" t="inlineStr">
        <is>
          <t>https://www.academie-elites.com</t>
        </is>
      </c>
      <c r="K364" s="29" t="inlineStr">
        <is>
          <t>Directeur des Etudes</t>
        </is>
      </c>
      <c r="L364" s="30" t="inlineStr">
        <is>
          <t>Haute</t>
        </is>
      </c>
      <c r="M364" s="29" t="inlineStr">
        <is>
          <t>MESRS - liste officielle grandes ecoles</t>
        </is>
      </c>
      <c r="N364" s="29" t="inlineStr">
        <is>
          <t>domaine propre</t>
        </is>
      </c>
      <c r="O364" s="14" t="inlineStr">
        <is>
          <t>a verifier</t>
        </is>
      </c>
      <c r="P364" s="29" t="inlineStr">
        <is>
          <t>commerce</t>
        </is>
      </c>
    </row>
    <row r="365">
      <c r="A365" s="29" t="inlineStr">
        <is>
          <t>ACADEMIE LIBRE DE TECHNOLOGIE-INSTITUT SECONDAIRE DE TECHNOLOGIE (ALT-ISTEA YOPOUGON)</t>
        </is>
      </c>
      <c r="B365" s="29" t="inlineStr">
        <is>
          <t>Grande ecole BTS - assistanat de direction, finances comptabilite, gestion commerciale</t>
        </is>
      </c>
      <c r="C365" s="29" t="inlineStr">
        <is>
          <t>Prive</t>
        </is>
      </c>
      <c r="D365" s="29" t="inlineStr">
        <is>
          <t>Abidjan - Yopougon</t>
        </is>
      </c>
      <c r="E365" s="29" t="inlineStr">
        <is>
          <t>Yopougon Koweït, carrefour AWA, derrière la Station Shell.</t>
        </is>
      </c>
      <c r="F365" s="29" t="inlineStr">
        <is>
          <t>+225 01 42 73 72 28</t>
        </is>
      </c>
      <c r="G365" s="29" t="inlineStr">
        <is>
          <t>+225 07 08 49 44 87</t>
        </is>
      </c>
      <c r="H365" s="29" t="inlineStr">
        <is>
          <t>+225 01 42 73 72 28</t>
        </is>
      </c>
      <c r="I365" s="29" t="inlineStr">
        <is>
          <t>altistea@yahoo.fr</t>
        </is>
      </c>
      <c r="J365" s="29" t="inlineStr">
        <is>
          <t>http://www.altistea.com</t>
        </is>
      </c>
      <c r="K365" s="29" t="inlineStr">
        <is>
          <t>Directeur des Etudes</t>
        </is>
      </c>
      <c r="L365" s="30" t="inlineStr">
        <is>
          <t>Haute</t>
        </is>
      </c>
      <c r="M365" s="29" t="inlineStr">
        <is>
          <t>MESRS - liste officielle grandes ecoles</t>
        </is>
      </c>
      <c r="N365" s="29" t="inlineStr">
        <is>
          <t>gratuite</t>
        </is>
      </c>
      <c r="O365" s="14" t="inlineStr">
        <is>
          <t>a verifier</t>
        </is>
      </c>
      <c r="P365" s="29" t="inlineStr">
        <is>
          <t>numerique</t>
        </is>
      </c>
    </row>
    <row r="366">
      <c r="A366" s="29" t="inlineStr">
        <is>
          <t>ALT - ISTEA</t>
        </is>
      </c>
      <c r="B366" s="29" t="inlineStr">
        <is>
          <t>Grande ecole BTS - assistanat de direction, tourisme hotellerie</t>
        </is>
      </c>
      <c r="C366" s="29" t="inlineStr">
        <is>
          <t>Prive</t>
        </is>
      </c>
      <c r="D366" s="29" t="inlineStr">
        <is>
          <t>Abidjan - Yopougon</t>
        </is>
      </c>
      <c r="E366" s="29" t="inlineStr"/>
      <c r="F366" s="29" t="inlineStr">
        <is>
          <t>+225 27 20 21 13 58</t>
        </is>
      </c>
      <c r="G366" s="29" t="inlineStr"/>
      <c r="H366" s="29" t="inlineStr"/>
      <c r="I366" s="29" t="inlineStr"/>
      <c r="J366" s="29" t="inlineStr"/>
      <c r="K366" s="29" t="inlineStr">
        <is>
          <t>Directeur des Etudes</t>
        </is>
      </c>
      <c r="L366" s="30" t="inlineStr">
        <is>
          <t>Haute</t>
        </is>
      </c>
      <c r="M366" s="29" t="inlineStr">
        <is>
          <t>MESRS - liste officielle grandes ecoles</t>
        </is>
      </c>
      <c r="N366" s="29" t="inlineStr"/>
      <c r="O366" s="31" t="inlineStr">
        <is>
          <t>sans email</t>
        </is>
      </c>
      <c r="P366" s="29" t="inlineStr">
        <is>
          <t>commerce</t>
        </is>
      </c>
    </row>
    <row r="367">
      <c r="A367" s="29" t="inlineStr">
        <is>
          <t>ATSAM-AGI</t>
        </is>
      </c>
      <c r="B367" s="29" t="inlineStr">
        <is>
          <t>Grande ecole BTS - assistanat de direction, electrotechnique, finances comptabilite</t>
        </is>
      </c>
      <c r="C367" s="29" t="inlineStr">
        <is>
          <t>Prive</t>
        </is>
      </c>
      <c r="D367" s="29" t="inlineStr">
        <is>
          <t>Abidjan - Yopougon</t>
        </is>
      </c>
      <c r="E367" s="29" t="inlineStr">
        <is>
          <t>YOPOUGON MAROC LIÈVRE ROUGE ROUTE BAGNON</t>
        </is>
      </c>
      <c r="F367" s="29" t="inlineStr">
        <is>
          <t>+225 27 35 97 06 41</t>
        </is>
      </c>
      <c r="G367" s="29" t="inlineStr">
        <is>
          <t>+225 07 04 29 54 99</t>
        </is>
      </c>
      <c r="H367" s="29" t="inlineStr">
        <is>
          <t>+225 07 04 29 54 99</t>
        </is>
      </c>
      <c r="I367" s="29" t="inlineStr">
        <is>
          <t>atsam.agi@gmail.com</t>
        </is>
      </c>
      <c r="J367" s="29" t="inlineStr"/>
      <c r="K367" s="29" t="inlineStr">
        <is>
          <t>Directeur des Etudes</t>
        </is>
      </c>
      <c r="L367" s="30" t="inlineStr">
        <is>
          <t>Haute</t>
        </is>
      </c>
      <c r="M367" s="29" t="inlineStr">
        <is>
          <t>MESRS - liste officielle grandes ecoles</t>
        </is>
      </c>
      <c r="N367" s="29" t="inlineStr">
        <is>
          <t>gratuite</t>
        </is>
      </c>
      <c r="O367" s="14" t="inlineStr">
        <is>
          <t>a verifier</t>
        </is>
      </c>
      <c r="P367" s="29" t="inlineStr">
        <is>
          <t>commerce</t>
        </is>
      </c>
    </row>
    <row r="368">
      <c r="A368" s="29" t="inlineStr">
        <is>
          <t>CENTRE DES ETUDES SUPERIEURES DES ETUDES D'ABIDJAN YOPOUGON (CESA YOPOUGON)</t>
        </is>
      </c>
      <c r="B368" s="29" t="inlineStr">
        <is>
          <t>Grande ecole BTS - assistanat de direction, communication visuelle, finances comptabilite</t>
        </is>
      </c>
      <c r="C368" s="29" t="inlineStr">
        <is>
          <t>Prive</t>
        </is>
      </c>
      <c r="D368" s="29" t="inlineStr">
        <is>
          <t>Abidjan - Yopougon</t>
        </is>
      </c>
      <c r="E368" s="29" t="inlineStr">
        <is>
          <t>Yopougon Keneya. 4è étage Immeuble Diomandé face pharmacie Keneya</t>
        </is>
      </c>
      <c r="F368" s="29" t="inlineStr">
        <is>
          <t>+225 25 23 00 33 88</t>
        </is>
      </c>
      <c r="G368" s="29" t="inlineStr">
        <is>
          <t>+225 07 49 38 33 40</t>
        </is>
      </c>
      <c r="H368" s="29" t="inlineStr">
        <is>
          <t>+225 07 49 38 33 40</t>
        </is>
      </c>
      <c r="I368" s="29" t="inlineStr">
        <is>
          <t>alain_achi@yahoo.fr</t>
        </is>
      </c>
      <c r="J368" s="29" t="inlineStr">
        <is>
          <t>http://www.cofecesa.net</t>
        </is>
      </c>
      <c r="K368" s="29" t="inlineStr">
        <is>
          <t>Directeur des Etudes</t>
        </is>
      </c>
      <c r="L368" s="30" t="inlineStr">
        <is>
          <t>Haute</t>
        </is>
      </c>
      <c r="M368" s="29" t="inlineStr">
        <is>
          <t>MESRS - liste officielle grandes ecoles</t>
        </is>
      </c>
      <c r="N368" s="29" t="inlineStr">
        <is>
          <t>gratuite</t>
        </is>
      </c>
      <c r="O368" s="14" t="inlineStr">
        <is>
          <t>a verifier</t>
        </is>
      </c>
      <c r="P368" s="29" t="inlineStr">
        <is>
          <t>commerce</t>
        </is>
      </c>
    </row>
    <row r="369">
      <c r="A369" s="29" t="inlineStr">
        <is>
          <t>CENTRE INTERNATIONAL DE FORMATION EN PRESENTIELLE ET A DISTANCE YOPOUGON (CIFAD YOPOUGON)</t>
        </is>
      </c>
      <c r="B369" s="29" t="inlineStr">
        <is>
          <t>Grande ecole BTS - assistanat de direction, agriculture tropicale, communication visuelle</t>
        </is>
      </c>
      <c r="C369" s="29" t="inlineStr">
        <is>
          <t>Prive</t>
        </is>
      </c>
      <c r="D369" s="29" t="inlineStr">
        <is>
          <t>Abidjan - Yopougon</t>
        </is>
      </c>
      <c r="E369" s="29" t="inlineStr">
        <is>
          <t>Camp Militaire, Rue en Face de la Pharmacie St Laurent (Pour la géolocalisation google maps, entrez les coordonnées suivantes : 8W9P+RW, Abidjan)</t>
        </is>
      </c>
      <c r="F369" s="29" t="inlineStr"/>
      <c r="G369" s="29" t="inlineStr"/>
      <c r="H369" s="29" t="inlineStr"/>
      <c r="I369" s="29" t="inlineStr">
        <is>
          <t>rusta.cifad@gmail.com</t>
        </is>
      </c>
      <c r="J369" s="29" t="inlineStr">
        <is>
          <t>https://www.cifad-yopougon.com</t>
        </is>
      </c>
      <c r="K369" s="29" t="inlineStr">
        <is>
          <t>Directeur des Etudes</t>
        </is>
      </c>
      <c r="L369" s="30" t="inlineStr">
        <is>
          <t>Haute</t>
        </is>
      </c>
      <c r="M369" s="29" t="inlineStr">
        <is>
          <t>MESRS - liste officielle grandes ecoles</t>
        </is>
      </c>
      <c r="N369" s="29" t="inlineStr">
        <is>
          <t>gratuite</t>
        </is>
      </c>
      <c r="O369" s="14" t="inlineStr">
        <is>
          <t>a verifier</t>
        </is>
      </c>
      <c r="P369" s="29" t="inlineStr">
        <is>
          <t>commerce</t>
        </is>
      </c>
    </row>
    <row r="370">
      <c r="A370" s="29" t="inlineStr">
        <is>
          <t>ECOLE DES ETUDES COMMERCIALES ET ECONOMIQUES (EECE YOPOUGON)</t>
        </is>
      </c>
      <c r="B370" s="29" t="inlineStr">
        <is>
          <t>Grande ecole BTS - finances comptabilite, gestion commerciale, informatique developpeur d'applications</t>
        </is>
      </c>
      <c r="C370" s="29" t="inlineStr">
        <is>
          <t>Prive</t>
        </is>
      </c>
      <c r="D370" s="29" t="inlineStr">
        <is>
          <t>Abidjan - Yopougon</t>
        </is>
      </c>
      <c r="E370" s="29" t="inlineStr">
        <is>
          <t>toit rouge carrefour Jean Paul II en face du groupe CGE bloc 2.</t>
        </is>
      </c>
      <c r="F370" s="29" t="inlineStr">
        <is>
          <t>+225 05 05 05 98 93</t>
        </is>
      </c>
      <c r="G370" s="29" t="inlineStr"/>
      <c r="H370" s="29" t="inlineStr">
        <is>
          <t>+225 05 05 05 98 93</t>
        </is>
      </c>
      <c r="I370" s="29" t="inlineStr"/>
      <c r="J370" s="29" t="inlineStr">
        <is>
          <t>https://Eece.ci</t>
        </is>
      </c>
      <c r="K370" s="29" t="inlineStr">
        <is>
          <t>Directeur des Etudes</t>
        </is>
      </c>
      <c r="L370" s="30" t="inlineStr">
        <is>
          <t>Haute</t>
        </is>
      </c>
      <c r="M370" s="29" t="inlineStr">
        <is>
          <t>MESRS - liste officielle grandes ecoles</t>
        </is>
      </c>
      <c r="N370" s="29" t="inlineStr"/>
      <c r="O370" s="31" t="inlineStr">
        <is>
          <t>sans email</t>
        </is>
      </c>
      <c r="P370" s="29" t="inlineStr">
        <is>
          <t>commerce</t>
        </is>
      </c>
    </row>
    <row r="371">
      <c r="A371" s="29" t="inlineStr">
        <is>
          <t>ECOLE DES SCIENCES APPLIQUEES</t>
        </is>
      </c>
      <c r="B371" s="29" t="inlineStr">
        <is>
          <t>Grande ecole BTS - assistanat de direction, agriculture tropicale, electrotechnique</t>
        </is>
      </c>
      <c r="C371" s="29" t="inlineStr">
        <is>
          <t>Prive</t>
        </is>
      </c>
      <c r="D371" s="29" t="inlineStr">
        <is>
          <t>Abidjan - Yopougon</t>
        </is>
      </c>
      <c r="E371" s="29" t="inlineStr">
        <is>
          <t>ANDOKOI 1er Pont, après la gare CTE, à la cité MANGOU</t>
        </is>
      </c>
      <c r="F371" s="29" t="inlineStr">
        <is>
          <t>+225 07 59 19 00 04</t>
        </is>
      </c>
      <c r="G371" s="29" t="inlineStr">
        <is>
          <t>+225 01 02 83 36 86</t>
        </is>
      </c>
      <c r="H371" s="29" t="inlineStr">
        <is>
          <t>+225 07 59 19 00 04</t>
        </is>
      </c>
      <c r="I371" s="29" t="inlineStr">
        <is>
          <t>esapecole@gmail.com</t>
        </is>
      </c>
      <c r="J371" s="29" t="inlineStr"/>
      <c r="K371" s="29" t="inlineStr">
        <is>
          <t>Directeur des Etudes</t>
        </is>
      </c>
      <c r="L371" s="30" t="inlineStr">
        <is>
          <t>Haute</t>
        </is>
      </c>
      <c r="M371" s="29" t="inlineStr">
        <is>
          <t>MESRS - liste officielle grandes ecoles</t>
        </is>
      </c>
      <c r="N371" s="29" t="inlineStr">
        <is>
          <t>gratuite</t>
        </is>
      </c>
      <c r="O371" s="14" t="inlineStr">
        <is>
          <t>a verifier</t>
        </is>
      </c>
      <c r="P371" s="29" t="inlineStr">
        <is>
          <t>commerce</t>
        </is>
      </c>
    </row>
    <row r="372">
      <c r="A372" s="29" t="inlineStr">
        <is>
          <t>ECOLE POLYTECHNIQUE D'ABIDJAN (EPA)</t>
        </is>
      </c>
      <c r="B372" s="29" t="inlineStr">
        <is>
          <t>Grande ecole BTS - assistanat de direction, electrotechnique, finances comptabilite</t>
        </is>
      </c>
      <c r="C372" s="29" t="inlineStr">
        <is>
          <t>Prive</t>
        </is>
      </c>
      <c r="D372" s="29" t="inlineStr">
        <is>
          <t>Abidjan - Yopougon</t>
        </is>
      </c>
      <c r="E372" s="29" t="inlineStr">
        <is>
          <t>YOPOUGON (KENEYA)</t>
        </is>
      </c>
      <c r="F372" s="29" t="inlineStr">
        <is>
          <t>+225 07 77 87 83 93</t>
        </is>
      </c>
      <c r="G372" s="29" t="inlineStr">
        <is>
          <t>+225 07 09 25 58 66</t>
        </is>
      </c>
      <c r="H372" s="29" t="inlineStr">
        <is>
          <t>+225 07 77 87 83 93</t>
        </is>
      </c>
      <c r="I372" s="29" t="inlineStr"/>
      <c r="J372" s="29" t="inlineStr">
        <is>
          <t>http: // www.ecolepolytechabj.com</t>
        </is>
      </c>
      <c r="K372" s="29" t="inlineStr">
        <is>
          <t>Directeur des Etudes</t>
        </is>
      </c>
      <c r="L372" s="30" t="inlineStr">
        <is>
          <t>Haute</t>
        </is>
      </c>
      <c r="M372" s="29" t="inlineStr">
        <is>
          <t>MESRS - liste officielle grandes ecoles</t>
        </is>
      </c>
      <c r="N372" s="29" t="inlineStr"/>
      <c r="O372" s="31" t="inlineStr">
        <is>
          <t>sans email</t>
        </is>
      </c>
      <c r="P372" s="29" t="inlineStr">
        <is>
          <t>ingenieur</t>
        </is>
      </c>
    </row>
    <row r="373">
      <c r="A373" s="29" t="inlineStr">
        <is>
          <t>ECOLE SPECIALE DU BÂTIMENT ET DES TRAVAUX PUBLICS YOPOUGON (ESBTP YOPOUGON)</t>
        </is>
      </c>
      <c r="B373" s="29" t="inlineStr">
        <is>
          <t>Grande ecole BTS - genie civil, mines geologie</t>
        </is>
      </c>
      <c r="C373" s="29" t="inlineStr">
        <is>
          <t>Prive</t>
        </is>
      </c>
      <c r="D373" s="29" t="inlineStr">
        <is>
          <t>Abidjan - Yopougon</t>
        </is>
      </c>
      <c r="E373" s="29" t="inlineStr">
        <is>
          <t>YOPOUGON KENEYA A 50m de la pharmacie keneya au dessus de MTN</t>
        </is>
      </c>
      <c r="F373" s="29" t="inlineStr">
        <is>
          <t>+225 27 20 32 80 01</t>
        </is>
      </c>
      <c r="G373" s="29" t="inlineStr"/>
      <c r="H373" s="29" t="inlineStr"/>
      <c r="I373" s="29" t="inlineStr">
        <is>
          <t>dakoff007@yahoo.fr</t>
        </is>
      </c>
      <c r="J373" s="29" t="inlineStr"/>
      <c r="K373" s="29" t="inlineStr">
        <is>
          <t>Directeur des Etudes</t>
        </is>
      </c>
      <c r="L373" s="30" t="inlineStr">
        <is>
          <t>Haute</t>
        </is>
      </c>
      <c r="M373" s="29" t="inlineStr">
        <is>
          <t>MESRS - liste officielle grandes ecoles</t>
        </is>
      </c>
      <c r="N373" s="29" t="inlineStr">
        <is>
          <t>gratuite</t>
        </is>
      </c>
      <c r="O373" s="14" t="inlineStr">
        <is>
          <t>a verifier</t>
        </is>
      </c>
      <c r="P373" s="29" t="inlineStr">
        <is>
          <t>btp</t>
        </is>
      </c>
    </row>
    <row r="374">
      <c r="A374" s="29" t="inlineStr">
        <is>
          <t>ECOLE SUPERIEUR DE COMMERCE ET DE GESTION LA SORBONNE (ESCG LA SORBONNE)</t>
        </is>
      </c>
      <c r="B374" s="29" t="inlineStr">
        <is>
          <t>Grande ecole BTS - assistanat de direction, finances comptabilite, gestion commerciale</t>
        </is>
      </c>
      <c r="C374" s="29" t="inlineStr">
        <is>
          <t>Prive</t>
        </is>
      </c>
      <c r="D374" s="29" t="inlineStr">
        <is>
          <t>Abidjan - Yopougon</t>
        </is>
      </c>
      <c r="E374" s="29" t="inlineStr">
        <is>
          <t>YOPOUGON ANANERAIE</t>
        </is>
      </c>
      <c r="F374" s="29" t="inlineStr">
        <is>
          <t>+225 27 23 46 85 82</t>
        </is>
      </c>
      <c r="G374" s="29" t="inlineStr"/>
      <c r="H374" s="29" t="inlineStr"/>
      <c r="I374" s="29" t="inlineStr">
        <is>
          <t>k_n_m1975@yahoo.fr</t>
        </is>
      </c>
      <c r="J374" s="29" t="inlineStr"/>
      <c r="K374" s="29" t="inlineStr">
        <is>
          <t>Directeur des Etudes</t>
        </is>
      </c>
      <c r="L374" s="30" t="inlineStr">
        <is>
          <t>Haute</t>
        </is>
      </c>
      <c r="M374" s="29" t="inlineStr">
        <is>
          <t>MESRS - liste officielle grandes ecoles</t>
        </is>
      </c>
      <c r="N374" s="29" t="inlineStr">
        <is>
          <t>gratuite</t>
        </is>
      </c>
      <c r="O374" s="14" t="inlineStr">
        <is>
          <t>a verifier</t>
        </is>
      </c>
      <c r="P374" s="29" t="inlineStr">
        <is>
          <t>commerce</t>
        </is>
      </c>
    </row>
    <row r="375">
      <c r="A375" s="29" t="inlineStr">
        <is>
          <t>ECOLE SUPERIEUR FATOUMABA</t>
        </is>
      </c>
      <c r="B375" s="29" t="inlineStr">
        <is>
          <t>Grande ecole BTS - assistanat de direction, finances comptabilite, gestion commerciale</t>
        </is>
      </c>
      <c r="C375" s="29" t="inlineStr">
        <is>
          <t>Prive</t>
        </is>
      </c>
      <c r="D375" s="29" t="inlineStr">
        <is>
          <t>Abidjan - Yopougon</t>
        </is>
      </c>
      <c r="E375" s="29" t="inlineStr">
        <is>
          <t>YOPOUGON NIANGON</t>
        </is>
      </c>
      <c r="F375" s="29" t="inlineStr"/>
      <c r="G375" s="29" t="inlineStr"/>
      <c r="H375" s="29" t="inlineStr"/>
      <c r="I375" s="29" t="inlineStr">
        <is>
          <t>ladjifonde@gmail.com</t>
        </is>
      </c>
      <c r="J375" s="29" t="inlineStr"/>
      <c r="K375" s="29" t="inlineStr">
        <is>
          <t>Directeur des Etudes</t>
        </is>
      </c>
      <c r="L375" s="30" t="inlineStr">
        <is>
          <t>Haute</t>
        </is>
      </c>
      <c r="M375" s="29" t="inlineStr">
        <is>
          <t>MESRS - liste officielle grandes ecoles</t>
        </is>
      </c>
      <c r="N375" s="29" t="inlineStr">
        <is>
          <t>gratuite</t>
        </is>
      </c>
      <c r="O375" s="14" t="inlineStr">
        <is>
          <t>a verifier</t>
        </is>
      </c>
      <c r="P375" s="29" t="inlineStr">
        <is>
          <t>commerce</t>
        </is>
      </c>
    </row>
    <row r="376">
      <c r="A376" s="29" t="inlineStr">
        <is>
          <t>ECOLE SUPERIEUR FATOUMABA (ESFAT)</t>
        </is>
      </c>
      <c r="B376" s="29" t="inlineStr">
        <is>
          <t>Grande ecole BTS - finances comptabilite, gestion commerciale</t>
        </is>
      </c>
      <c r="C376" s="29" t="inlineStr">
        <is>
          <t>Prive</t>
        </is>
      </c>
      <c r="D376" s="29" t="inlineStr">
        <is>
          <t>Abidjan - Yopougon</t>
        </is>
      </c>
      <c r="E376" s="29" t="inlineStr">
        <is>
          <t>Yopougon Toit Rouge, non loin de la Pharmacie Toit Rouge en face de l'hôtel Boulafla</t>
        </is>
      </c>
      <c r="F376" s="29" t="inlineStr">
        <is>
          <t>+225 07 07 69 09 46</t>
        </is>
      </c>
      <c r="G376" s="29" t="inlineStr">
        <is>
          <t>+225 01 01 07 70 23</t>
        </is>
      </c>
      <c r="H376" s="29" t="inlineStr">
        <is>
          <t>+225 07 07 69 09 46</t>
        </is>
      </c>
      <c r="I376" s="29" t="inlineStr">
        <is>
          <t>esfatabidjan@gmail.com</t>
        </is>
      </c>
      <c r="J376" s="29" t="inlineStr"/>
      <c r="K376" s="29" t="inlineStr">
        <is>
          <t>Directeur des Etudes</t>
        </is>
      </c>
      <c r="L376" s="30" t="inlineStr">
        <is>
          <t>Haute</t>
        </is>
      </c>
      <c r="M376" s="29" t="inlineStr">
        <is>
          <t>MESRS - liste officielle grandes ecoles</t>
        </is>
      </c>
      <c r="N376" s="29" t="inlineStr">
        <is>
          <t>gratuite</t>
        </is>
      </c>
      <c r="O376" s="14" t="inlineStr">
        <is>
          <t>a verifier</t>
        </is>
      </c>
      <c r="P376" s="29" t="inlineStr">
        <is>
          <t>commerce</t>
        </is>
      </c>
    </row>
    <row r="377">
      <c r="A377" s="29" t="inlineStr">
        <is>
          <t>ECOLE SUPERIEURE D'ENSEIGNEMENT TECHNIQUE ET PROFESSIONNELLE (ESETP) YOPOUGON</t>
        </is>
      </c>
      <c r="B377" s="29" t="inlineStr">
        <is>
          <t>Grande ecole BTS - finances comptabilite, genie civil, gestion commerciale</t>
        </is>
      </c>
      <c r="C377" s="29" t="inlineStr">
        <is>
          <t>Prive</t>
        </is>
      </c>
      <c r="D377" s="29" t="inlineStr">
        <is>
          <t>Abidjan - Yopougon</t>
        </is>
      </c>
      <c r="E377" s="29" t="inlineStr">
        <is>
          <t>COMPLEXE SPORTIF YOPOUGON DERRIÈRE LA STATION SHELL</t>
        </is>
      </c>
      <c r="F377" s="29" t="inlineStr">
        <is>
          <t>+225 07 48 77 54 58</t>
        </is>
      </c>
      <c r="G377" s="29" t="inlineStr">
        <is>
          <t>+225 07 77 05 05 15</t>
        </is>
      </c>
      <c r="H377" s="29" t="inlineStr">
        <is>
          <t>+225 07 48 77 54 58</t>
        </is>
      </c>
      <c r="I377" s="29" t="inlineStr">
        <is>
          <t>sonahabibkgo@gmail.com</t>
        </is>
      </c>
      <c r="J377" s="29" t="inlineStr"/>
      <c r="K377" s="29" t="inlineStr">
        <is>
          <t>Directeur des Etudes</t>
        </is>
      </c>
      <c r="L377" s="30" t="inlineStr">
        <is>
          <t>Haute</t>
        </is>
      </c>
      <c r="M377" s="29" t="inlineStr">
        <is>
          <t>MESRS - liste officielle grandes ecoles</t>
        </is>
      </c>
      <c r="N377" s="29" t="inlineStr">
        <is>
          <t>gratuite</t>
        </is>
      </c>
      <c r="O377" s="14" t="inlineStr">
        <is>
          <t>a verifier</t>
        </is>
      </c>
      <c r="P377" s="29" t="inlineStr">
        <is>
          <t>commerce</t>
        </is>
      </c>
    </row>
    <row r="378">
      <c r="A378" s="29" t="inlineStr">
        <is>
          <t>ECOLE SUPERIEURE D'INFORMATIQUE ET DE L'INNOVATION YOPOUGON (ES2I YOPOUGON)</t>
        </is>
      </c>
      <c r="B378" s="29" t="inlineStr">
        <is>
          <t>Grande ecole BTS - agriculture tropicale, finances comptabilite, genie civil</t>
        </is>
      </c>
      <c r="C378" s="29" t="inlineStr">
        <is>
          <t>Prive</t>
        </is>
      </c>
      <c r="D378" s="29" t="inlineStr">
        <is>
          <t>Abidjan - Yopougon</t>
        </is>
      </c>
      <c r="E378" s="29" t="inlineStr">
        <is>
          <t>Yopougon route Abobodoumé face maison blanche</t>
        </is>
      </c>
      <c r="F378" s="29" t="inlineStr">
        <is>
          <t>+225 27 21 37 28 86</t>
        </is>
      </c>
      <c r="G378" s="29" t="inlineStr">
        <is>
          <t>+225 07 07 25 48 80</t>
        </is>
      </c>
      <c r="H378" s="29" t="inlineStr">
        <is>
          <t>+225 07 07 25 48 80</t>
        </is>
      </c>
      <c r="I378" s="29" t="inlineStr"/>
      <c r="J378" s="29" t="inlineStr"/>
      <c r="K378" s="29" t="inlineStr">
        <is>
          <t>Directeur des Etudes</t>
        </is>
      </c>
      <c r="L378" s="30" t="inlineStr">
        <is>
          <t>Haute</t>
        </is>
      </c>
      <c r="M378" s="29" t="inlineStr">
        <is>
          <t>MESRS - liste officielle grandes ecoles</t>
        </is>
      </c>
      <c r="N378" s="29" t="inlineStr"/>
      <c r="O378" s="31" t="inlineStr">
        <is>
          <t>sans email</t>
        </is>
      </c>
      <c r="P378" s="29" t="inlineStr">
        <is>
          <t>numerique</t>
        </is>
      </c>
    </row>
    <row r="379">
      <c r="A379" s="29" t="inlineStr">
        <is>
          <t>ECOLE SUPERIEURE D'INTELLIGENCE ECONOMIQUE YOPOUGON (ESIE YOPOUGON)</t>
        </is>
      </c>
      <c r="B379" s="29" t="inlineStr">
        <is>
          <t>Grande ecole BTS - finances comptabilite, gestion commerciale, informatique developpeur d'applications</t>
        </is>
      </c>
      <c r="C379" s="29" t="inlineStr">
        <is>
          <t>Prive</t>
        </is>
      </c>
      <c r="D379" s="29" t="inlineStr">
        <is>
          <t>Abidjan - Yopougon</t>
        </is>
      </c>
      <c r="E379" s="29" t="inlineStr">
        <is>
          <t>Yopougon Kenya Située dernière la pharmacie Kenya</t>
        </is>
      </c>
      <c r="F379" s="29" t="inlineStr"/>
      <c r="G379" s="29" t="inlineStr"/>
      <c r="H379" s="29" t="inlineStr"/>
      <c r="I379" s="29" t="inlineStr"/>
      <c r="J379" s="29" t="inlineStr"/>
      <c r="K379" s="29" t="inlineStr">
        <is>
          <t>Directeur des Etudes</t>
        </is>
      </c>
      <c r="L379" s="30" t="inlineStr">
        <is>
          <t>Haute</t>
        </is>
      </c>
      <c r="M379" s="29" t="inlineStr">
        <is>
          <t>MESRS - liste officielle grandes ecoles</t>
        </is>
      </c>
      <c r="N379" s="29" t="inlineStr"/>
      <c r="O379" s="31" t="inlineStr">
        <is>
          <t>sans email</t>
        </is>
      </c>
      <c r="P379" s="29" t="inlineStr">
        <is>
          <t>commerce</t>
        </is>
      </c>
    </row>
    <row r="380">
      <c r="A380" s="29" t="inlineStr">
        <is>
          <t>ECOLE SUPERIEURE DE MANAGEMENT ET DE TECHNOLOGIE LE GROUPE BOWL (ESMAT LE GROUPE BOWL) (LGB)</t>
        </is>
      </c>
      <c r="B380" s="29" t="inlineStr">
        <is>
          <t>Grande ecole BTS - assistanat de direction, finances comptabilite, genie civil</t>
        </is>
      </c>
      <c r="C380" s="29" t="inlineStr">
        <is>
          <t>Prive</t>
        </is>
      </c>
      <c r="D380" s="29" t="inlineStr">
        <is>
          <t>Abidjan - Yopougon</t>
        </is>
      </c>
      <c r="E380" s="29" t="inlineStr">
        <is>
          <t>YOPOUGON 3è pont zone CHU non loin de la cité policière BAE</t>
        </is>
      </c>
      <c r="F380" s="29" t="inlineStr">
        <is>
          <t>+225 27 23 45 68 68</t>
        </is>
      </c>
      <c r="G380" s="29" t="inlineStr"/>
      <c r="H380" s="29" t="inlineStr"/>
      <c r="I380" s="29" t="inlineStr">
        <is>
          <t>pjdodo2002@yahoo.fr</t>
        </is>
      </c>
      <c r="J380" s="29" t="inlineStr">
        <is>
          <t>https://www.legoroupebowl.com</t>
        </is>
      </c>
      <c r="K380" s="29" t="inlineStr">
        <is>
          <t>Directeur des Etudes</t>
        </is>
      </c>
      <c r="L380" s="30" t="inlineStr">
        <is>
          <t>Haute</t>
        </is>
      </c>
      <c r="M380" s="29" t="inlineStr">
        <is>
          <t>MESRS - liste officielle grandes ecoles</t>
        </is>
      </c>
      <c r="N380" s="29" t="inlineStr">
        <is>
          <t>gratuite</t>
        </is>
      </c>
      <c r="O380" s="14" t="inlineStr">
        <is>
          <t>a verifier</t>
        </is>
      </c>
      <c r="P380" s="29" t="inlineStr">
        <is>
          <t>numerique</t>
        </is>
      </c>
    </row>
    <row r="381">
      <c r="A381" s="29" t="inlineStr">
        <is>
          <t>ECOLE SUPERIEURE DE MANAGEMENT ET DES TECHNOLOGIES (ESUMAT ABIDJAN)</t>
        </is>
      </c>
      <c r="B381" s="29" t="inlineStr">
        <is>
          <t>Grande ecole BTS - assistanat de direction, communication visuelle, finances comptabilite</t>
        </is>
      </c>
      <c r="C381" s="29" t="inlineStr">
        <is>
          <t>Prive</t>
        </is>
      </c>
      <c r="D381" s="29" t="inlineStr">
        <is>
          <t>Abidjan - Yopougon</t>
        </is>
      </c>
      <c r="E381" s="29" t="inlineStr">
        <is>
          <t>YOPOUGON millionnaire à 200 m de la Pharmacie AFIA</t>
        </is>
      </c>
      <c r="F381" s="29" t="inlineStr">
        <is>
          <t>+225 07 12 12 85 92</t>
        </is>
      </c>
      <c r="G381" s="29" t="inlineStr">
        <is>
          <t>+225 05 66 49 73 57</t>
        </is>
      </c>
      <c r="H381" s="29" t="inlineStr">
        <is>
          <t>+225 07 12 12 85 92</t>
        </is>
      </c>
      <c r="I381" s="29" t="inlineStr">
        <is>
          <t>esumatabidjan1@gmail.com</t>
        </is>
      </c>
      <c r="J381" s="29" t="inlineStr"/>
      <c r="K381" s="29" t="inlineStr">
        <is>
          <t>Directeur des Etudes</t>
        </is>
      </c>
      <c r="L381" s="30" t="inlineStr">
        <is>
          <t>Haute</t>
        </is>
      </c>
      <c r="M381" s="29" t="inlineStr">
        <is>
          <t>MESRS - liste officielle grandes ecoles</t>
        </is>
      </c>
      <c r="N381" s="29" t="inlineStr">
        <is>
          <t>gratuite</t>
        </is>
      </c>
      <c r="O381" s="14" t="inlineStr">
        <is>
          <t>a verifier</t>
        </is>
      </c>
      <c r="P381" s="29" t="inlineStr">
        <is>
          <t>numerique</t>
        </is>
      </c>
    </row>
    <row r="382">
      <c r="A382" s="29" t="inlineStr">
        <is>
          <t>ECOLE SUPERIEURE DES AFFAIRES ET MANAGEMENT YOPOUGON (ESAM YOPOUGON)</t>
        </is>
      </c>
      <c r="B382" s="29" t="inlineStr">
        <is>
          <t>Grande ecole BTS - assistanat de direction, electrotechnique, finances comptabilite</t>
        </is>
      </c>
      <c r="C382" s="29" t="inlineStr">
        <is>
          <t>Prive</t>
        </is>
      </c>
      <c r="D382" s="29" t="inlineStr">
        <is>
          <t>Abidjan - Yopougon</t>
        </is>
      </c>
      <c r="E382" s="29" t="inlineStr">
        <is>
          <t>YOPOUGON A 200 M DU PALAIS DE JUSTICE ROUTE DE BEAGO</t>
        </is>
      </c>
      <c r="F382" s="29" t="inlineStr"/>
      <c r="G382" s="29" t="inlineStr"/>
      <c r="H382" s="29" t="inlineStr"/>
      <c r="I382" s="29" t="inlineStr">
        <is>
          <t>franciscokouassikoko@hotmail.com</t>
        </is>
      </c>
      <c r="J382" s="29" t="inlineStr"/>
      <c r="K382" s="29" t="inlineStr">
        <is>
          <t>Directeur des Etudes</t>
        </is>
      </c>
      <c r="L382" s="30" t="inlineStr">
        <is>
          <t>Haute</t>
        </is>
      </c>
      <c r="M382" s="29" t="inlineStr">
        <is>
          <t>MESRS - liste officielle grandes ecoles</t>
        </is>
      </c>
      <c r="N382" s="29" t="inlineStr">
        <is>
          <t>gratuite</t>
        </is>
      </c>
      <c r="O382" s="14" t="inlineStr">
        <is>
          <t>a verifier</t>
        </is>
      </c>
      <c r="P382" s="29" t="inlineStr">
        <is>
          <t>commerce</t>
        </is>
      </c>
    </row>
    <row r="383">
      <c r="A383" s="29" t="inlineStr">
        <is>
          <t>ECOLE SUPERIEURE DES TECHNIQUES ET SPECIALITES POUR L'EDUCATION ET LA FORMATION (EDUFOR)</t>
        </is>
      </c>
      <c r="B383" s="29" t="inlineStr">
        <is>
          <t>Grande ecole BTS - assistanat de direction, finances comptabilite, gestion commerciale</t>
        </is>
      </c>
      <c r="C383" s="29" t="inlineStr">
        <is>
          <t>Prive</t>
        </is>
      </c>
      <c r="D383" s="29" t="inlineStr">
        <is>
          <t>Abidjan - Yopougon</t>
        </is>
      </c>
      <c r="E383" s="29" t="inlineStr">
        <is>
          <t>YOPOUGON QUARTIER RÉSIDENTIEL</t>
        </is>
      </c>
      <c r="F383" s="29" t="inlineStr">
        <is>
          <t>+225 27 23 48 56 73</t>
        </is>
      </c>
      <c r="G383" s="29" t="inlineStr"/>
      <c r="H383" s="29" t="inlineStr"/>
      <c r="I383" s="29" t="inlineStr">
        <is>
          <t>enseignetechedufor@gmail.com</t>
        </is>
      </c>
      <c r="J383" s="29" t="inlineStr">
        <is>
          <t>https://www.groupe-etsedufor.com</t>
        </is>
      </c>
      <c r="K383" s="29" t="inlineStr">
        <is>
          <t>Directeur des Etudes</t>
        </is>
      </c>
      <c r="L383" s="30" t="inlineStr">
        <is>
          <t>Haute</t>
        </is>
      </c>
      <c r="M383" s="29" t="inlineStr">
        <is>
          <t>MESRS - liste officielle grandes ecoles</t>
        </is>
      </c>
      <c r="N383" s="29" t="inlineStr">
        <is>
          <t>gratuite</t>
        </is>
      </c>
      <c r="O383" s="14" t="inlineStr">
        <is>
          <t>a verifier</t>
        </is>
      </c>
      <c r="P383" s="29" t="inlineStr">
        <is>
          <t>commerce</t>
        </is>
      </c>
    </row>
    <row r="384">
      <c r="A384" s="29" t="inlineStr">
        <is>
          <t>ECOLE SUPERIEURE DES TECHNOLOGIES DE L'INDUSTRIE, DU MANAGEMENT ET DE L'ENTREPRENEURIAT (ESTIME)</t>
        </is>
      </c>
      <c r="B384" s="29" t="inlineStr">
        <is>
          <t>Grande ecole BTS - assistanat de direction, cosmetologie, finances comptabilite</t>
        </is>
      </c>
      <c r="C384" s="29" t="inlineStr">
        <is>
          <t>Prive</t>
        </is>
      </c>
      <c r="D384" s="29" t="inlineStr">
        <is>
          <t>Abidjan - Yopougon</t>
        </is>
      </c>
      <c r="E384" s="29" t="inlineStr">
        <is>
          <t>Yopougon 1ER Pont, Andokoi Carrefour Fanny/Mangou, bâtiment orange</t>
        </is>
      </c>
      <c r="F384" s="29" t="inlineStr">
        <is>
          <t>+225 27 23 46 95 40</t>
        </is>
      </c>
      <c r="G384" s="29" t="inlineStr"/>
      <c r="H384" s="29" t="inlineStr"/>
      <c r="I384" s="29" t="inlineStr">
        <is>
          <t>kouadioyacouba@gmail.com</t>
        </is>
      </c>
      <c r="J384" s="29" t="inlineStr"/>
      <c r="K384" s="29" t="inlineStr">
        <is>
          <t>Directeur des Etudes</t>
        </is>
      </c>
      <c r="L384" s="30" t="inlineStr">
        <is>
          <t>Haute</t>
        </is>
      </c>
      <c r="M384" s="29" t="inlineStr">
        <is>
          <t>MESRS - liste officielle grandes ecoles</t>
        </is>
      </c>
      <c r="N384" s="29" t="inlineStr">
        <is>
          <t>gratuite</t>
        </is>
      </c>
      <c r="O384" s="14" t="inlineStr">
        <is>
          <t>a verifier</t>
        </is>
      </c>
      <c r="P384" s="29" t="inlineStr">
        <is>
          <t>numerique</t>
        </is>
      </c>
    </row>
    <row r="385">
      <c r="A385" s="29" t="inlineStr">
        <is>
          <t>ECOLE SUPERIEURE GADJI (ESUG) YOPOUGON</t>
        </is>
      </c>
      <c r="B385" s="29" t="inlineStr">
        <is>
          <t>Grande ecole BTS - assistanat de direction, finances comptabilite, gestion commerciale</t>
        </is>
      </c>
      <c r="C385" s="29" t="inlineStr">
        <is>
          <t>Prive</t>
        </is>
      </c>
      <c r="D385" s="29" t="inlineStr">
        <is>
          <t>Abidjan - Yopougon</t>
        </is>
      </c>
      <c r="E385" s="29" t="inlineStr">
        <is>
          <t>YOPOUGON ROUTE D ABOBODOUME JERUSALEM FACE HOTEL BLANC</t>
        </is>
      </c>
      <c r="F385" s="29" t="inlineStr">
        <is>
          <t>+225 01 01 51 72 58</t>
        </is>
      </c>
      <c r="G385" s="29" t="inlineStr">
        <is>
          <t>+225 05 05 74 16 15</t>
        </is>
      </c>
      <c r="H385" s="29" t="inlineStr">
        <is>
          <t>+225 01 01 51 72 58</t>
        </is>
      </c>
      <c r="I385" s="29" t="inlineStr">
        <is>
          <t>esug2019@gmail.com</t>
        </is>
      </c>
      <c r="J385" s="29" t="inlineStr">
        <is>
          <t>https://www.groupe- esug.com</t>
        </is>
      </c>
      <c r="K385" s="29" t="inlineStr">
        <is>
          <t>Directeur des Etudes</t>
        </is>
      </c>
      <c r="L385" s="30" t="inlineStr">
        <is>
          <t>Haute</t>
        </is>
      </c>
      <c r="M385" s="29" t="inlineStr">
        <is>
          <t>MESRS - liste officielle grandes ecoles</t>
        </is>
      </c>
      <c r="N385" s="29" t="inlineStr">
        <is>
          <t>gratuite</t>
        </is>
      </c>
      <c r="O385" s="14" t="inlineStr">
        <is>
          <t>a verifier</t>
        </is>
      </c>
      <c r="P385" s="29" t="inlineStr">
        <is>
          <t>commerce</t>
        </is>
      </c>
    </row>
    <row r="386">
      <c r="A386" s="29" t="inlineStr">
        <is>
          <t>ECOLE SUPERIEURE INTERNATIONALE LE ROI SALOMON YOPOUGON (ESIRS)</t>
        </is>
      </c>
      <c r="B386" s="29" t="inlineStr">
        <is>
          <t>Grande ecole BTS - finances comptabilite, genie civil, gestion commerciale</t>
        </is>
      </c>
      <c r="C386" s="29" t="inlineStr">
        <is>
          <t>Prive</t>
        </is>
      </c>
      <c r="D386" s="29" t="inlineStr">
        <is>
          <t>Abidjan - Yopougon</t>
        </is>
      </c>
      <c r="E386" s="29" t="inlineStr">
        <is>
          <t>Yopougon, 3ème étage, Immeuble MTN ou Diomandé, face à la pharmacie Kenya.</t>
        </is>
      </c>
      <c r="F386" s="29" t="inlineStr">
        <is>
          <t>+225 07 79 00 00 00</t>
        </is>
      </c>
      <c r="G386" s="29" t="inlineStr">
        <is>
          <t>+225 01 03 43 51 31</t>
        </is>
      </c>
      <c r="H386" s="29" t="inlineStr">
        <is>
          <t>+225 07 79 00 00 00</t>
        </is>
      </c>
      <c r="I386" s="29" t="inlineStr">
        <is>
          <t>info@esirs.com</t>
        </is>
      </c>
      <c r="J386" s="29" t="inlineStr">
        <is>
          <t>https://www.esirs.com</t>
        </is>
      </c>
      <c r="K386" s="29" t="inlineStr">
        <is>
          <t>Directeur des Etudes</t>
        </is>
      </c>
      <c r="L386" s="30" t="inlineStr">
        <is>
          <t>Haute</t>
        </is>
      </c>
      <c r="M386" s="29" t="inlineStr">
        <is>
          <t>MESRS - liste officielle grandes ecoles</t>
        </is>
      </c>
      <c r="N386" s="29" t="inlineStr">
        <is>
          <t>domaine propre</t>
        </is>
      </c>
      <c r="O386" s="14" t="inlineStr">
        <is>
          <t>a verifier</t>
        </is>
      </c>
      <c r="P386" s="29" t="inlineStr">
        <is>
          <t>btp</t>
        </is>
      </c>
    </row>
    <row r="387">
      <c r="A387" s="29" t="inlineStr">
        <is>
          <t>ECOLE SUPERIEURE SAINT JEAN-MARIE VIANNEY (E2S-JMV)</t>
        </is>
      </c>
      <c r="B387" s="29" t="inlineStr">
        <is>
          <t>Grande ecole BTS/Licence - assistanat de direction, communication visuelle, finances comptabilite</t>
        </is>
      </c>
      <c r="C387" s="29" t="inlineStr">
        <is>
          <t>Prive</t>
        </is>
      </c>
      <c r="D387" s="29" t="inlineStr">
        <is>
          <t>Abidjan - Yopougon</t>
        </is>
      </c>
      <c r="E387" s="29" t="inlineStr">
        <is>
          <t>YOPOUGON SIDECI TERMINUS 42</t>
        </is>
      </c>
      <c r="F387" s="29" t="inlineStr">
        <is>
          <t>+225 01 02 45 12 12</t>
        </is>
      </c>
      <c r="G387" s="29" t="inlineStr">
        <is>
          <t>+225 07 09 52 30 08</t>
        </is>
      </c>
      <c r="H387" s="29" t="inlineStr">
        <is>
          <t>+225 01 02 45 12 12</t>
        </is>
      </c>
      <c r="I387" s="29" t="inlineStr"/>
      <c r="J387" s="29" t="inlineStr"/>
      <c r="K387" s="29" t="inlineStr">
        <is>
          <t>Directeur des Etudes</t>
        </is>
      </c>
      <c r="L387" s="30" t="inlineStr">
        <is>
          <t>Haute</t>
        </is>
      </c>
      <c r="M387" s="29" t="inlineStr">
        <is>
          <t>MESRS - liste officielle grandes ecoles</t>
        </is>
      </c>
      <c r="N387" s="29" t="inlineStr"/>
      <c r="O387" s="31" t="inlineStr">
        <is>
          <t>sans email</t>
        </is>
      </c>
      <c r="P387" s="29" t="inlineStr">
        <is>
          <t>commerce</t>
        </is>
      </c>
    </row>
    <row r="388">
      <c r="A388" s="29" t="inlineStr">
        <is>
          <t>ECOLE SUPERIEURE SKT (E2SKT)</t>
        </is>
      </c>
      <c r="B388" s="29" t="inlineStr">
        <is>
          <t>Grande ecole BTS - assistanat de direction, finances comptabilite, gestion commerciale</t>
        </is>
      </c>
      <c r="C388" s="29" t="inlineStr">
        <is>
          <t>Prive</t>
        </is>
      </c>
      <c r="D388" s="29" t="inlineStr">
        <is>
          <t>Abidjan - Yopougon</t>
        </is>
      </c>
      <c r="E388" s="29" t="inlineStr">
        <is>
          <t>Sideci entre le carrefour sgbci et l'église CMA</t>
        </is>
      </c>
      <c r="F388" s="29" t="inlineStr">
        <is>
          <t>+225 07 08 12 05 14</t>
        </is>
      </c>
      <c r="G388" s="29" t="inlineStr">
        <is>
          <t>+225 01 01 56 32 42</t>
        </is>
      </c>
      <c r="H388" s="29" t="inlineStr">
        <is>
          <t>+225 07 08 12 05 14</t>
        </is>
      </c>
      <c r="I388" s="29" t="inlineStr">
        <is>
          <t>ecolesuperieureskt@gmail.com</t>
        </is>
      </c>
      <c r="J388" s="29" t="inlineStr">
        <is>
          <t>https://WWW.2SKT.COM</t>
        </is>
      </c>
      <c r="K388" s="29" t="inlineStr">
        <is>
          <t>Directeur des Etudes</t>
        </is>
      </c>
      <c r="L388" s="30" t="inlineStr">
        <is>
          <t>Haute</t>
        </is>
      </c>
      <c r="M388" s="29" t="inlineStr">
        <is>
          <t>MESRS - liste officielle grandes ecoles</t>
        </is>
      </c>
      <c r="N388" s="29" t="inlineStr">
        <is>
          <t>gratuite</t>
        </is>
      </c>
      <c r="O388" s="14" t="inlineStr">
        <is>
          <t>a verifier</t>
        </is>
      </c>
      <c r="P388" s="29" t="inlineStr">
        <is>
          <t>commerce</t>
        </is>
      </c>
    </row>
    <row r="389">
      <c r="A389" s="29" t="inlineStr">
        <is>
          <t>ECOLE SUPERIEURE YOBOUE KOUASSI BLE (ESYKB)</t>
        </is>
      </c>
      <c r="B389" s="29" t="inlineStr">
        <is>
          <t>Grande ecole BTS - finances comptabilite, gestion commerciale, informatique developpeur d'applications</t>
        </is>
      </c>
      <c r="C389" s="29" t="inlineStr">
        <is>
          <t>Prive</t>
        </is>
      </c>
      <c r="D389" s="29" t="inlineStr">
        <is>
          <t>Abidjan - Yopougon</t>
        </is>
      </c>
      <c r="E389" s="29" t="inlineStr">
        <is>
          <t>Yopougon 1er pont, derrière le Lycée Moderne Andokoi</t>
        </is>
      </c>
      <c r="F389" s="29" t="inlineStr">
        <is>
          <t>+225 01 01 60 29 69</t>
        </is>
      </c>
      <c r="G389" s="29" t="inlineStr"/>
      <c r="H389" s="29" t="inlineStr">
        <is>
          <t>+225 01 01 60 29 69</t>
        </is>
      </c>
      <c r="I389" s="29" t="inlineStr">
        <is>
          <t>ecoleykb@gmail.com</t>
        </is>
      </c>
      <c r="J389" s="29" t="inlineStr"/>
      <c r="K389" s="29" t="inlineStr">
        <is>
          <t>Directeur des Etudes</t>
        </is>
      </c>
      <c r="L389" s="30" t="inlineStr">
        <is>
          <t>Haute</t>
        </is>
      </c>
      <c r="M389" s="29" t="inlineStr">
        <is>
          <t>MESRS - liste officielle grandes ecoles</t>
        </is>
      </c>
      <c r="N389" s="29" t="inlineStr">
        <is>
          <t>gratuite</t>
        </is>
      </c>
      <c r="O389" s="14" t="inlineStr">
        <is>
          <t>a verifier</t>
        </is>
      </c>
      <c r="P389" s="29" t="inlineStr">
        <is>
          <t>commerce</t>
        </is>
      </c>
    </row>
    <row r="390">
      <c r="A390" s="29" t="inlineStr">
        <is>
          <t>ECOLE SUPÉRIEUR DE MARKETING, DE L'INFORMATION ET DE TECHNOLOGIE (ESMIT)</t>
        </is>
      </c>
      <c r="B390" s="29" t="inlineStr">
        <is>
          <t>Grande ecole BTS - finances comptabilite, gestion commerciale, informatique developpeur d'applications</t>
        </is>
      </c>
      <c r="C390" s="29" t="inlineStr">
        <is>
          <t>Prive</t>
        </is>
      </c>
      <c r="D390" s="29" t="inlineStr">
        <is>
          <t>Abidjan - Yopougon</t>
        </is>
      </c>
      <c r="E390" s="29" t="inlineStr">
        <is>
          <t>Yopougon Résidentiel à 200 mètre du carrefour ancien bel air</t>
        </is>
      </c>
      <c r="F390" s="29" t="inlineStr">
        <is>
          <t>+225 27 23 00 27 73</t>
        </is>
      </c>
      <c r="G390" s="29" t="inlineStr"/>
      <c r="H390" s="29" t="inlineStr"/>
      <c r="I390" s="29" t="inlineStr"/>
      <c r="J390" s="29" t="inlineStr"/>
      <c r="K390" s="29" t="inlineStr">
        <is>
          <t>Directeur des Etudes</t>
        </is>
      </c>
      <c r="L390" s="30" t="inlineStr">
        <is>
          <t>Haute</t>
        </is>
      </c>
      <c r="M390" s="29" t="inlineStr">
        <is>
          <t>MESRS - liste officielle grandes ecoles</t>
        </is>
      </c>
      <c r="N390" s="29" t="inlineStr"/>
      <c r="O390" s="31" t="inlineStr">
        <is>
          <t>sans email</t>
        </is>
      </c>
      <c r="P390" s="29" t="inlineStr">
        <is>
          <t>numerique</t>
        </is>
      </c>
    </row>
    <row r="391">
      <c r="A391" s="29" t="inlineStr">
        <is>
          <t>ECOLE TECHNIQUE INFORMATIQUE ET COMMERCIALE YOPOUGON (ETIC YOPOUGON) (GROUPE ETIC (ETIC YOPOUGON))</t>
        </is>
      </c>
      <c r="B391" s="29" t="inlineStr">
        <is>
          <t>Grande ecole BTS - assistanat de direction, agriculture tropicale, communication visuelle</t>
        </is>
      </c>
      <c r="C391" s="29" t="inlineStr">
        <is>
          <t>Prive</t>
        </is>
      </c>
      <c r="D391" s="29" t="inlineStr">
        <is>
          <t>Abidjan - Yopougon</t>
        </is>
      </c>
      <c r="E391" s="29" t="inlineStr">
        <is>
          <t>YOPOUGON SELMER FACE A LA MAIRIE CENTRALE</t>
        </is>
      </c>
      <c r="F391" s="29" t="inlineStr">
        <is>
          <t>+225 27 22 45 40 60</t>
        </is>
      </c>
      <c r="G391" s="29" t="inlineStr"/>
      <c r="H391" s="29" t="inlineStr"/>
      <c r="I391" s="29" t="inlineStr">
        <is>
          <t>eticyopougon@gmail.com</t>
        </is>
      </c>
      <c r="J391" s="29" t="inlineStr">
        <is>
          <t>https://www.eticecole.com</t>
        </is>
      </c>
      <c r="K391" s="29" t="inlineStr">
        <is>
          <t>Directeur des Etudes</t>
        </is>
      </c>
      <c r="L391" s="30" t="inlineStr">
        <is>
          <t>Haute</t>
        </is>
      </c>
      <c r="M391" s="29" t="inlineStr">
        <is>
          <t>MESRS - liste officielle grandes ecoles</t>
        </is>
      </c>
      <c r="N391" s="29" t="inlineStr">
        <is>
          <t>gratuite</t>
        </is>
      </c>
      <c r="O391" s="14" t="inlineStr">
        <is>
          <t>a verifier</t>
        </is>
      </c>
      <c r="P391" s="29" t="inlineStr">
        <is>
          <t>numerique</t>
        </is>
      </c>
    </row>
    <row r="392">
      <c r="A392" s="29" t="inlineStr">
        <is>
          <t>ECOLE TECHNIQUE SUPERIEURE SAGUIDIBA YOPOUGON (ESTA YOPOUGON) (ETSA)</t>
        </is>
      </c>
      <c r="B392" s="29" t="inlineStr">
        <is>
          <t>Grande ecole BTS - finances comptabilite, gestion commerciale, ressources humaines</t>
        </is>
      </c>
      <c r="C392" s="29" t="inlineStr">
        <is>
          <t>Prive</t>
        </is>
      </c>
      <c r="D392" s="29" t="inlineStr">
        <is>
          <t>Abidjan - Yopougon</t>
        </is>
      </c>
      <c r="E392" s="29" t="inlineStr">
        <is>
          <t>YOPOUGON NIANGON CARREFOUR TEXACO.</t>
        </is>
      </c>
      <c r="F392" s="29" t="inlineStr">
        <is>
          <t>+225 07 07 69 09 46</t>
        </is>
      </c>
      <c r="G392" s="29" t="inlineStr"/>
      <c r="H392" s="29" t="inlineStr">
        <is>
          <t>+225 07 07 69 09 46</t>
        </is>
      </c>
      <c r="I392" s="29" t="inlineStr">
        <is>
          <t>ecolesupsaguidiba@gmail.com</t>
        </is>
      </c>
      <c r="J392" s="29" t="inlineStr"/>
      <c r="K392" s="29" t="inlineStr">
        <is>
          <t>Directeur des Etudes</t>
        </is>
      </c>
      <c r="L392" s="30" t="inlineStr">
        <is>
          <t>Haute</t>
        </is>
      </c>
      <c r="M392" s="29" t="inlineStr">
        <is>
          <t>MESRS - liste officielle grandes ecoles</t>
        </is>
      </c>
      <c r="N392" s="29" t="inlineStr">
        <is>
          <t>gratuite</t>
        </is>
      </c>
      <c r="O392" s="14" t="inlineStr">
        <is>
          <t>a verifier</t>
        </is>
      </c>
      <c r="P392" s="29" t="inlineStr">
        <is>
          <t>commerce</t>
        </is>
      </c>
    </row>
    <row r="393">
      <c r="A393" s="29" t="inlineStr">
        <is>
          <t>EPHESE-TECHNOLOGIE (ECOLE POLYTECHNIQUE DES HAUTES ETUDES D'ECONOMIE DE SCIENCES ET DE TECHNOLOGIE)</t>
        </is>
      </c>
      <c r="B393" s="29" t="inlineStr">
        <is>
          <t>Grande ecole BTS/Licence - assistanat de direction, electrotechnique, finances comptabilite</t>
        </is>
      </c>
      <c r="C393" s="29" t="inlineStr">
        <is>
          <t>Prive</t>
        </is>
      </c>
      <c r="D393" s="29" t="inlineStr">
        <is>
          <t>Abidjan - Yopougon</t>
        </is>
      </c>
      <c r="E393" s="29" t="inlineStr">
        <is>
          <t>YOPOUGON, Andokoi Sable, 1er pont Immeuble Ivoire Couture, 2e étage</t>
        </is>
      </c>
      <c r="F393" s="29" t="inlineStr"/>
      <c r="G393" s="29" t="inlineStr"/>
      <c r="H393" s="29" t="inlineStr"/>
      <c r="I393" s="29" t="inlineStr">
        <is>
          <t>ephese.technologie@gmail.com</t>
        </is>
      </c>
      <c r="J393" s="29" t="inlineStr"/>
      <c r="K393" s="29" t="inlineStr">
        <is>
          <t>Directeur des Etudes</t>
        </is>
      </c>
      <c r="L393" s="30" t="inlineStr">
        <is>
          <t>Haute</t>
        </is>
      </c>
      <c r="M393" s="29" t="inlineStr">
        <is>
          <t>MESRS - liste officielle grandes ecoles</t>
        </is>
      </c>
      <c r="N393" s="29" t="inlineStr">
        <is>
          <t>gratuite</t>
        </is>
      </c>
      <c r="O393" s="14" t="inlineStr">
        <is>
          <t>a verifier</t>
        </is>
      </c>
      <c r="P393" s="29" t="inlineStr">
        <is>
          <t>numerique</t>
        </is>
      </c>
    </row>
    <row r="394">
      <c r="A394" s="29" t="inlineStr">
        <is>
          <t>ESCAMT (ECOLE SUPERIEURE DE COMMERCE, D'ADMINISTRATION ET DE MANAGEMENT ET TECHNIQUE) YOPOUGON</t>
        </is>
      </c>
      <c r="B394" s="29" t="inlineStr">
        <is>
          <t>Grande ecole BTS - finances comptabilite, gestion commerciale, informatique developpeur d'applications</t>
        </is>
      </c>
      <c r="C394" s="29" t="inlineStr">
        <is>
          <t>Prive</t>
        </is>
      </c>
      <c r="D394" s="29" t="inlineStr">
        <is>
          <t>Abidjan - Yopougon</t>
        </is>
      </c>
      <c r="E394" s="29" t="inlineStr">
        <is>
          <t>Yopougon Attié, carrefour Keneya, en face de la CIE.</t>
        </is>
      </c>
      <c r="F394" s="29" t="inlineStr">
        <is>
          <t>+225 25 23 01 01 52</t>
        </is>
      </c>
      <c r="G394" s="29" t="inlineStr">
        <is>
          <t>+225 05 56 40 01 30</t>
        </is>
      </c>
      <c r="H394" s="29" t="inlineStr">
        <is>
          <t>+225 05 56 40 01 30</t>
        </is>
      </c>
      <c r="I394" s="29" t="inlineStr">
        <is>
          <t>info.escamci@gmail.com</t>
        </is>
      </c>
      <c r="J394" s="29" t="inlineStr">
        <is>
          <t>https://www.escam-ci.com</t>
        </is>
      </c>
      <c r="K394" s="29" t="inlineStr">
        <is>
          <t>Directeur des Etudes</t>
        </is>
      </c>
      <c r="L394" s="30" t="inlineStr">
        <is>
          <t>Haute</t>
        </is>
      </c>
      <c r="M394" s="29" t="inlineStr">
        <is>
          <t>MESRS - liste officielle grandes ecoles</t>
        </is>
      </c>
      <c r="N394" s="29" t="inlineStr">
        <is>
          <t>gratuite</t>
        </is>
      </c>
      <c r="O394" s="14" t="inlineStr">
        <is>
          <t>a verifier</t>
        </is>
      </c>
      <c r="P394" s="29" t="inlineStr">
        <is>
          <t>commerce</t>
        </is>
      </c>
    </row>
    <row r="395">
      <c r="A395" s="29" t="inlineStr">
        <is>
          <t>ESCI YOPOUGON</t>
        </is>
      </c>
      <c r="B395" s="29" t="inlineStr">
        <is>
          <t>Grande ecole BTS - finances comptabilite, gestion commerciale, informatique developpeur d'applications</t>
        </is>
      </c>
      <c r="C395" s="29" t="inlineStr">
        <is>
          <t>Prive</t>
        </is>
      </c>
      <c r="D395" s="29" t="inlineStr">
        <is>
          <t>Abidjan - Yopougon</t>
        </is>
      </c>
      <c r="E395" s="29" t="inlineStr">
        <is>
          <t>Immeuble MTN 2e étage à coté de la Pharmacie Keneya</t>
        </is>
      </c>
      <c r="F395" s="29" t="inlineStr">
        <is>
          <t>+225 07 07 89 07 43</t>
        </is>
      </c>
      <c r="G395" s="29" t="inlineStr">
        <is>
          <t>+225 01 42 32 22 06</t>
        </is>
      </c>
      <c r="H395" s="29" t="inlineStr">
        <is>
          <t>+225 07 07 89 07 43</t>
        </is>
      </c>
      <c r="I395" s="29" t="inlineStr">
        <is>
          <t>esci.yop15@gmail.com</t>
        </is>
      </c>
      <c r="J395" s="29" t="inlineStr">
        <is>
          <t>https://www.ecole-sci.com</t>
        </is>
      </c>
      <c r="K395" s="29" t="inlineStr">
        <is>
          <t>Directeur des Etudes</t>
        </is>
      </c>
      <c r="L395" s="30" t="inlineStr">
        <is>
          <t>Haute</t>
        </is>
      </c>
      <c r="M395" s="29" t="inlineStr">
        <is>
          <t>MESRS - liste officielle grandes ecoles</t>
        </is>
      </c>
      <c r="N395" s="29" t="inlineStr">
        <is>
          <t>gratuite</t>
        </is>
      </c>
      <c r="O395" s="14" t="inlineStr">
        <is>
          <t>a verifier</t>
        </is>
      </c>
      <c r="P395" s="29" t="inlineStr">
        <is>
          <t>commerce</t>
        </is>
      </c>
    </row>
    <row r="396">
      <c r="A396" s="29" t="inlineStr">
        <is>
          <t>ESDE SUP</t>
        </is>
      </c>
      <c r="B396" s="29" t="inlineStr">
        <is>
          <t>Grande ecole BTS - finances comptabilite, genie civil, gestion commerciale</t>
        </is>
      </c>
      <c r="C396" s="29" t="inlineStr">
        <is>
          <t>Prive</t>
        </is>
      </c>
      <c r="D396" s="29" t="inlineStr">
        <is>
          <t>Abidjan - Yopougon</t>
        </is>
      </c>
      <c r="E396" s="29" t="inlineStr">
        <is>
          <t>YOPOUGON BEL AIR CARREFOUR CINE COOL</t>
        </is>
      </c>
      <c r="F396" s="29" t="inlineStr">
        <is>
          <t>+225 27 23 00 28 58</t>
        </is>
      </c>
      <c r="G396" s="29" t="inlineStr">
        <is>
          <t>+225 05 76 21 22 25</t>
        </is>
      </c>
      <c r="H396" s="29" t="inlineStr">
        <is>
          <t>+225 05 76 21 22 25</t>
        </is>
      </c>
      <c r="I396" s="29" t="inlineStr">
        <is>
          <t>esdesup@gmail.com</t>
        </is>
      </c>
      <c r="J396" s="29" t="inlineStr">
        <is>
          <t>https://groupe-ecoles-esdesup.net</t>
        </is>
      </c>
      <c r="K396" s="29" t="inlineStr">
        <is>
          <t>Directeur des Etudes</t>
        </is>
      </c>
      <c r="L396" s="30" t="inlineStr">
        <is>
          <t>Haute</t>
        </is>
      </c>
      <c r="M396" s="29" t="inlineStr">
        <is>
          <t>MESRS - liste officielle grandes ecoles</t>
        </is>
      </c>
      <c r="N396" s="29" t="inlineStr">
        <is>
          <t>domaine propre</t>
        </is>
      </c>
      <c r="O396" s="14" t="inlineStr">
        <is>
          <t>a verifier</t>
        </is>
      </c>
      <c r="P396" s="29" t="inlineStr">
        <is>
          <t>commerce</t>
        </is>
      </c>
    </row>
    <row r="397">
      <c r="A397" s="29" t="inlineStr">
        <is>
          <t>ESEPT Ecole Supérieure d’Enseignement Professionnel et Technique</t>
        </is>
      </c>
      <c r="B397" s="29" t="inlineStr">
        <is>
          <t>Grande ecole BTS - finances comptabilite, gestion commerciale, logistique</t>
        </is>
      </c>
      <c r="C397" s="29" t="inlineStr">
        <is>
          <t>Prive</t>
        </is>
      </c>
      <c r="D397" s="29" t="inlineStr">
        <is>
          <t>Abidjan - Yopougon</t>
        </is>
      </c>
      <c r="E397" s="29" t="inlineStr"/>
      <c r="F397" s="29" t="inlineStr"/>
      <c r="G397" s="29" t="inlineStr"/>
      <c r="H397" s="29" t="inlineStr"/>
      <c r="I397" s="29" t="inlineStr"/>
      <c r="J397" s="29" t="inlineStr"/>
      <c r="K397" s="29" t="inlineStr">
        <is>
          <t>Directeur des Etudes</t>
        </is>
      </c>
      <c r="L397" s="30" t="inlineStr">
        <is>
          <t>Haute</t>
        </is>
      </c>
      <c r="M397" s="29" t="inlineStr">
        <is>
          <t>MESRS - liste officielle grandes ecoles</t>
        </is>
      </c>
      <c r="N397" s="29" t="inlineStr"/>
      <c r="O397" s="31" t="inlineStr">
        <is>
          <t>sans email</t>
        </is>
      </c>
      <c r="P397" s="29" t="inlineStr">
        <is>
          <t>commerce</t>
        </is>
      </c>
    </row>
    <row r="398">
      <c r="A398" s="29" t="inlineStr">
        <is>
          <t>ESIM Yopougon - Ecole Superieure d'Industrie et de Management</t>
        </is>
      </c>
      <c r="B398" s="29" t="inlineStr">
        <is>
          <t>Grande ecole - industrie et management</t>
        </is>
      </c>
      <c r="C398" s="29" t="inlineStr">
        <is>
          <t>Prive</t>
        </is>
      </c>
      <c r="D398" s="29" t="inlineStr">
        <is>
          <t>Abidjan - Yopougon</t>
        </is>
      </c>
      <c r="E398" s="29" t="inlineStr">
        <is>
          <t>Yopougon Maroc a 300 m du carrefour Anador</t>
        </is>
      </c>
      <c r="F398" s="29" t="inlineStr">
        <is>
          <t>+225 27 23 46 02 10</t>
        </is>
      </c>
      <c r="G398" s="29" t="inlineStr"/>
      <c r="H398" s="29" t="inlineStr"/>
      <c r="I398" s="29" t="inlineStr">
        <is>
          <t>esim.abidjan@gmail.com</t>
        </is>
      </c>
      <c r="J398" s="29" t="inlineStr"/>
      <c r="K398" s="29" t="inlineStr">
        <is>
          <t>Directeur des Etudes</t>
        </is>
      </c>
      <c r="L398" s="30" t="inlineStr">
        <is>
          <t>Haute</t>
        </is>
      </c>
      <c r="M398" s="29" t="inlineStr">
        <is>
          <t>Le Grand Frere + MESRS</t>
        </is>
      </c>
      <c r="N398" s="29" t="inlineStr">
        <is>
          <t>gratuite</t>
        </is>
      </c>
      <c r="O398" s="14" t="inlineStr">
        <is>
          <t>a verifier</t>
        </is>
      </c>
      <c r="P398" s="29" t="inlineStr">
        <is>
          <t>ingenieur</t>
        </is>
      </c>
    </row>
    <row r="399">
      <c r="A399" s="29" t="inlineStr">
        <is>
          <t>ESK Yopougon - Ecole Superieure de Commerce et de Gestion</t>
        </is>
      </c>
      <c r="B399" s="29" t="inlineStr">
        <is>
          <t>Grande ecole - commerce / gestion</t>
        </is>
      </c>
      <c r="C399" s="29" t="inlineStr">
        <is>
          <t>Prive</t>
        </is>
      </c>
      <c r="D399" s="29" t="inlineStr">
        <is>
          <t>Abidjan - Yopougon</t>
        </is>
      </c>
      <c r="E399" s="29" t="inlineStr">
        <is>
          <t>Entre la Poste et la Lonaci Toits Rouges Yopougon - 05 BP 2371 Abidjan 05</t>
        </is>
      </c>
      <c r="F399" s="29" t="inlineStr">
        <is>
          <t>+225 27 22 42 17 26</t>
        </is>
      </c>
      <c r="G399" s="29" t="inlineStr">
        <is>
          <t>+225 27 22 52 25 86</t>
        </is>
      </c>
      <c r="H399" s="29" t="inlineStr"/>
      <c r="I399" s="29" t="inlineStr"/>
      <c r="J399" s="29" t="inlineStr"/>
      <c r="K399" s="29" t="inlineStr">
        <is>
          <t>Directeur des Etudes (par campus)</t>
        </is>
      </c>
      <c r="L399" s="30" t="inlineStr">
        <is>
          <t>Haute</t>
        </is>
      </c>
      <c r="M399" s="29" t="inlineStr">
        <is>
          <t>GoAfricaOnline + MESRS</t>
        </is>
      </c>
      <c r="N399" s="29" t="inlineStr"/>
      <c r="O399" s="31" t="inlineStr">
        <is>
          <t>sans email</t>
        </is>
      </c>
      <c r="P399" s="29" t="inlineStr">
        <is>
          <t>commerce</t>
        </is>
      </c>
    </row>
    <row r="400">
      <c r="A400" s="29" t="inlineStr">
        <is>
          <t>ESSC YOPOUGON ( SAINT CHALMEL)</t>
        </is>
      </c>
      <c r="B400" s="29" t="inlineStr">
        <is>
          <t>Grande ecole BTS - assistanat de direction, finances comptabilite, gestion commerciale</t>
        </is>
      </c>
      <c r="C400" s="29" t="inlineStr">
        <is>
          <t>Prive</t>
        </is>
      </c>
      <c r="D400" s="29" t="inlineStr">
        <is>
          <t>Abidjan - Yopougon</t>
        </is>
      </c>
      <c r="E400" s="29" t="inlineStr"/>
      <c r="F400" s="29" t="inlineStr">
        <is>
          <t>+225 07 59 59 12 90</t>
        </is>
      </c>
      <c r="G400" s="29" t="inlineStr"/>
      <c r="H400" s="29" t="inlineStr">
        <is>
          <t>+225 07 59 59 12 90</t>
        </is>
      </c>
      <c r="I400" s="29" t="inlineStr">
        <is>
          <t>info@es-saintchalmel.com</t>
        </is>
      </c>
      <c r="J400" s="29" t="inlineStr"/>
      <c r="K400" s="29" t="inlineStr">
        <is>
          <t>Directeur des Etudes</t>
        </is>
      </c>
      <c r="L400" s="30" t="inlineStr">
        <is>
          <t>Haute</t>
        </is>
      </c>
      <c r="M400" s="29" t="inlineStr">
        <is>
          <t>MESRS - liste officielle grandes ecoles</t>
        </is>
      </c>
      <c r="N400" s="29" t="inlineStr">
        <is>
          <t>domaine propre</t>
        </is>
      </c>
      <c r="O400" s="14" t="inlineStr">
        <is>
          <t>a verifier</t>
        </is>
      </c>
      <c r="P400" s="29" t="inlineStr">
        <is>
          <t>commerce</t>
        </is>
      </c>
    </row>
    <row r="401">
      <c r="A401" s="29" t="inlineStr">
        <is>
          <t>ESTAN YOPOUGON</t>
        </is>
      </c>
      <c r="B401" s="29" t="inlineStr">
        <is>
          <t>Grande ecole BTS - assistanat de direction, finances comptabilite, gestion commerciale</t>
        </is>
      </c>
      <c r="C401" s="29" t="inlineStr">
        <is>
          <t>Prive</t>
        </is>
      </c>
      <c r="D401" s="29" t="inlineStr">
        <is>
          <t>Abidjan - Yopougon</t>
        </is>
      </c>
      <c r="E401" s="29" t="inlineStr">
        <is>
          <t>PHARMACIE KENEYA IMMEUBLE MTN DERNIER ÉTAGE AU DESSUS DU TRÉSOR</t>
        </is>
      </c>
      <c r="F401" s="29" t="inlineStr">
        <is>
          <t>+225 27 20 32 10 27</t>
        </is>
      </c>
      <c r="G401" s="29" t="inlineStr">
        <is>
          <t>+225 07 07 47 20 27</t>
        </is>
      </c>
      <c r="H401" s="29" t="inlineStr">
        <is>
          <t>+225 07 07 47 20 27</t>
        </is>
      </c>
      <c r="I401" s="29" t="inlineStr">
        <is>
          <t>estanyop@gmail.com</t>
        </is>
      </c>
      <c r="J401" s="29" t="inlineStr"/>
      <c r="K401" s="29" t="inlineStr">
        <is>
          <t>Directeur des Etudes</t>
        </is>
      </c>
      <c r="L401" s="30" t="inlineStr">
        <is>
          <t>Haute</t>
        </is>
      </c>
      <c r="M401" s="29" t="inlineStr">
        <is>
          <t>MESRS - liste officielle grandes ecoles</t>
        </is>
      </c>
      <c r="N401" s="29" t="inlineStr">
        <is>
          <t>gratuite</t>
        </is>
      </c>
      <c r="O401" s="14" t="inlineStr">
        <is>
          <t>a verifier</t>
        </is>
      </c>
      <c r="P401" s="29" t="inlineStr">
        <is>
          <t>commerce</t>
        </is>
      </c>
    </row>
    <row r="402">
      <c r="A402" s="29" t="inlineStr">
        <is>
          <t>ESTC YOPOUGON ABIDJAN</t>
        </is>
      </c>
      <c r="B402" s="29" t="inlineStr">
        <is>
          <t>Grande ecole BTS - assistanat de direction, finances comptabilite, gestion commerciale</t>
        </is>
      </c>
      <c r="C402" s="29" t="inlineStr">
        <is>
          <t>Prive</t>
        </is>
      </c>
      <c r="D402" s="29" t="inlineStr">
        <is>
          <t>Abidjan - Yopougon</t>
        </is>
      </c>
      <c r="E402" s="29" t="inlineStr">
        <is>
          <t>Yopougon SIDECI Terminus 42</t>
        </is>
      </c>
      <c r="F402" s="29" t="inlineStr">
        <is>
          <t>+225 07 49 16 35 61</t>
        </is>
      </c>
      <c r="G402" s="29" t="inlineStr">
        <is>
          <t>+225 05 45 48 79 80</t>
        </is>
      </c>
      <c r="H402" s="29" t="inlineStr">
        <is>
          <t>+225 07 49 16 35 61</t>
        </is>
      </c>
      <c r="I402" s="29" t="inlineStr">
        <is>
          <t>b_ndje@yahoo.com</t>
        </is>
      </c>
      <c r="J402" s="29" t="inlineStr"/>
      <c r="K402" s="29" t="inlineStr">
        <is>
          <t>Directeur des Etudes</t>
        </is>
      </c>
      <c r="L402" s="30" t="inlineStr">
        <is>
          <t>Haute</t>
        </is>
      </c>
      <c r="M402" s="29" t="inlineStr">
        <is>
          <t>MESRS - liste officielle grandes ecoles</t>
        </is>
      </c>
      <c r="N402" s="29" t="inlineStr">
        <is>
          <t>gratuite</t>
        </is>
      </c>
      <c r="O402" s="14" t="inlineStr">
        <is>
          <t>a verifier</t>
        </is>
      </c>
      <c r="P402" s="29" t="inlineStr">
        <is>
          <t>commerce</t>
        </is>
      </c>
    </row>
    <row r="403">
      <c r="A403" s="29" t="inlineStr">
        <is>
          <t>ETEP - ANNEXE YOPOUGON</t>
        </is>
      </c>
      <c r="B403" s="29" t="inlineStr">
        <is>
          <t>Grande ecole BTS - agriculture tropicale, communication visuelle, finances comptabilite</t>
        </is>
      </c>
      <c r="C403" s="29" t="inlineStr">
        <is>
          <t>Prive</t>
        </is>
      </c>
      <c r="D403" s="29" t="inlineStr">
        <is>
          <t>Abidjan - Yopougon</t>
        </is>
      </c>
      <c r="E403" s="29" t="inlineStr">
        <is>
          <t>YOPOUGON KENEYA</t>
        </is>
      </c>
      <c r="F403" s="29" t="inlineStr">
        <is>
          <t>+225 27 23 00 13 86</t>
        </is>
      </c>
      <c r="G403" s="29" t="inlineStr"/>
      <c r="H403" s="29" t="inlineStr"/>
      <c r="I403" s="29" t="inlineStr">
        <is>
          <t>etep01yopougon@gmail.com</t>
        </is>
      </c>
      <c r="J403" s="29" t="inlineStr">
        <is>
          <t>https://www.groupetep.org</t>
        </is>
      </c>
      <c r="K403" s="29" t="inlineStr">
        <is>
          <t>Directeur des Etudes</t>
        </is>
      </c>
      <c r="L403" s="30" t="inlineStr">
        <is>
          <t>Haute</t>
        </is>
      </c>
      <c r="M403" s="29" t="inlineStr">
        <is>
          <t>MESRS - liste officielle grandes ecoles</t>
        </is>
      </c>
      <c r="N403" s="29" t="inlineStr">
        <is>
          <t>gratuite</t>
        </is>
      </c>
      <c r="O403" s="14" t="inlineStr">
        <is>
          <t>a verifier</t>
        </is>
      </c>
      <c r="P403" s="29" t="inlineStr">
        <is>
          <t>commerce</t>
        </is>
      </c>
    </row>
    <row r="404">
      <c r="A404" s="29" t="inlineStr">
        <is>
          <t>ETIC Yopougon - Ecole Technique Informatique et Commerciale</t>
        </is>
      </c>
      <c r="B404" s="29" t="inlineStr">
        <is>
          <t>Ecole superieure technique - informatique et commerce</t>
        </is>
      </c>
      <c r="C404" s="29" t="inlineStr">
        <is>
          <t>Prive</t>
        </is>
      </c>
      <c r="D404" s="29" t="inlineStr">
        <is>
          <t>Abidjan - Yopougon</t>
        </is>
      </c>
      <c r="E404" s="29" t="inlineStr">
        <is>
          <t>Yopougon quartier Selmer</t>
        </is>
      </c>
      <c r="F404" s="29" t="inlineStr">
        <is>
          <t>+225 07 07 40 88 38</t>
        </is>
      </c>
      <c r="G404" s="29" t="inlineStr">
        <is>
          <t>+225 07 48 74 53 75</t>
        </is>
      </c>
      <c r="H404" s="29" t="inlineStr">
        <is>
          <t>+225 07 07 40 88 38</t>
        </is>
      </c>
      <c r="I404" s="29" t="inlineStr"/>
      <c r="J404" s="29" t="inlineStr">
        <is>
          <t>eticecole.com</t>
        </is>
      </c>
      <c r="K404" s="29" t="inlineStr">
        <is>
          <t>Directeur des Etudes (par campus)</t>
        </is>
      </c>
      <c r="L404" s="29" t="inlineStr">
        <is>
          <t>Moyenne</t>
        </is>
      </c>
      <c r="M404" s="29" t="inlineStr">
        <is>
          <t>Le Grand Frere</t>
        </is>
      </c>
      <c r="N404" s="29" t="inlineStr"/>
      <c r="O404" s="31" t="inlineStr">
        <is>
          <t>sans email</t>
        </is>
      </c>
      <c r="P404" s="29" t="inlineStr">
        <is>
          <t>numerique</t>
        </is>
      </c>
    </row>
    <row r="405">
      <c r="A405" s="29" t="inlineStr">
        <is>
          <t>EURO-FORMATION YOPOUGON (EUROF YOPOUGON)</t>
        </is>
      </c>
      <c r="B405" s="29" t="inlineStr">
        <is>
          <t>Grande ecole BTS - finances comptabilite, gestion commerciale, informatique developpeur d'applications</t>
        </is>
      </c>
      <c r="C405" s="29" t="inlineStr">
        <is>
          <t>Prive</t>
        </is>
      </c>
      <c r="D405" s="29" t="inlineStr">
        <is>
          <t>Abidjan - Yopougon</t>
        </is>
      </c>
      <c r="E405" s="29" t="inlineStr">
        <is>
          <t>YOPOUGON ASSONVON</t>
        </is>
      </c>
      <c r="F405" s="29" t="inlineStr">
        <is>
          <t>+225 27 23 45 07 81</t>
        </is>
      </c>
      <c r="G405" s="29" t="inlineStr"/>
      <c r="H405" s="29" t="inlineStr"/>
      <c r="I405" s="29" t="inlineStr">
        <is>
          <t>info3a@yahoo.fr</t>
        </is>
      </c>
      <c r="J405" s="29" t="inlineStr">
        <is>
          <t>https://www.eurof.org</t>
        </is>
      </c>
      <c r="K405" s="29" t="inlineStr">
        <is>
          <t>Directeur des Etudes</t>
        </is>
      </c>
      <c r="L405" s="30" t="inlineStr">
        <is>
          <t>Haute</t>
        </is>
      </c>
      <c r="M405" s="29" t="inlineStr">
        <is>
          <t>MESRS - liste officielle grandes ecoles</t>
        </is>
      </c>
      <c r="N405" s="29" t="inlineStr">
        <is>
          <t>gratuite</t>
        </is>
      </c>
      <c r="O405" s="14" t="inlineStr">
        <is>
          <t>a verifier</t>
        </is>
      </c>
      <c r="P405" s="29" t="inlineStr">
        <is>
          <t>commerce</t>
        </is>
      </c>
    </row>
    <row r="406">
      <c r="A406" s="29" t="inlineStr">
        <is>
          <t>GECI (GROUPE EXPERT) ABIDJAN</t>
        </is>
      </c>
      <c r="B406" s="29" t="inlineStr">
        <is>
          <t>Grande ecole BTS - finances comptabilite, gestion commerciale, informatique developpeur d'applications</t>
        </is>
      </c>
      <c r="C406" s="29" t="inlineStr">
        <is>
          <t>Prive</t>
        </is>
      </c>
      <c r="D406" s="29" t="inlineStr">
        <is>
          <t>Abidjan - Yopougon</t>
        </is>
      </c>
      <c r="E406" s="29" t="inlineStr">
        <is>
          <t>Plateau gare sotra cité administrative/yop annaneraie carefou oasis/angre derrière le 22eme arrondissement</t>
        </is>
      </c>
      <c r="F406" s="29" t="inlineStr">
        <is>
          <t>+225 07 08 23 81 31</t>
        </is>
      </c>
      <c r="G406" s="29" t="inlineStr">
        <is>
          <t>+225 05 04 48 88 84</t>
        </is>
      </c>
      <c r="H406" s="29" t="inlineStr">
        <is>
          <t>+225 07 08 23 81 31</t>
        </is>
      </c>
      <c r="I406" s="29" t="inlineStr">
        <is>
          <t>akossguessan@yahoo.fr</t>
        </is>
      </c>
      <c r="J406" s="29" t="inlineStr">
        <is>
          <t>https://facebook:geciplateau</t>
        </is>
      </c>
      <c r="K406" s="29" t="inlineStr">
        <is>
          <t>Directeur des Etudes</t>
        </is>
      </c>
      <c r="L406" s="30" t="inlineStr">
        <is>
          <t>Haute</t>
        </is>
      </c>
      <c r="M406" s="29" t="inlineStr">
        <is>
          <t>MESRS - liste officielle grandes ecoles</t>
        </is>
      </c>
      <c r="N406" s="29" t="inlineStr">
        <is>
          <t>gratuite</t>
        </is>
      </c>
      <c r="O406" s="14" t="inlineStr">
        <is>
          <t>a verifier</t>
        </is>
      </c>
      <c r="P406" s="29" t="inlineStr">
        <is>
          <t>commerce</t>
        </is>
      </c>
    </row>
    <row r="407">
      <c r="A407" s="29" t="inlineStr">
        <is>
          <t>GECI GROUPE EXPERT ANNEXE YOPOUGON</t>
        </is>
      </c>
      <c r="B407" s="29" t="inlineStr">
        <is>
          <t>Grande ecole BTS - finances comptabilite, gestion commerciale, informatique developpeur d'applications</t>
        </is>
      </c>
      <c r="C407" s="29" t="inlineStr">
        <is>
          <t>Prive</t>
        </is>
      </c>
      <c r="D407" s="29" t="inlineStr">
        <is>
          <t>Abidjan - Yopougon</t>
        </is>
      </c>
      <c r="E407" s="29" t="inlineStr">
        <is>
          <t>CARREFOUR OASIS EN FACE MOSQUEE</t>
        </is>
      </c>
      <c r="F407" s="29" t="inlineStr">
        <is>
          <t>+225 27 20 00 77 04</t>
        </is>
      </c>
      <c r="G407" s="29" t="inlineStr"/>
      <c r="H407" s="29" t="inlineStr"/>
      <c r="I407" s="29" t="inlineStr"/>
      <c r="J407" s="29" t="inlineStr"/>
      <c r="K407" s="29" t="inlineStr">
        <is>
          <t>Directeur des Etudes</t>
        </is>
      </c>
      <c r="L407" s="30" t="inlineStr">
        <is>
          <t>Haute</t>
        </is>
      </c>
      <c r="M407" s="29" t="inlineStr">
        <is>
          <t>MESRS - liste officielle grandes ecoles</t>
        </is>
      </c>
      <c r="N407" s="29" t="inlineStr"/>
      <c r="O407" s="31" t="inlineStr">
        <is>
          <t>sans email</t>
        </is>
      </c>
      <c r="P407" s="29" t="inlineStr">
        <is>
          <t>commerce</t>
        </is>
      </c>
    </row>
    <row r="408">
      <c r="A408" s="29" t="inlineStr">
        <is>
          <t>GENERAL CONSEIL ET SERVICE YOPOUGON (GECOS YOPOUGON) (GECOS-FORMATION)</t>
        </is>
      </c>
      <c r="B408" s="29" t="inlineStr">
        <is>
          <t>Grande ecole BTS/Licence - finances comptabilite, gestion commerciale, informatique developpeur d'applications</t>
        </is>
      </c>
      <c r="C408" s="29" t="inlineStr">
        <is>
          <t>Prive</t>
        </is>
      </c>
      <c r="D408" s="29" t="inlineStr">
        <is>
          <t>Abidjan - Yopougon</t>
        </is>
      </c>
      <c r="E408" s="29" t="inlineStr">
        <is>
          <t>YOPOUGON MILLIONNAIRE</t>
        </is>
      </c>
      <c r="F408" s="29" t="inlineStr">
        <is>
          <t>+225 27 23 48 56 90</t>
        </is>
      </c>
      <c r="G408" s="29" t="inlineStr">
        <is>
          <t>+225 27 23 48 56 89</t>
        </is>
      </c>
      <c r="H408" s="29" t="inlineStr"/>
      <c r="I408" s="29" t="inlineStr">
        <is>
          <t>morabysam2014@gmail.com</t>
        </is>
      </c>
      <c r="J408" s="29" t="inlineStr">
        <is>
          <t>http://www.gecos.ci</t>
        </is>
      </c>
      <c r="K408" s="29" t="inlineStr">
        <is>
          <t>Directeur des Etudes</t>
        </is>
      </c>
      <c r="L408" s="30" t="inlineStr">
        <is>
          <t>Haute</t>
        </is>
      </c>
      <c r="M408" s="29" t="inlineStr">
        <is>
          <t>MESRS - liste officielle grandes ecoles</t>
        </is>
      </c>
      <c r="N408" s="29" t="inlineStr">
        <is>
          <t>gratuite</t>
        </is>
      </c>
      <c r="O408" s="14" t="inlineStr">
        <is>
          <t>a verifier</t>
        </is>
      </c>
      <c r="P408" s="29" t="inlineStr">
        <is>
          <t>commerce</t>
        </is>
      </c>
    </row>
    <row r="409">
      <c r="A409" s="29" t="inlineStr">
        <is>
          <t>GRAND GROUPE ELITES VISION (2GEV)</t>
        </is>
      </c>
      <c r="B409" s="29" t="inlineStr">
        <is>
          <t>Grande ecole BTS - finances comptabilite, gestion commerciale, informatique developpeur d'applications</t>
        </is>
      </c>
      <c r="C409" s="29" t="inlineStr">
        <is>
          <t>Prive</t>
        </is>
      </c>
      <c r="D409" s="29" t="inlineStr">
        <is>
          <t>Abidjan - Yopougon</t>
        </is>
      </c>
      <c r="E409" s="29" t="inlineStr">
        <is>
          <t>Marcory konankro non loin du commissariat du 9e arrondissement</t>
        </is>
      </c>
      <c r="F409" s="29" t="inlineStr">
        <is>
          <t>+225 07 49 00 87 00</t>
        </is>
      </c>
      <c r="G409" s="29" t="inlineStr">
        <is>
          <t>+225 07 09 90 35 88</t>
        </is>
      </c>
      <c r="H409" s="29" t="inlineStr">
        <is>
          <t>+225 07 49 00 87 00</t>
        </is>
      </c>
      <c r="I409" s="29" t="inlineStr"/>
      <c r="J409" s="29" t="inlineStr"/>
      <c r="K409" s="29" t="inlineStr">
        <is>
          <t>Directeur des Etudes</t>
        </is>
      </c>
      <c r="L409" s="30" t="inlineStr">
        <is>
          <t>Haute</t>
        </is>
      </c>
      <c r="M409" s="29" t="inlineStr">
        <is>
          <t>MESRS - liste officielle grandes ecoles</t>
        </is>
      </c>
      <c r="N409" s="29" t="inlineStr"/>
      <c r="O409" s="31" t="inlineStr">
        <is>
          <t>sans email</t>
        </is>
      </c>
      <c r="P409" s="29" t="inlineStr">
        <is>
          <t>commerce</t>
        </is>
      </c>
    </row>
    <row r="410">
      <c r="A410" s="29" t="inlineStr">
        <is>
          <t>GROUPE DE FORMATION EN COMMERCE ET GESTION DES ENTREPRISES YOPOUGON (GROUPE CGE YOPOUGON)</t>
        </is>
      </c>
      <c r="B410" s="29" t="inlineStr">
        <is>
          <t>Grande ecole BTS - assistanat de direction, agriculture tropicale, finances comptabilite</t>
        </is>
      </c>
      <c r="C410" s="29" t="inlineStr">
        <is>
          <t>Prive</t>
        </is>
      </c>
      <c r="D410" s="29" t="inlineStr">
        <is>
          <t>Abidjan - Yopougon</t>
        </is>
      </c>
      <c r="E410" s="29" t="inlineStr">
        <is>
          <t>YOPOUGON TOIT-ROUGE (JEAN PAUL 2) CARREFOUR GOMPCI FACE A L'ANCIEN DEPOT PHARMACEUTIQUE DPCI</t>
        </is>
      </c>
      <c r="F410" s="29" t="inlineStr">
        <is>
          <t>+225 27 21 77 34 80</t>
        </is>
      </c>
      <c r="G410" s="29" t="inlineStr">
        <is>
          <t>+225 05 46 64 88 23</t>
        </is>
      </c>
      <c r="H410" s="29" t="inlineStr">
        <is>
          <t>+225 05 46 64 88 23</t>
        </is>
      </c>
      <c r="I410" s="29" t="inlineStr">
        <is>
          <t>groupecge@yahoo.fr</t>
        </is>
      </c>
      <c r="J410" s="29" t="inlineStr">
        <is>
          <t>https://www.groupe-cge.org</t>
        </is>
      </c>
      <c r="K410" s="29" t="inlineStr">
        <is>
          <t>Directeur des Etudes</t>
        </is>
      </c>
      <c r="L410" s="30" t="inlineStr">
        <is>
          <t>Haute</t>
        </is>
      </c>
      <c r="M410" s="29" t="inlineStr">
        <is>
          <t>MESRS - liste officielle grandes ecoles</t>
        </is>
      </c>
      <c r="N410" s="29" t="inlineStr">
        <is>
          <t>gratuite</t>
        </is>
      </c>
      <c r="O410" s="14" t="inlineStr">
        <is>
          <t>a verifier</t>
        </is>
      </c>
      <c r="P410" s="29" t="inlineStr">
        <is>
          <t>commerce</t>
        </is>
      </c>
    </row>
    <row r="411">
      <c r="A411" s="29" t="inlineStr">
        <is>
          <t>GROUPE ECOLE DE TECHNOLOGIE ET DE COMMERCE YOPOUGON (GROUPE ETEC YOPOUGON)</t>
        </is>
      </c>
      <c r="B411" s="29" t="inlineStr">
        <is>
          <t>Grande ecole BTS - finances comptabilite, genie civil, gestion commerciale</t>
        </is>
      </c>
      <c r="C411" s="29" t="inlineStr">
        <is>
          <t>Prive</t>
        </is>
      </c>
      <c r="D411" s="29" t="inlineStr">
        <is>
          <t>Abidjan - Yopougon</t>
        </is>
      </c>
      <c r="E411" s="29" t="inlineStr">
        <is>
          <t>Yopougon bel air carefour Ciné cool au café.</t>
        </is>
      </c>
      <c r="F411" s="29" t="inlineStr">
        <is>
          <t>+225 07 57 78 44 81</t>
        </is>
      </c>
      <c r="G411" s="29" t="inlineStr">
        <is>
          <t>+225 01 42 89 18 84</t>
        </is>
      </c>
      <c r="H411" s="29" t="inlineStr">
        <is>
          <t>+225 07 57 78 44 81</t>
        </is>
      </c>
      <c r="I411" s="29" t="inlineStr"/>
      <c r="J411" s="29" t="inlineStr"/>
      <c r="K411" s="29" t="inlineStr">
        <is>
          <t>Directeur des Etudes</t>
        </is>
      </c>
      <c r="L411" s="30" t="inlineStr">
        <is>
          <t>Haute</t>
        </is>
      </c>
      <c r="M411" s="29" t="inlineStr">
        <is>
          <t>MESRS - liste officielle grandes ecoles</t>
        </is>
      </c>
      <c r="N411" s="29" t="inlineStr"/>
      <c r="O411" s="31" t="inlineStr">
        <is>
          <t>sans email</t>
        </is>
      </c>
      <c r="P411" s="29" t="inlineStr">
        <is>
          <t>numerique</t>
        </is>
      </c>
    </row>
    <row r="412">
      <c r="A412" s="29" t="inlineStr">
        <is>
          <t>GROUPE ECOLE DES PROFESSIONS D'AVENIR (GROUPE EPRA)</t>
        </is>
      </c>
      <c r="B412" s="29" t="inlineStr">
        <is>
          <t>Grande ecole BTS - assistanat de direction, finances comptabilite, gestion commerciale</t>
        </is>
      </c>
      <c r="C412" s="29" t="inlineStr">
        <is>
          <t>Prive</t>
        </is>
      </c>
      <c r="D412" s="29" t="inlineStr">
        <is>
          <t>Abidjan - Yopougon</t>
        </is>
      </c>
      <c r="E412" s="29" t="inlineStr">
        <is>
          <t>YOPOUGON TOUT ROUGE, CARREFOUR AWA À 100 MÈTRES DE LA PHARMACIE EDEN.</t>
        </is>
      </c>
      <c r="F412" s="29" t="inlineStr"/>
      <c r="G412" s="29" t="inlineStr"/>
      <c r="H412" s="29" t="inlineStr"/>
      <c r="I412" s="29" t="inlineStr">
        <is>
          <t>groupepra@gmail.com</t>
        </is>
      </c>
      <c r="J412" s="29" t="inlineStr">
        <is>
          <t>https://www.groupepra.net.net</t>
        </is>
      </c>
      <c r="K412" s="29" t="inlineStr">
        <is>
          <t>Directeur des Etudes</t>
        </is>
      </c>
      <c r="L412" s="30" t="inlineStr">
        <is>
          <t>Haute</t>
        </is>
      </c>
      <c r="M412" s="29" t="inlineStr">
        <is>
          <t>MESRS - liste officielle grandes ecoles</t>
        </is>
      </c>
      <c r="N412" s="29" t="inlineStr">
        <is>
          <t>gratuite</t>
        </is>
      </c>
      <c r="O412" s="14" t="inlineStr">
        <is>
          <t>a verifier</t>
        </is>
      </c>
      <c r="P412" s="29" t="inlineStr">
        <is>
          <t>commerce</t>
        </is>
      </c>
    </row>
    <row r="413">
      <c r="A413" s="29" t="inlineStr">
        <is>
          <t>GROUPE ECOLE ENTREPRISE EMPLOI YOPOUGON (GROUPE 3E YOPOUGON)</t>
        </is>
      </c>
      <c r="B413" s="29" t="inlineStr">
        <is>
          <t>Grande ecole BTS - assistanat de direction, finances comptabilite, gestion commerciale</t>
        </is>
      </c>
      <c r="C413" s="29" t="inlineStr">
        <is>
          <t>Prive</t>
        </is>
      </c>
      <c r="D413" s="29" t="inlineStr">
        <is>
          <t>Abidjan - Yopougon</t>
        </is>
      </c>
      <c r="E413" s="29" t="inlineStr">
        <is>
          <t>Yopougon 1er pont carrefour MANGOU, Immeuble Rose</t>
        </is>
      </c>
      <c r="F413" s="29" t="inlineStr">
        <is>
          <t>+225 07 09 30 60 20</t>
        </is>
      </c>
      <c r="G413" s="29" t="inlineStr">
        <is>
          <t>+225 05 56 42 75 47</t>
        </is>
      </c>
      <c r="H413" s="29" t="inlineStr">
        <is>
          <t>+225 07 09 30 60 20</t>
        </is>
      </c>
      <c r="I413" s="29" t="inlineStr">
        <is>
          <t>groupe3e.afrique@gmail.com</t>
        </is>
      </c>
      <c r="J413" s="29" t="inlineStr"/>
      <c r="K413" s="29" t="inlineStr">
        <is>
          <t>Directeur des Etudes</t>
        </is>
      </c>
      <c r="L413" s="30" t="inlineStr">
        <is>
          <t>Haute</t>
        </is>
      </c>
      <c r="M413" s="29" t="inlineStr">
        <is>
          <t>MESRS - liste officielle grandes ecoles</t>
        </is>
      </c>
      <c r="N413" s="29" t="inlineStr">
        <is>
          <t>gratuite</t>
        </is>
      </c>
      <c r="O413" s="14" t="inlineStr">
        <is>
          <t>a verifier</t>
        </is>
      </c>
      <c r="P413" s="29" t="inlineStr">
        <is>
          <t>commerce</t>
        </is>
      </c>
    </row>
    <row r="414">
      <c r="A414" s="29" t="inlineStr">
        <is>
          <t>GROUPE ECOLE SUPERIEURE INTERNATIONALE DE LA FORMATION PROFESSIONNELLE (GROUPE ESIFOP)</t>
        </is>
      </c>
      <c r="B414" s="29" t="inlineStr">
        <is>
          <t>Grande ecole BTS - assistanat de direction, finances comptabilite, gestion commerciale</t>
        </is>
      </c>
      <c r="C414" s="29" t="inlineStr">
        <is>
          <t>Prive</t>
        </is>
      </c>
      <c r="D414" s="29" t="inlineStr">
        <is>
          <t>Abidjan - Yopougon</t>
        </is>
      </c>
      <c r="E414" s="29" t="inlineStr">
        <is>
          <t>ANDOKOI BANCO RESIDENTIEL VILLA 42</t>
        </is>
      </c>
      <c r="F414" s="29" t="inlineStr">
        <is>
          <t>+225 05 05 92 89 29</t>
        </is>
      </c>
      <c r="G414" s="29" t="inlineStr">
        <is>
          <t>+225 07 08 28 28 16</t>
        </is>
      </c>
      <c r="H414" s="29" t="inlineStr">
        <is>
          <t>+225 05 05 92 89 29</t>
        </is>
      </c>
      <c r="I414" s="29" t="inlineStr"/>
      <c r="J414" s="29" t="inlineStr"/>
      <c r="K414" s="29" t="inlineStr">
        <is>
          <t>Directeur des Etudes</t>
        </is>
      </c>
      <c r="L414" s="30" t="inlineStr">
        <is>
          <t>Haute</t>
        </is>
      </c>
      <c r="M414" s="29" t="inlineStr">
        <is>
          <t>MESRS - liste officielle grandes ecoles</t>
        </is>
      </c>
      <c r="N414" s="29" t="inlineStr"/>
      <c r="O414" s="31" t="inlineStr">
        <is>
          <t>sans email</t>
        </is>
      </c>
      <c r="P414" s="29" t="inlineStr">
        <is>
          <t>commerce</t>
        </is>
      </c>
    </row>
    <row r="415">
      <c r="A415" s="29" t="inlineStr">
        <is>
          <t>GROUPE ITA-INGENIERIE SA ANTENNE YOPOUGON (G2I YOPOUGON)</t>
        </is>
      </c>
      <c r="B415" s="29" t="inlineStr">
        <is>
          <t>Grande ecole BTS - finances comptabilite, gestion commerciale, informatique developpeur d'applications</t>
        </is>
      </c>
      <c r="C415" s="29" t="inlineStr">
        <is>
          <t>Prive</t>
        </is>
      </c>
      <c r="D415" s="29" t="inlineStr">
        <is>
          <t>Abidjan - Yopougon</t>
        </is>
      </c>
      <c r="E415" s="29" t="inlineStr">
        <is>
          <t>Cité Novalim Port-Bouet 2 jouxtant la Mosquée Koudouss</t>
        </is>
      </c>
      <c r="F415" s="29" t="inlineStr">
        <is>
          <t>+225 07 08 11 86 87</t>
        </is>
      </c>
      <c r="G415" s="29" t="inlineStr">
        <is>
          <t>+225 07 57 17 74 51</t>
        </is>
      </c>
      <c r="H415" s="29" t="inlineStr">
        <is>
          <t>+225 07 08 11 86 87</t>
        </is>
      </c>
      <c r="I415" s="29" t="inlineStr">
        <is>
          <t>coolpetenapy@gmail.com</t>
        </is>
      </c>
      <c r="J415" s="29" t="inlineStr">
        <is>
          <t>https://www.ita-education.ci</t>
        </is>
      </c>
      <c r="K415" s="29" t="inlineStr">
        <is>
          <t>Directeur des Etudes</t>
        </is>
      </c>
      <c r="L415" s="30" t="inlineStr">
        <is>
          <t>Haute</t>
        </is>
      </c>
      <c r="M415" s="29" t="inlineStr">
        <is>
          <t>MESRS - liste officielle grandes ecoles</t>
        </is>
      </c>
      <c r="N415" s="29" t="inlineStr">
        <is>
          <t>gratuite</t>
        </is>
      </c>
      <c r="O415" s="14" t="inlineStr">
        <is>
          <t>a verifier</t>
        </is>
      </c>
      <c r="P415" s="29" t="inlineStr">
        <is>
          <t>commerce</t>
        </is>
      </c>
    </row>
    <row r="416">
      <c r="A416" s="29" t="inlineStr">
        <is>
          <t>GROUPE ITA-INGENIERIE SA YOPOUGON (G2I YOPOUGON)</t>
        </is>
      </c>
      <c r="B416" s="29" t="inlineStr">
        <is>
          <t>Grande ecole BTS - electrotechnique, finances comptabilite, gestion commerciale</t>
        </is>
      </c>
      <c r="C416" s="29" t="inlineStr">
        <is>
          <t>Prive</t>
        </is>
      </c>
      <c r="D416" s="29" t="inlineStr">
        <is>
          <t>Abidjan - Yopougon</t>
        </is>
      </c>
      <c r="E416" s="29" t="inlineStr">
        <is>
          <t>Cité Novalim Port-Bouet 2 jouxtant la Mosquée Koudouss</t>
        </is>
      </c>
      <c r="F416" s="29" t="inlineStr">
        <is>
          <t>+225 07 08 11 86 87</t>
        </is>
      </c>
      <c r="G416" s="29" t="inlineStr">
        <is>
          <t>+225 07 57 17 74 51</t>
        </is>
      </c>
      <c r="H416" s="29" t="inlineStr">
        <is>
          <t>+225 07 08 11 86 87</t>
        </is>
      </c>
      <c r="I416" s="29" t="inlineStr"/>
      <c r="J416" s="29" t="inlineStr"/>
      <c r="K416" s="29" t="inlineStr">
        <is>
          <t>Directeur des Etudes</t>
        </is>
      </c>
      <c r="L416" s="30" t="inlineStr">
        <is>
          <t>Haute</t>
        </is>
      </c>
      <c r="M416" s="29" t="inlineStr">
        <is>
          <t>MESRS - liste officielle grandes ecoles</t>
        </is>
      </c>
      <c r="N416" s="29" t="inlineStr"/>
      <c r="O416" s="31" t="inlineStr">
        <is>
          <t>sans email</t>
        </is>
      </c>
      <c r="P416" s="29" t="inlineStr">
        <is>
          <t>commerce</t>
        </is>
      </c>
    </row>
    <row r="417">
      <c r="A417" s="29" t="inlineStr">
        <is>
          <t>GROUPE IVOIRE ACADEMIE (GIA)</t>
        </is>
      </c>
      <c r="B417" s="29" t="inlineStr">
        <is>
          <t>Grande ecole BTS - finances comptabilite, gestion commerciale, informatique developpeur d'applications</t>
        </is>
      </c>
      <c r="C417" s="29" t="inlineStr">
        <is>
          <t>Prive</t>
        </is>
      </c>
      <c r="D417" s="29" t="inlineStr">
        <is>
          <t>Abidjan - Yopougon</t>
        </is>
      </c>
      <c r="E417" s="29" t="inlineStr">
        <is>
          <t>Yopougon Niangon, entre PétroIvoire et Carrefour Obama.</t>
        </is>
      </c>
      <c r="F417" s="29" t="inlineStr">
        <is>
          <t>+225 27 22 41 73 90</t>
        </is>
      </c>
      <c r="G417" s="29" t="inlineStr"/>
      <c r="H417" s="29" t="inlineStr"/>
      <c r="I417" s="29" t="inlineStr">
        <is>
          <t>ivoire.academie@yahoo.com</t>
        </is>
      </c>
      <c r="J417" s="29" t="inlineStr">
        <is>
          <t>http://www.groupeivoireacademie.com</t>
        </is>
      </c>
      <c r="K417" s="29" t="inlineStr">
        <is>
          <t>Directeur des Etudes</t>
        </is>
      </c>
      <c r="L417" s="30" t="inlineStr">
        <is>
          <t>Haute</t>
        </is>
      </c>
      <c r="M417" s="29" t="inlineStr">
        <is>
          <t>MESRS - liste officielle grandes ecoles</t>
        </is>
      </c>
      <c r="N417" s="29" t="inlineStr">
        <is>
          <t>gratuite</t>
        </is>
      </c>
      <c r="O417" s="14" t="inlineStr">
        <is>
          <t>a verifier</t>
        </is>
      </c>
      <c r="P417" s="29" t="inlineStr">
        <is>
          <t>commerce</t>
        </is>
      </c>
    </row>
    <row r="418">
      <c r="A418" s="29" t="inlineStr">
        <is>
          <t>GROUPE ONYX-EXCELLENCE YOPOUGON (GOEY)</t>
        </is>
      </c>
      <c r="B418" s="29" t="inlineStr">
        <is>
          <t>Grande ecole BTS - assistanat de direction, agriculture tropicale, finances comptabilite</t>
        </is>
      </c>
      <c r="C418" s="29" t="inlineStr">
        <is>
          <t>Prive</t>
        </is>
      </c>
      <c r="D418" s="29" t="inlineStr">
        <is>
          <t>Abidjan - Yopougon</t>
        </is>
      </c>
      <c r="E418" s="29" t="inlineStr">
        <is>
          <t>YOPOUGON SABLE près de la pharmacie Paloma</t>
        </is>
      </c>
      <c r="F418" s="29" t="inlineStr">
        <is>
          <t>+225 27 23 00 07 99</t>
        </is>
      </c>
      <c r="G418" s="29" t="inlineStr"/>
      <c r="H418" s="29" t="inlineStr"/>
      <c r="I418" s="29" t="inlineStr">
        <is>
          <t>ftahoue@yahoo.fr</t>
        </is>
      </c>
      <c r="J418" s="29" t="inlineStr">
        <is>
          <t>https://Www.groupeonyxexcellence.org</t>
        </is>
      </c>
      <c r="K418" s="29" t="inlineStr">
        <is>
          <t>Directeur des Etudes</t>
        </is>
      </c>
      <c r="L418" s="30" t="inlineStr">
        <is>
          <t>Haute</t>
        </is>
      </c>
      <c r="M418" s="29" t="inlineStr">
        <is>
          <t>MESRS - liste officielle grandes ecoles</t>
        </is>
      </c>
      <c r="N418" s="29" t="inlineStr">
        <is>
          <t>gratuite</t>
        </is>
      </c>
      <c r="O418" s="14" t="inlineStr">
        <is>
          <t>a verifier</t>
        </is>
      </c>
      <c r="P418" s="29" t="inlineStr">
        <is>
          <t>commerce</t>
        </is>
      </c>
    </row>
    <row r="419">
      <c r="A419" s="29" t="inlineStr">
        <is>
          <t>GROUPE PIGIER -CI YOPOUGON</t>
        </is>
      </c>
      <c r="B419" s="29" t="inlineStr">
        <is>
          <t>Grande ecole BTS - assistanat de direction, finances comptabilite, gestion commerciale</t>
        </is>
      </c>
      <c r="C419" s="29" t="inlineStr">
        <is>
          <t>Prive</t>
        </is>
      </c>
      <c r="D419" s="29" t="inlineStr">
        <is>
          <t>Abidjan - Yopougon</t>
        </is>
      </c>
      <c r="E419" s="29" t="inlineStr">
        <is>
          <t>Yopougon non loin de la cité Mami Adjoua</t>
        </is>
      </c>
      <c r="F419" s="29" t="inlineStr"/>
      <c r="G419" s="29" t="inlineStr"/>
      <c r="H419" s="29" t="inlineStr"/>
      <c r="I419" s="29" t="inlineStr">
        <is>
          <t>pigierci@pigierci.com</t>
        </is>
      </c>
      <c r="J419" s="29" t="inlineStr">
        <is>
          <t>https://www.pigierci.com</t>
        </is>
      </c>
      <c r="K419" s="29" t="inlineStr">
        <is>
          <t>Directeur des Etudes</t>
        </is>
      </c>
      <c r="L419" s="30" t="inlineStr">
        <is>
          <t>Haute</t>
        </is>
      </c>
      <c r="M419" s="29" t="inlineStr">
        <is>
          <t>MESRS - liste officielle grandes ecoles</t>
        </is>
      </c>
      <c r="N419" s="29" t="inlineStr">
        <is>
          <t>domaine propre</t>
        </is>
      </c>
      <c r="O419" s="14" t="inlineStr">
        <is>
          <t>a verifier</t>
        </is>
      </c>
      <c r="P419" s="29" t="inlineStr">
        <is>
          <t>commerce</t>
        </is>
      </c>
    </row>
    <row r="420">
      <c r="A420" s="29" t="inlineStr">
        <is>
          <t>GROUPE SUCCES FORMATION (GSF)</t>
        </is>
      </c>
      <c r="B420" s="29" t="inlineStr">
        <is>
          <t>Grande ecole BTS - assistanat de direction, electrotechnique, finances comptabilite</t>
        </is>
      </c>
      <c r="C420" s="29" t="inlineStr">
        <is>
          <t>Prive</t>
        </is>
      </c>
      <c r="D420" s="29" t="inlineStr">
        <is>
          <t>Abidjan - Yopougon</t>
        </is>
      </c>
      <c r="E420" s="29" t="inlineStr"/>
      <c r="F420" s="29" t="inlineStr"/>
      <c r="G420" s="29" t="inlineStr"/>
      <c r="H420" s="29" t="inlineStr"/>
      <c r="I420" s="29" t="inlineStr">
        <is>
          <t>groupesuccesformation41@gmail.com</t>
        </is>
      </c>
      <c r="J420" s="29" t="inlineStr"/>
      <c r="K420" s="29" t="inlineStr">
        <is>
          <t>Directeur des Etudes</t>
        </is>
      </c>
      <c r="L420" s="30" t="inlineStr">
        <is>
          <t>Haute</t>
        </is>
      </c>
      <c r="M420" s="29" t="inlineStr">
        <is>
          <t>MESRS - liste officielle grandes ecoles</t>
        </is>
      </c>
      <c r="N420" s="29" t="inlineStr">
        <is>
          <t>gratuite</t>
        </is>
      </c>
      <c r="O420" s="14" t="inlineStr">
        <is>
          <t>a verifier</t>
        </is>
      </c>
      <c r="P420" s="29" t="inlineStr">
        <is>
          <t>commerce</t>
        </is>
      </c>
    </row>
    <row r="421">
      <c r="A421" s="29" t="inlineStr">
        <is>
          <t>HAUTE ETUDES DE COMMERCE ET D'ADMINISTRATION DES ENTREPRISES YOPOUGON (HEC-AD YOPOUGON)</t>
        </is>
      </c>
      <c r="B421" s="29" t="inlineStr">
        <is>
          <t>Grande ecole BTS - assistanat de direction, finances comptabilite, gestion commerciale</t>
        </is>
      </c>
      <c r="C421" s="29" t="inlineStr">
        <is>
          <t>Prive</t>
        </is>
      </c>
      <c r="D421" s="29" t="inlineStr">
        <is>
          <t>Abidjan - Yopougon</t>
        </is>
      </c>
      <c r="E421" s="29" t="inlineStr">
        <is>
          <t>Yopougon Vers la poste de toit rouge à 500m juste au carrefour Motorola</t>
        </is>
      </c>
      <c r="F421" s="29" t="inlineStr">
        <is>
          <t>+225 01 03 87 96 99</t>
        </is>
      </c>
      <c r="G421" s="29" t="inlineStr">
        <is>
          <t>+225 07 07 85 89 99</t>
        </is>
      </c>
      <c r="H421" s="29" t="inlineStr">
        <is>
          <t>+225 01 03 87 96 99</t>
        </is>
      </c>
      <c r="I421" s="29" t="inlineStr">
        <is>
          <t>hecadabidjan@gmail.com</t>
        </is>
      </c>
      <c r="J421" s="29" t="inlineStr"/>
      <c r="K421" s="29" t="inlineStr">
        <is>
          <t>Directeur des Etudes</t>
        </is>
      </c>
      <c r="L421" s="30" t="inlineStr">
        <is>
          <t>Haute</t>
        </is>
      </c>
      <c r="M421" s="29" t="inlineStr">
        <is>
          <t>MESRS - liste officielle grandes ecoles</t>
        </is>
      </c>
      <c r="N421" s="29" t="inlineStr">
        <is>
          <t>gratuite</t>
        </is>
      </c>
      <c r="O421" s="14" t="inlineStr">
        <is>
          <t>a verifier</t>
        </is>
      </c>
      <c r="P421" s="29" t="inlineStr">
        <is>
          <t>commerce</t>
        </is>
      </c>
    </row>
    <row r="422">
      <c r="A422" s="29" t="inlineStr">
        <is>
          <t>IHETT (IHETT YOPOUGON)</t>
        </is>
      </c>
      <c r="B422" s="29" t="inlineStr">
        <is>
          <t>Grande ecole BTS - assistanat de direction, agriculture tropicale, communication visuelle</t>
        </is>
      </c>
      <c r="C422" s="29" t="inlineStr">
        <is>
          <t>Prive</t>
        </is>
      </c>
      <c r="D422" s="29" t="inlineStr">
        <is>
          <t>Abidjan - Yopougon</t>
        </is>
      </c>
      <c r="E422" s="29" t="inlineStr">
        <is>
          <t>YOPOUGON KENEYA</t>
        </is>
      </c>
      <c r="F422" s="29" t="inlineStr">
        <is>
          <t>+225 27 23 00 13 86</t>
        </is>
      </c>
      <c r="G422" s="29" t="inlineStr"/>
      <c r="H422" s="29" t="inlineStr"/>
      <c r="I422" s="29" t="inlineStr">
        <is>
          <t>etep01ihett@gmail.com</t>
        </is>
      </c>
      <c r="J422" s="29" t="inlineStr">
        <is>
          <t>https://www.groupetep.org</t>
        </is>
      </c>
      <c r="K422" s="29" t="inlineStr">
        <is>
          <t>Directeur des Etudes</t>
        </is>
      </c>
      <c r="L422" s="30" t="inlineStr">
        <is>
          <t>Haute</t>
        </is>
      </c>
      <c r="M422" s="29" t="inlineStr">
        <is>
          <t>MESRS - liste officielle grandes ecoles</t>
        </is>
      </c>
      <c r="N422" s="29" t="inlineStr">
        <is>
          <t>gratuite</t>
        </is>
      </c>
      <c r="O422" s="14" t="inlineStr">
        <is>
          <t>a verifier</t>
        </is>
      </c>
      <c r="P422" s="29" t="inlineStr">
        <is>
          <t>commerce</t>
        </is>
      </c>
    </row>
    <row r="423">
      <c r="A423" s="29" t="inlineStr">
        <is>
          <t>IMCC ABIDJAN</t>
        </is>
      </c>
      <c r="B423" s="29" t="inlineStr">
        <is>
          <t>Grande ecole BTS - finances comptabilite, gestion commerciale, informatique developpeur d'applications</t>
        </is>
      </c>
      <c r="C423" s="29" t="inlineStr">
        <is>
          <t>Prive</t>
        </is>
      </c>
      <c r="D423" s="29" t="inlineStr">
        <is>
          <t>Abidjan - Yopougon</t>
        </is>
      </c>
      <c r="E423" s="29" t="inlineStr">
        <is>
          <t>Yopougon Camp militaire rond point St François</t>
        </is>
      </c>
      <c r="F423" s="29" t="inlineStr">
        <is>
          <t>+225 01 03 83 37 41</t>
        </is>
      </c>
      <c r="G423" s="29" t="inlineStr">
        <is>
          <t>+225 01 50 47 60 62</t>
        </is>
      </c>
      <c r="H423" s="29" t="inlineStr">
        <is>
          <t>+225 01 03 83 37 41</t>
        </is>
      </c>
      <c r="I423" s="29" t="inlineStr">
        <is>
          <t>m.koko52@outlook.fr</t>
        </is>
      </c>
      <c r="J423" s="29" t="inlineStr"/>
      <c r="K423" s="29" t="inlineStr">
        <is>
          <t>Directeur des Etudes</t>
        </is>
      </c>
      <c r="L423" s="30" t="inlineStr">
        <is>
          <t>Haute</t>
        </is>
      </c>
      <c r="M423" s="29" t="inlineStr">
        <is>
          <t>MESRS - liste officielle grandes ecoles</t>
        </is>
      </c>
      <c r="N423" s="29" t="inlineStr">
        <is>
          <t>gratuite</t>
        </is>
      </c>
      <c r="O423" s="14" t="inlineStr">
        <is>
          <t>a verifier</t>
        </is>
      </c>
      <c r="P423" s="29" t="inlineStr">
        <is>
          <t>commerce</t>
        </is>
      </c>
    </row>
    <row r="424">
      <c r="A424" s="29" t="inlineStr">
        <is>
          <t>INSTITU DE FORMATION AUX METIERS YOPOUGON (IMF YOPOUGON )</t>
        </is>
      </c>
      <c r="B424" s="29" t="inlineStr">
        <is>
          <t>Grande ecole BTS - assistanat de direction, agriculture tropicale, communication visuelle</t>
        </is>
      </c>
      <c r="C424" s="29" t="inlineStr">
        <is>
          <t>Prive</t>
        </is>
      </c>
      <c r="D424" s="29" t="inlineStr">
        <is>
          <t>Abidjan - Yopougon</t>
        </is>
      </c>
      <c r="E424" s="29" t="inlineStr">
        <is>
          <t>Yopougon, entre le supermarché China Mall et le feu des Sapeurs-Pompiers</t>
        </is>
      </c>
      <c r="F424" s="29" t="inlineStr"/>
      <c r="G424" s="29" t="inlineStr"/>
      <c r="H424" s="29" t="inlineStr"/>
      <c r="I424" s="29" t="inlineStr">
        <is>
          <t>imfyop225@gmail.com</t>
        </is>
      </c>
      <c r="J424" s="29" t="inlineStr">
        <is>
          <t>https://www.groupeistema.net</t>
        </is>
      </c>
      <c r="K424" s="29" t="inlineStr">
        <is>
          <t>Directeur des Etudes</t>
        </is>
      </c>
      <c r="L424" s="30" t="inlineStr">
        <is>
          <t>Haute</t>
        </is>
      </c>
      <c r="M424" s="29" t="inlineStr">
        <is>
          <t>MESRS - liste officielle grandes ecoles</t>
        </is>
      </c>
      <c r="N424" s="29" t="inlineStr">
        <is>
          <t>gratuite</t>
        </is>
      </c>
      <c r="O424" s="14" t="inlineStr">
        <is>
          <t>a verifier</t>
        </is>
      </c>
      <c r="P424" s="29" t="inlineStr">
        <is>
          <t>commerce</t>
        </is>
      </c>
    </row>
    <row r="425">
      <c r="A425" s="29" t="inlineStr">
        <is>
          <t>INSTITUT D'ENSEIGNEMENT SUPERIEUR LE CAMPUS YOPOUGON (IES-LE CAMPUS YOPOUGON)</t>
        </is>
      </c>
      <c r="B425" s="29" t="inlineStr">
        <is>
          <t>Grande ecole BTS - assistanat de direction, agriculture tropicale, electrotechnique</t>
        </is>
      </c>
      <c r="C425" s="29" t="inlineStr">
        <is>
          <t>Prive</t>
        </is>
      </c>
      <c r="D425" s="29" t="inlineStr">
        <is>
          <t>Abidjan - Yopougon</t>
        </is>
      </c>
      <c r="E425" s="29" t="inlineStr">
        <is>
          <t>Quartier Millionnaire, derrière l’Institut des Aveugles après la pharmacie du millionnaire à 150 mètres à gauche.</t>
        </is>
      </c>
      <c r="F425" s="29" t="inlineStr">
        <is>
          <t>+225 05 02 04 43 72</t>
        </is>
      </c>
      <c r="G425" s="29" t="inlineStr">
        <is>
          <t>+225 07 57 92 04 98</t>
        </is>
      </c>
      <c r="H425" s="29" t="inlineStr">
        <is>
          <t>+225 05 02 04 43 72</t>
        </is>
      </c>
      <c r="I425" s="29" t="inlineStr"/>
      <c r="J425" s="29" t="inlineStr"/>
      <c r="K425" s="29" t="inlineStr">
        <is>
          <t>Directeur des Etudes</t>
        </is>
      </c>
      <c r="L425" s="30" t="inlineStr">
        <is>
          <t>Haute</t>
        </is>
      </c>
      <c r="M425" s="29" t="inlineStr">
        <is>
          <t>MESRS - liste officielle grandes ecoles</t>
        </is>
      </c>
      <c r="N425" s="29" t="inlineStr"/>
      <c r="O425" s="31" t="inlineStr">
        <is>
          <t>sans email</t>
        </is>
      </c>
      <c r="P425" s="29" t="inlineStr">
        <is>
          <t>commerce</t>
        </is>
      </c>
    </row>
    <row r="426">
      <c r="A426" s="29" t="inlineStr">
        <is>
          <t>INSTITUT D'ENSEIGNEMENT SUPERIEUR OFFOUMOU YOPOUGON (IESO YOPOUGON)</t>
        </is>
      </c>
      <c r="B426" s="29" t="inlineStr">
        <is>
          <t>Grande ecole BTS - assistanat de direction, agriculture tropicale, finances comptabilite</t>
        </is>
      </c>
      <c r="C426" s="29" t="inlineStr">
        <is>
          <t>Prive</t>
        </is>
      </c>
      <c r="D426" s="29" t="inlineStr">
        <is>
          <t>Abidjan - Yopougon</t>
        </is>
      </c>
      <c r="E426" s="29" t="inlineStr">
        <is>
          <t>YOPOUGON TOITS ROUGES, NON LOIN DE LA LONACI, EN FACE DE LA COOPEC TOITS ROUGES</t>
        </is>
      </c>
      <c r="F426" s="29" t="inlineStr">
        <is>
          <t>+225 27 23 45 37 94</t>
        </is>
      </c>
      <c r="G426" s="29" t="inlineStr">
        <is>
          <t>+225 07 08 89 47 83</t>
        </is>
      </c>
      <c r="H426" s="29" t="inlineStr">
        <is>
          <t>+225 07 08 89 47 83</t>
        </is>
      </c>
      <c r="I426" s="29" t="inlineStr">
        <is>
          <t>iesoyopougon@gmail.com</t>
        </is>
      </c>
      <c r="J426" s="29" t="inlineStr"/>
      <c r="K426" s="29" t="inlineStr">
        <is>
          <t>Directeur des Etudes</t>
        </is>
      </c>
      <c r="L426" s="30" t="inlineStr">
        <is>
          <t>Haute</t>
        </is>
      </c>
      <c r="M426" s="29" t="inlineStr">
        <is>
          <t>MESRS - liste officielle grandes ecoles</t>
        </is>
      </c>
      <c r="N426" s="29" t="inlineStr">
        <is>
          <t>gratuite</t>
        </is>
      </c>
      <c r="O426" s="14" t="inlineStr">
        <is>
          <t>a verifier</t>
        </is>
      </c>
      <c r="P426" s="29" t="inlineStr">
        <is>
          <t>commerce</t>
        </is>
      </c>
    </row>
    <row r="427">
      <c r="A427" s="29" t="inlineStr">
        <is>
          <t>INSTITUT DE FORMATION DOUMBIA TOUMANY MUHAMMAD (IF-DTM)</t>
        </is>
      </c>
      <c r="B427" s="29" t="inlineStr">
        <is>
          <t>Grande ecole BTS - assistanat de direction, electrotechnique, finances comptabilite</t>
        </is>
      </c>
      <c r="C427" s="29" t="inlineStr">
        <is>
          <t>Prive</t>
        </is>
      </c>
      <c r="D427" s="29" t="inlineStr">
        <is>
          <t>Abidjan - Yopougon</t>
        </is>
      </c>
      <c r="E427" s="29" t="inlineStr">
        <is>
          <t>ABIDJAN YOPOUGON KENEYA, Immeuble MTN, 2e étage, face la pharmacie KENEYA</t>
        </is>
      </c>
      <c r="F427" s="29" t="inlineStr">
        <is>
          <t>+225 25 23 01 91 19</t>
        </is>
      </c>
      <c r="G427" s="29" t="inlineStr">
        <is>
          <t>+225 07 07 60 14 39</t>
        </is>
      </c>
      <c r="H427" s="29" t="inlineStr">
        <is>
          <t>+225 07 07 60 14 39</t>
        </is>
      </c>
      <c r="I427" s="29" t="inlineStr">
        <is>
          <t>if-dtm@gmail.com</t>
        </is>
      </c>
      <c r="J427" s="29" t="inlineStr">
        <is>
          <t>https://www.if-dtm.com</t>
        </is>
      </c>
      <c r="K427" s="29" t="inlineStr">
        <is>
          <t>Directeur des Etudes</t>
        </is>
      </c>
      <c r="L427" s="30" t="inlineStr">
        <is>
          <t>Haute</t>
        </is>
      </c>
      <c r="M427" s="29" t="inlineStr">
        <is>
          <t>MESRS - liste officielle grandes ecoles</t>
        </is>
      </c>
      <c r="N427" s="29" t="inlineStr">
        <is>
          <t>gratuite</t>
        </is>
      </c>
      <c r="O427" s="14" t="inlineStr">
        <is>
          <t>a verifier</t>
        </is>
      </c>
      <c r="P427" s="29" t="inlineStr">
        <is>
          <t>commerce</t>
        </is>
      </c>
    </row>
    <row r="428">
      <c r="A428" s="29" t="inlineStr">
        <is>
          <t>INSTITUT DE FORMATION ET D'ENSEIGNEMENT SUPERIEUR (IFES)</t>
        </is>
      </c>
      <c r="B428" s="29" t="inlineStr">
        <is>
          <t>Grande ecole BTS - finances comptabilite, gestion commerciale, informatique developpeur d'applications</t>
        </is>
      </c>
      <c r="C428" s="29" t="inlineStr">
        <is>
          <t>Prive</t>
        </is>
      </c>
      <c r="D428" s="29" t="inlineStr">
        <is>
          <t>Abidjan - Yopougon</t>
        </is>
      </c>
      <c r="E428" s="29" t="inlineStr">
        <is>
          <t>YOPOUGON Toit Rouge</t>
        </is>
      </c>
      <c r="F428" s="29" t="inlineStr">
        <is>
          <t>+225 07 09 10 93 38</t>
        </is>
      </c>
      <c r="G428" s="29" t="inlineStr">
        <is>
          <t>+225 07 07 69 09 46</t>
        </is>
      </c>
      <c r="H428" s="29" t="inlineStr">
        <is>
          <t>+225 07 09 10 93 38</t>
        </is>
      </c>
      <c r="I428" s="29" t="inlineStr">
        <is>
          <t>ifesabidjan@gmail.com</t>
        </is>
      </c>
      <c r="J428" s="29" t="inlineStr"/>
      <c r="K428" s="29" t="inlineStr">
        <is>
          <t>Directeur des Etudes</t>
        </is>
      </c>
      <c r="L428" s="30" t="inlineStr">
        <is>
          <t>Haute</t>
        </is>
      </c>
      <c r="M428" s="29" t="inlineStr">
        <is>
          <t>MESRS - liste officielle grandes ecoles</t>
        </is>
      </c>
      <c r="N428" s="29" t="inlineStr">
        <is>
          <t>gratuite</t>
        </is>
      </c>
      <c r="O428" s="14" t="inlineStr">
        <is>
          <t>a verifier</t>
        </is>
      </c>
      <c r="P428" s="29" t="inlineStr">
        <is>
          <t>commerce</t>
        </is>
      </c>
    </row>
    <row r="429">
      <c r="A429" s="29" t="inlineStr">
        <is>
          <t>INSTITUT DE FORMATION SAINTE MARIE AZITO (IFSM AZITO)</t>
        </is>
      </c>
      <c r="B429" s="29" t="inlineStr">
        <is>
          <t>Grande ecole BTS - moteur, agriculture tropicale, electrotechnique</t>
        </is>
      </c>
      <c r="C429" s="29" t="inlineStr">
        <is>
          <t>Prive</t>
        </is>
      </c>
      <c r="D429" s="29" t="inlineStr">
        <is>
          <t>Abidjan - Yopougon</t>
        </is>
      </c>
      <c r="E429" s="29" t="inlineStr">
        <is>
          <t>IFSM YOPOUGON AZITO, Yopougon terminus 27 en allant à AZITO palmeraie</t>
        </is>
      </c>
      <c r="F429" s="29" t="inlineStr"/>
      <c r="G429" s="29" t="inlineStr"/>
      <c r="H429" s="29" t="inlineStr"/>
      <c r="I429" s="29" t="inlineStr">
        <is>
          <t>ifsmazito@ifsmedu.com</t>
        </is>
      </c>
      <c r="J429" s="29" t="inlineStr">
        <is>
          <t>https://www.ifsm.ci</t>
        </is>
      </c>
      <c r="K429" s="29" t="inlineStr">
        <is>
          <t>Directeur des Etudes</t>
        </is>
      </c>
      <c r="L429" s="30" t="inlineStr">
        <is>
          <t>Haute</t>
        </is>
      </c>
      <c r="M429" s="29" t="inlineStr">
        <is>
          <t>MESRS - liste officielle grandes ecoles</t>
        </is>
      </c>
      <c r="N429" s="29" t="inlineStr">
        <is>
          <t>domaine propre</t>
        </is>
      </c>
      <c r="O429" s="14" t="inlineStr">
        <is>
          <t>a verifier</t>
        </is>
      </c>
      <c r="P429" s="29" t="inlineStr">
        <is>
          <t>commerce</t>
        </is>
      </c>
    </row>
    <row r="430">
      <c r="A430" s="29" t="inlineStr">
        <is>
          <t>INSTITUT DE FORMATION SAINTE MARIE YOPOUGON (IFSM YOPOUGON)</t>
        </is>
      </c>
      <c r="B430" s="29" t="inlineStr">
        <is>
          <t>Grande ecole BTS - moteur, assistanat de direction, agriculture tropicale</t>
        </is>
      </c>
      <c r="C430" s="29" t="inlineStr">
        <is>
          <t>Prive</t>
        </is>
      </c>
      <c r="D430" s="29" t="inlineStr">
        <is>
          <t>Abidjan - Yopougon</t>
        </is>
      </c>
      <c r="E430" s="29" t="inlineStr">
        <is>
          <t>YOPOUGON TOIT ROUGE, en face du groupement des sapeurs pompiers et de l’Eglise Américaine</t>
        </is>
      </c>
      <c r="F430" s="29" t="inlineStr">
        <is>
          <t>+225 27 23 45 07 31</t>
        </is>
      </c>
      <c r="G430" s="29" t="inlineStr">
        <is>
          <t>+225 05 94 55 09 17</t>
        </is>
      </c>
      <c r="H430" s="29" t="inlineStr">
        <is>
          <t>+225 05 94 55 09 17</t>
        </is>
      </c>
      <c r="I430" s="29" t="inlineStr">
        <is>
          <t>ifsmyopougonandokoi@gmail.com</t>
        </is>
      </c>
      <c r="J430" s="29" t="inlineStr">
        <is>
          <t>http://www.ifsm.ci</t>
        </is>
      </c>
      <c r="K430" s="29" t="inlineStr">
        <is>
          <t>Directeur des Etudes</t>
        </is>
      </c>
      <c r="L430" s="30" t="inlineStr">
        <is>
          <t>Haute</t>
        </is>
      </c>
      <c r="M430" s="29" t="inlineStr">
        <is>
          <t>MESRS - liste officielle grandes ecoles</t>
        </is>
      </c>
      <c r="N430" s="29" t="inlineStr">
        <is>
          <t>gratuite</t>
        </is>
      </c>
      <c r="O430" s="14" t="inlineStr">
        <is>
          <t>a verifier</t>
        </is>
      </c>
      <c r="P430" s="29" t="inlineStr">
        <is>
          <t>commerce</t>
        </is>
      </c>
    </row>
    <row r="431">
      <c r="A431" s="29" t="inlineStr">
        <is>
          <t>INSTITUT DE FORMATION SAINTE MARIE YOPOUGON ANDOKOI (IFSM YOPOUGON ANDOKOI)</t>
        </is>
      </c>
      <c r="B431" s="29" t="inlineStr">
        <is>
          <t>Grande ecole BTS - moteur, agriculture tropicale, electrotechnique</t>
        </is>
      </c>
      <c r="C431" s="29" t="inlineStr">
        <is>
          <t>Prive</t>
        </is>
      </c>
      <c r="D431" s="29" t="inlineStr">
        <is>
          <t>Abidjan - Yopougon</t>
        </is>
      </c>
      <c r="E431" s="29" t="inlineStr">
        <is>
          <t>YOPOUGON 1er PONT Ex-Collège notre Dame de Cavally</t>
        </is>
      </c>
      <c r="F431" s="29" t="inlineStr">
        <is>
          <t>+225 27 23 45 07 31</t>
        </is>
      </c>
      <c r="G431" s="29" t="inlineStr"/>
      <c r="H431" s="29" t="inlineStr"/>
      <c r="I431" s="29" t="inlineStr">
        <is>
          <t>ifsmyopougonandokoi@gmail.com</t>
        </is>
      </c>
      <c r="J431" s="29" t="inlineStr">
        <is>
          <t>http://www.ifsm.ci</t>
        </is>
      </c>
      <c r="K431" s="29" t="inlineStr">
        <is>
          <t>Directeur des Etudes</t>
        </is>
      </c>
      <c r="L431" s="30" t="inlineStr">
        <is>
          <t>Haute</t>
        </is>
      </c>
      <c r="M431" s="29" t="inlineStr">
        <is>
          <t>MESRS - liste officielle grandes ecoles</t>
        </is>
      </c>
      <c r="N431" s="29" t="inlineStr">
        <is>
          <t>gratuite</t>
        </is>
      </c>
      <c r="O431" s="14" t="inlineStr">
        <is>
          <t>a verifier</t>
        </is>
      </c>
      <c r="P431" s="29" t="inlineStr">
        <is>
          <t>commerce</t>
        </is>
      </c>
    </row>
    <row r="432">
      <c r="A432" s="29" t="inlineStr">
        <is>
          <t>INSTITUT DES SCIENCES INFORMATIQUE ET DE GESTION (ISIG) YOPOUGON</t>
        </is>
      </c>
      <c r="B432" s="29" t="inlineStr">
        <is>
          <t>Grande ecole BTS - finances comptabilite, genie civil, gestion commerciale</t>
        </is>
      </c>
      <c r="C432" s="29" t="inlineStr">
        <is>
          <t>Prive</t>
        </is>
      </c>
      <c r="D432" s="29" t="inlineStr">
        <is>
          <t>Abidjan - Yopougon</t>
        </is>
      </c>
      <c r="E432" s="29" t="inlineStr"/>
      <c r="F432" s="29" t="inlineStr"/>
      <c r="G432" s="29" t="inlineStr"/>
      <c r="H432" s="29" t="inlineStr"/>
      <c r="I432" s="29" t="inlineStr"/>
      <c r="J432" s="29" t="inlineStr"/>
      <c r="K432" s="29" t="inlineStr">
        <is>
          <t>Directeur des Etudes</t>
        </is>
      </c>
      <c r="L432" s="30" t="inlineStr">
        <is>
          <t>Haute</t>
        </is>
      </c>
      <c r="M432" s="29" t="inlineStr">
        <is>
          <t>MESRS - liste officielle grandes ecoles</t>
        </is>
      </c>
      <c r="N432" s="29" t="inlineStr"/>
      <c r="O432" s="31" t="inlineStr">
        <is>
          <t>sans email</t>
        </is>
      </c>
      <c r="P432" s="29" t="inlineStr">
        <is>
          <t>numerique</t>
        </is>
      </c>
    </row>
    <row r="433">
      <c r="A433" s="29" t="inlineStr">
        <is>
          <t>INSTITUT FAMAH YOPOUGON MILLIONNAIRE (IF YOPOUGON MILLIONNAIRE)</t>
        </is>
      </c>
      <c r="B433" s="29" t="inlineStr">
        <is>
          <t>Grande ecole BTS - assistanat de direction, agriculture tropicale, communication visuelle</t>
        </is>
      </c>
      <c r="C433" s="29" t="inlineStr">
        <is>
          <t>Prive</t>
        </is>
      </c>
      <c r="D433" s="29" t="inlineStr">
        <is>
          <t>Abidjan - Yopougon</t>
        </is>
      </c>
      <c r="E433" s="29" t="inlineStr">
        <is>
          <t>Yopougon Millionnaire pas loin de la pharmacie affia</t>
        </is>
      </c>
      <c r="F433" s="29" t="inlineStr">
        <is>
          <t>+225 07 08 90 13 00</t>
        </is>
      </c>
      <c r="G433" s="29" t="inlineStr">
        <is>
          <t>+225 05 45 45 15 80</t>
        </is>
      </c>
      <c r="H433" s="29" t="inlineStr">
        <is>
          <t>+225 07 08 90 13 00</t>
        </is>
      </c>
      <c r="I433" s="29" t="inlineStr">
        <is>
          <t>idrissouattara214@gmail.com</t>
        </is>
      </c>
      <c r="J433" s="29" t="inlineStr">
        <is>
          <t>https://www.uns-if.ci</t>
        </is>
      </c>
      <c r="K433" s="29" t="inlineStr">
        <is>
          <t>Directeur des Etudes</t>
        </is>
      </c>
      <c r="L433" s="30" t="inlineStr">
        <is>
          <t>Haute</t>
        </is>
      </c>
      <c r="M433" s="29" t="inlineStr">
        <is>
          <t>MESRS - liste officielle grandes ecoles</t>
        </is>
      </c>
      <c r="N433" s="29" t="inlineStr">
        <is>
          <t>gratuite</t>
        </is>
      </c>
      <c r="O433" s="14" t="inlineStr">
        <is>
          <t>a verifier</t>
        </is>
      </c>
      <c r="P433" s="29" t="inlineStr">
        <is>
          <t>commerce</t>
        </is>
      </c>
    </row>
    <row r="434">
      <c r="A434" s="29" t="inlineStr">
        <is>
          <t>INSTITUT INTERNATIONAL DE FORMATION EN ENTREPRENEURIAT-2IAE YOPOUGON (2IFE-2IAE YOPOUGON) (GROUPE 2IFE-2IAE)</t>
        </is>
      </c>
      <c r="B434" s="29" t="inlineStr">
        <is>
          <t>Grande ecole BTS - agriculture tropicale, finances comptabilite, genie civil</t>
        </is>
      </c>
      <c r="C434" s="29" t="inlineStr">
        <is>
          <t>Prive</t>
        </is>
      </c>
      <c r="D434" s="29" t="inlineStr">
        <is>
          <t>Abidjan - Yopougon</t>
        </is>
      </c>
      <c r="E434" s="29" t="inlineStr">
        <is>
          <t>QUARTIER MILLIONAIRE DERRIERE GROUPE SCOLAIRE SAINT LOUIS</t>
        </is>
      </c>
      <c r="F434" s="29" t="inlineStr">
        <is>
          <t>+225 27 23 45 06 85</t>
        </is>
      </c>
      <c r="G434" s="29" t="inlineStr"/>
      <c r="H434" s="29" t="inlineStr"/>
      <c r="I434" s="29" t="inlineStr">
        <is>
          <t>skoua2000@yahoo.fr</t>
        </is>
      </c>
      <c r="J434" s="29" t="inlineStr">
        <is>
          <t>http://www.2iae.com</t>
        </is>
      </c>
      <c r="K434" s="29" t="inlineStr">
        <is>
          <t>Directeur des Etudes</t>
        </is>
      </c>
      <c r="L434" s="30" t="inlineStr">
        <is>
          <t>Haute</t>
        </is>
      </c>
      <c r="M434" s="29" t="inlineStr">
        <is>
          <t>MESRS - liste officielle grandes ecoles</t>
        </is>
      </c>
      <c r="N434" s="29" t="inlineStr">
        <is>
          <t>gratuite</t>
        </is>
      </c>
      <c r="O434" s="14" t="inlineStr">
        <is>
          <t>a verifier</t>
        </is>
      </c>
      <c r="P434" s="29" t="inlineStr">
        <is>
          <t>commerce</t>
        </is>
      </c>
    </row>
    <row r="435">
      <c r="A435" s="29" t="inlineStr">
        <is>
          <t>INSTITUT INTERNATIONAL POLYTECHNIQUE DES ELITES D'ABIDJAN (IIPEA YOPOUGON)</t>
        </is>
      </c>
      <c r="B435" s="29" t="inlineStr">
        <is>
          <t>Grande ecole BTS - assistanat de direction, communication visuelle, electrotechnique</t>
        </is>
      </c>
      <c r="C435" s="29" t="inlineStr">
        <is>
          <t>Prive</t>
        </is>
      </c>
      <c r="D435" s="29" t="inlineStr">
        <is>
          <t>Abidjan - Yopougon</t>
        </is>
      </c>
      <c r="E435" s="29" t="inlineStr"/>
      <c r="F435" s="29" t="inlineStr"/>
      <c r="G435" s="29" t="inlineStr"/>
      <c r="H435" s="29" t="inlineStr"/>
      <c r="I435" s="29" t="inlineStr"/>
      <c r="J435" s="29" t="inlineStr"/>
      <c r="K435" s="29" t="inlineStr">
        <is>
          <t>Directeur des Etudes</t>
        </is>
      </c>
      <c r="L435" s="30" t="inlineStr">
        <is>
          <t>Haute</t>
        </is>
      </c>
      <c r="M435" s="29" t="inlineStr">
        <is>
          <t>MESRS - liste officielle grandes ecoles</t>
        </is>
      </c>
      <c r="N435" s="29" t="inlineStr"/>
      <c r="O435" s="31" t="inlineStr">
        <is>
          <t>sans email</t>
        </is>
      </c>
      <c r="P435" s="29" t="inlineStr">
        <is>
          <t>ingenieur</t>
        </is>
      </c>
    </row>
    <row r="436">
      <c r="A436" s="29" t="inlineStr">
        <is>
          <t>INSTITUT IRAO YOPOUGON</t>
        </is>
      </c>
      <c r="B436" s="29" t="inlineStr">
        <is>
          <t>Grande ecole BTS - assistanat de direction, communication visuelle, finances comptabilite</t>
        </is>
      </c>
      <c r="C436" s="29" t="inlineStr">
        <is>
          <t>Prive</t>
        </is>
      </c>
      <c r="D436" s="29" t="inlineStr">
        <is>
          <t>Abidjan - Yopougon</t>
        </is>
      </c>
      <c r="E436" s="29" t="inlineStr">
        <is>
          <t>Camp Militaire, Rue en Face de la Pharmacie St Laurent (Pour la géolocalisation google maps, entrez les coordonnées suivantes : 8W9P+RW, Abidjan)</t>
        </is>
      </c>
      <c r="F436" s="29" t="inlineStr"/>
      <c r="G436" s="29" t="inlineStr"/>
      <c r="H436" s="29" t="inlineStr"/>
      <c r="I436" s="29" t="inlineStr">
        <is>
          <t>rusta.irao@gmail.com</t>
        </is>
      </c>
      <c r="J436" s="29" t="inlineStr">
        <is>
          <t>https:// www.irao-yopougon.com</t>
        </is>
      </c>
      <c r="K436" s="29" t="inlineStr">
        <is>
          <t>Directeur des Etudes</t>
        </is>
      </c>
      <c r="L436" s="30" t="inlineStr">
        <is>
          <t>Haute</t>
        </is>
      </c>
      <c r="M436" s="29" t="inlineStr">
        <is>
          <t>MESRS - liste officielle grandes ecoles</t>
        </is>
      </c>
      <c r="N436" s="29" t="inlineStr">
        <is>
          <t>gratuite</t>
        </is>
      </c>
      <c r="O436" s="14" t="inlineStr">
        <is>
          <t>a verifier</t>
        </is>
      </c>
      <c r="P436" s="29" t="inlineStr">
        <is>
          <t>commerce</t>
        </is>
      </c>
    </row>
    <row r="437">
      <c r="A437" s="29" t="inlineStr">
        <is>
          <t>Institut LKM Yopougon</t>
        </is>
      </c>
      <c r="B437" s="29" t="inlineStr">
        <is>
          <t>Institut superieur - tertiaire</t>
        </is>
      </c>
      <c r="C437" s="29" t="inlineStr">
        <is>
          <t>Prive</t>
        </is>
      </c>
      <c r="D437" s="29" t="inlineStr">
        <is>
          <t>Abidjan - Yopougon</t>
        </is>
      </c>
      <c r="E437" s="29" t="inlineStr">
        <is>
          <t>Route de Dabou face Manutention Africaine apres le CHU de Yopougon</t>
        </is>
      </c>
      <c r="F437" s="29" t="inlineStr">
        <is>
          <t>+225 27 23 49 60 03</t>
        </is>
      </c>
      <c r="G437" s="29" t="inlineStr">
        <is>
          <t>+225 07 07 32 82 72</t>
        </is>
      </c>
      <c r="H437" s="29" t="inlineStr"/>
      <c r="I437" s="29" t="inlineStr"/>
      <c r="J437" s="29" t="inlineStr"/>
      <c r="K437" s="29" t="inlineStr">
        <is>
          <t>Directeur des Etudes</t>
        </is>
      </c>
      <c r="L437" s="29" t="inlineStr">
        <is>
          <t>Moyenne</t>
        </is>
      </c>
      <c r="M437" s="29" t="inlineStr">
        <is>
          <t>UPESUP</t>
        </is>
      </c>
      <c r="N437" s="29" t="inlineStr"/>
      <c r="O437" s="31" t="inlineStr">
        <is>
          <t>sans email</t>
        </is>
      </c>
      <c r="P437" s="29" t="inlineStr">
        <is>
          <t>commerce</t>
        </is>
      </c>
    </row>
    <row r="438">
      <c r="A438" s="29" t="inlineStr">
        <is>
          <t>INSTITUT LKM YOPOUGON ABIDJAN (ILKM)</t>
        </is>
      </c>
      <c r="B438" s="29" t="inlineStr">
        <is>
          <t>Grande ecole BTS - assistanat de direction, finances comptabilite, gestion commerciale</t>
        </is>
      </c>
      <c r="C438" s="29" t="inlineStr">
        <is>
          <t>Prive</t>
        </is>
      </c>
      <c r="D438" s="29" t="inlineStr">
        <is>
          <t>Abidjan - Yopougon</t>
        </is>
      </c>
      <c r="E438" s="29" t="inlineStr">
        <is>
          <t>Yopougon Ananeraie route de dabou, face manutention africaine</t>
        </is>
      </c>
      <c r="F438" s="29" t="inlineStr">
        <is>
          <t>+225 27 23 50 77 78</t>
        </is>
      </c>
      <c r="G438" s="29" t="inlineStr"/>
      <c r="H438" s="29" t="inlineStr"/>
      <c r="I438" s="29" t="inlineStr">
        <is>
          <t>institut_lkm@yahoo.fr</t>
        </is>
      </c>
      <c r="J438" s="29" t="inlineStr">
        <is>
          <t>https://www.institutlkm.com</t>
        </is>
      </c>
      <c r="K438" s="29" t="inlineStr">
        <is>
          <t>Directeur des Etudes</t>
        </is>
      </c>
      <c r="L438" s="30" t="inlineStr">
        <is>
          <t>Haute</t>
        </is>
      </c>
      <c r="M438" s="29" t="inlineStr">
        <is>
          <t>MESRS - liste officielle grandes ecoles</t>
        </is>
      </c>
      <c r="N438" s="29" t="inlineStr">
        <is>
          <t>gratuite</t>
        </is>
      </c>
      <c r="O438" s="14" t="inlineStr">
        <is>
          <t>a verifier</t>
        </is>
      </c>
      <c r="P438" s="29" t="inlineStr">
        <is>
          <t>commerce</t>
        </is>
      </c>
    </row>
    <row r="439">
      <c r="A439" s="29" t="inlineStr">
        <is>
          <t>INSTITUT PRESBYTERIEN DE COTE D'IVOIRE (IPCI)</t>
        </is>
      </c>
      <c r="B439" s="29" t="inlineStr">
        <is>
          <t>Grande ecole BTS - assistanat de direction, finances comptabilite, gestion commerciale</t>
        </is>
      </c>
      <c r="C439" s="29" t="inlineStr">
        <is>
          <t>Prive</t>
        </is>
      </c>
      <c r="D439" s="29" t="inlineStr">
        <is>
          <t>Abidjan - Yopougon</t>
        </is>
      </c>
      <c r="E439" s="29" t="inlineStr">
        <is>
          <t>YOPOUGON KENEYA IMMEUBLE MTN 2e ETAGE</t>
        </is>
      </c>
      <c r="F439" s="29" t="inlineStr">
        <is>
          <t>+225 27 23 00 50 16</t>
        </is>
      </c>
      <c r="G439" s="29" t="inlineStr">
        <is>
          <t>+225 07 09 67 89 60</t>
        </is>
      </c>
      <c r="H439" s="29" t="inlineStr">
        <is>
          <t>+225 07 09 67 89 60</t>
        </is>
      </c>
      <c r="I439" s="29" t="inlineStr">
        <is>
          <t>institut.ipci@gmail.com</t>
        </is>
      </c>
      <c r="J439" s="29" t="inlineStr"/>
      <c r="K439" s="29" t="inlineStr">
        <is>
          <t>Directeur des Etudes</t>
        </is>
      </c>
      <c r="L439" s="30" t="inlineStr">
        <is>
          <t>Haute</t>
        </is>
      </c>
      <c r="M439" s="29" t="inlineStr">
        <is>
          <t>MESRS - liste officielle grandes ecoles</t>
        </is>
      </c>
      <c r="N439" s="29" t="inlineStr">
        <is>
          <t>gratuite</t>
        </is>
      </c>
      <c r="O439" s="14" t="inlineStr">
        <is>
          <t>a verifier</t>
        </is>
      </c>
      <c r="P439" s="29" t="inlineStr">
        <is>
          <t>commerce</t>
        </is>
      </c>
    </row>
    <row r="440">
      <c r="A440" s="29" t="inlineStr">
        <is>
          <t>INSTITUT PRIVE SIATA (IP - SIATA)</t>
        </is>
      </c>
      <c r="B440" s="29" t="inlineStr">
        <is>
          <t>Grande ecole BTS - assistanat de direction, electrotechnique, finances comptabilite</t>
        </is>
      </c>
      <c r="C440" s="29" t="inlineStr">
        <is>
          <t>Prive</t>
        </is>
      </c>
      <c r="D440" s="29" t="inlineStr">
        <is>
          <t>Abidjan - Yopougon</t>
        </is>
      </c>
      <c r="E440" s="29" t="inlineStr">
        <is>
          <t>YOPOUGON NIANGON</t>
        </is>
      </c>
      <c r="F440" s="29" t="inlineStr">
        <is>
          <t>+225 07 08 91 46 30</t>
        </is>
      </c>
      <c r="G440" s="29" t="inlineStr"/>
      <c r="H440" s="29" t="inlineStr">
        <is>
          <t>+225 07 08 91 46 30</t>
        </is>
      </c>
      <c r="I440" s="29" t="inlineStr">
        <is>
          <t>ipsiata@gmail.com</t>
        </is>
      </c>
      <c r="J440" s="29" t="inlineStr">
        <is>
          <t>https://www.ipsiata.com</t>
        </is>
      </c>
      <c r="K440" s="29" t="inlineStr">
        <is>
          <t>Directeur des Etudes</t>
        </is>
      </c>
      <c r="L440" s="30" t="inlineStr">
        <is>
          <t>Haute</t>
        </is>
      </c>
      <c r="M440" s="29" t="inlineStr">
        <is>
          <t>MESRS - liste officielle grandes ecoles</t>
        </is>
      </c>
      <c r="N440" s="29" t="inlineStr">
        <is>
          <t>gratuite</t>
        </is>
      </c>
      <c r="O440" s="14" t="inlineStr">
        <is>
          <t>a verifier</t>
        </is>
      </c>
      <c r="P440" s="29" t="inlineStr">
        <is>
          <t>commerce</t>
        </is>
      </c>
    </row>
    <row r="441">
      <c r="A441" s="29" t="inlineStr">
        <is>
          <t>INSTITUT PROSELYTE (IP)</t>
        </is>
      </c>
      <c r="B441" s="29" t="inlineStr">
        <is>
          <t>Grande ecole BTS - assistanat de direction, finances comptabilite, genie civil</t>
        </is>
      </c>
      <c r="C441" s="29" t="inlineStr">
        <is>
          <t>Prive</t>
        </is>
      </c>
      <c r="D441" s="29" t="inlineStr">
        <is>
          <t>Abidjan - Yopougon</t>
        </is>
      </c>
      <c r="E441" s="29" t="inlineStr">
        <is>
          <t>YOPOGON, KENEYA, IMMEUBLE MTN AU 2ième ETAGE (AU DESSUS DE LA COOPEC)</t>
        </is>
      </c>
      <c r="F441" s="29" t="inlineStr">
        <is>
          <t>+225 07 09 67 89 60</t>
        </is>
      </c>
      <c r="G441" s="29" t="inlineStr">
        <is>
          <t>+225 05 05 01 90 97</t>
        </is>
      </c>
      <c r="H441" s="29" t="inlineStr">
        <is>
          <t>+225 07 09 67 89 60</t>
        </is>
      </c>
      <c r="I441" s="29" t="inlineStr">
        <is>
          <t>institutproselyte@gmail.com</t>
        </is>
      </c>
      <c r="J441" s="29" t="inlineStr"/>
      <c r="K441" s="29" t="inlineStr">
        <is>
          <t>Directeur des Etudes</t>
        </is>
      </c>
      <c r="L441" s="30" t="inlineStr">
        <is>
          <t>Haute</t>
        </is>
      </c>
      <c r="M441" s="29" t="inlineStr">
        <is>
          <t>MESRS - liste officielle grandes ecoles</t>
        </is>
      </c>
      <c r="N441" s="29" t="inlineStr">
        <is>
          <t>gratuite</t>
        </is>
      </c>
      <c r="O441" s="14" t="inlineStr">
        <is>
          <t>a verifier</t>
        </is>
      </c>
      <c r="P441" s="29" t="inlineStr">
        <is>
          <t>commerce</t>
        </is>
      </c>
    </row>
    <row r="442">
      <c r="A442" s="29" t="inlineStr">
        <is>
          <t>INSTITUT SUPERIEUR ADAM MARSHALL (ISAM) YOPOUGON</t>
        </is>
      </c>
      <c r="B442" s="29" t="inlineStr">
        <is>
          <t>Grande ecole BTS - assistanat de direction, electrotechnique, finances comptabilite</t>
        </is>
      </c>
      <c r="C442" s="29" t="inlineStr">
        <is>
          <t>Prive</t>
        </is>
      </c>
      <c r="D442" s="29" t="inlineStr">
        <is>
          <t>Abidjan - Yopougon</t>
        </is>
      </c>
      <c r="E442" s="29" t="inlineStr">
        <is>
          <t>PRES DU COMMISSARIAT DU 19E ARRONDISSEMENT, FACE ALLOCODROME DE BOISSY, TOIT ROUGE</t>
        </is>
      </c>
      <c r="F442" s="29" t="inlineStr">
        <is>
          <t>+225 07 09 83 11 81</t>
        </is>
      </c>
      <c r="G442" s="29" t="inlineStr">
        <is>
          <t>+225 05 06 22 00 67</t>
        </is>
      </c>
      <c r="H442" s="29" t="inlineStr">
        <is>
          <t>+225 07 09 83 11 81</t>
        </is>
      </c>
      <c r="I442" s="29" t="inlineStr">
        <is>
          <t>touthax@gmail.com</t>
        </is>
      </c>
      <c r="J442" s="29" t="inlineStr">
        <is>
          <t>https://www.iam-isam.net</t>
        </is>
      </c>
      <c r="K442" s="29" t="inlineStr">
        <is>
          <t>Directeur des Etudes</t>
        </is>
      </c>
      <c r="L442" s="30" t="inlineStr">
        <is>
          <t>Haute</t>
        </is>
      </c>
      <c r="M442" s="29" t="inlineStr">
        <is>
          <t>MESRS - liste officielle grandes ecoles</t>
        </is>
      </c>
      <c r="N442" s="29" t="inlineStr">
        <is>
          <t>gratuite</t>
        </is>
      </c>
      <c r="O442" s="14" t="inlineStr">
        <is>
          <t>a verifier</t>
        </is>
      </c>
      <c r="P442" s="29" t="inlineStr">
        <is>
          <t>commerce</t>
        </is>
      </c>
    </row>
    <row r="443">
      <c r="A443" s="29" t="inlineStr">
        <is>
          <t>INSTITUT SUPERIEUR DE FORMATION ELITE TECHNOLOGIE YOPOUGON NIANGON (ISF-ELITECH)</t>
        </is>
      </c>
      <c r="B443" s="29" t="inlineStr">
        <is>
          <t>Grande ecole BTS/Licence - assistanat de direction, communication visuelle, electrotechnique</t>
        </is>
      </c>
      <c r="C443" s="29" t="inlineStr">
        <is>
          <t>Prive</t>
        </is>
      </c>
      <c r="D443" s="29" t="inlineStr">
        <is>
          <t>Abidjan - Yopougon</t>
        </is>
      </c>
      <c r="E443" s="29" t="inlineStr">
        <is>
          <t>YOPOUGON NIANGON SUD, BOULEVARD MEAMBLY</t>
        </is>
      </c>
      <c r="F443" s="29" t="inlineStr">
        <is>
          <t>+225 07 07 38 06 92</t>
        </is>
      </c>
      <c r="G443" s="29" t="inlineStr"/>
      <c r="H443" s="29" t="inlineStr">
        <is>
          <t>+225 07 07 38 06 92</t>
        </is>
      </c>
      <c r="I443" s="29" t="inlineStr">
        <is>
          <t>isf.elitech@gmail.com</t>
        </is>
      </c>
      <c r="J443" s="29" t="inlineStr"/>
      <c r="K443" s="29" t="inlineStr">
        <is>
          <t>Directeur des Etudes</t>
        </is>
      </c>
      <c r="L443" s="30" t="inlineStr">
        <is>
          <t>Haute</t>
        </is>
      </c>
      <c r="M443" s="29" t="inlineStr">
        <is>
          <t>MESRS - liste officielle grandes ecoles</t>
        </is>
      </c>
      <c r="N443" s="29" t="inlineStr">
        <is>
          <t>gratuite</t>
        </is>
      </c>
      <c r="O443" s="14" t="inlineStr">
        <is>
          <t>a verifier</t>
        </is>
      </c>
      <c r="P443" s="29" t="inlineStr">
        <is>
          <t>numerique</t>
        </is>
      </c>
    </row>
    <row r="444">
      <c r="A444" s="29" t="inlineStr">
        <is>
          <t>INSTITUT SUPERIEUR DE FORMATION SIBATA (ISFOS)</t>
        </is>
      </c>
      <c r="B444" s="29" t="inlineStr">
        <is>
          <t>Grande ecole BTS - finances comptabilite, gestion commerciale, logistique</t>
        </is>
      </c>
      <c r="C444" s="29" t="inlineStr">
        <is>
          <t>Prive</t>
        </is>
      </c>
      <c r="D444" s="29" t="inlineStr">
        <is>
          <t>Abidjan - Yopougon</t>
        </is>
      </c>
      <c r="E444" s="29" t="inlineStr">
        <is>
          <t>YOPOUGON MILLIONNAIRE QUARTIER RESIDENTIEL. QUARTIER EN FACE DE L'ECOLE SAINT LOUIS.</t>
        </is>
      </c>
      <c r="F444" s="29" t="inlineStr">
        <is>
          <t>+225 07 07 26 46 57</t>
        </is>
      </c>
      <c r="G444" s="29" t="inlineStr"/>
      <c r="H444" s="29" t="inlineStr">
        <is>
          <t>+225 07 07 26 46 57</t>
        </is>
      </c>
      <c r="I444" s="29" t="inlineStr">
        <is>
          <t>isfos.sibata@gmail.com</t>
        </is>
      </c>
      <c r="J444" s="29" t="inlineStr"/>
      <c r="K444" s="29" t="inlineStr">
        <is>
          <t>Directeur des Etudes</t>
        </is>
      </c>
      <c r="L444" s="30" t="inlineStr">
        <is>
          <t>Haute</t>
        </is>
      </c>
      <c r="M444" s="29" t="inlineStr">
        <is>
          <t>MESRS - liste officielle grandes ecoles</t>
        </is>
      </c>
      <c r="N444" s="29" t="inlineStr">
        <is>
          <t>gratuite</t>
        </is>
      </c>
      <c r="O444" s="14" t="inlineStr">
        <is>
          <t>a verifier</t>
        </is>
      </c>
      <c r="P444" s="29" t="inlineStr">
        <is>
          <t>commerce</t>
        </is>
      </c>
    </row>
    <row r="445">
      <c r="A445" s="29" t="inlineStr">
        <is>
          <t>INSTITUT SUPERIEUR DE GESTION ET DU BATIMENT (ISG BAT)</t>
        </is>
      </c>
      <c r="B445" s="29" t="inlineStr">
        <is>
          <t>Grande ecole BTS - finances comptabilite, genie civil, gestion commerciale</t>
        </is>
      </c>
      <c r="C445" s="29" t="inlineStr">
        <is>
          <t>Prive</t>
        </is>
      </c>
      <c r="D445" s="29" t="inlineStr">
        <is>
          <t>Abidjan - Yopougon</t>
        </is>
      </c>
      <c r="E445" s="29" t="inlineStr">
        <is>
          <t>YOPOUGON IMMEUBLE MTN FACE PHARMACIE KENEYA</t>
        </is>
      </c>
      <c r="F445" s="29" t="inlineStr">
        <is>
          <t>+225 07 08 09 92 41</t>
        </is>
      </c>
      <c r="G445" s="29" t="inlineStr">
        <is>
          <t>+225 01 02 56 89 58</t>
        </is>
      </c>
      <c r="H445" s="29" t="inlineStr">
        <is>
          <t>+225 07 08 09 92 41</t>
        </is>
      </c>
      <c r="I445" s="29" t="inlineStr">
        <is>
          <t>info@isgbat-ci.com</t>
        </is>
      </c>
      <c r="J445" s="29" t="inlineStr">
        <is>
          <t>https://hpp//isgbat-ci.com</t>
        </is>
      </c>
      <c r="K445" s="29" t="inlineStr">
        <is>
          <t>Directeur des Etudes</t>
        </is>
      </c>
      <c r="L445" s="30" t="inlineStr">
        <is>
          <t>Haute</t>
        </is>
      </c>
      <c r="M445" s="29" t="inlineStr">
        <is>
          <t>MESRS - liste officielle grandes ecoles</t>
        </is>
      </c>
      <c r="N445" s="29" t="inlineStr">
        <is>
          <t>domaine propre</t>
        </is>
      </c>
      <c r="O445" s="14" t="inlineStr">
        <is>
          <t>a verifier</t>
        </is>
      </c>
      <c r="P445" s="29" t="inlineStr">
        <is>
          <t>btp</t>
        </is>
      </c>
    </row>
    <row r="446">
      <c r="A446" s="29" t="inlineStr">
        <is>
          <t>INSTITUT SUPERIEUR DE TECHNOLOGIE DE COTE D'IVOIRE YOPOUGON (ISTCI YOPOUGON)</t>
        </is>
      </c>
      <c r="B446" s="29" t="inlineStr">
        <is>
          <t>Grande ecole BTS - assistanat de direction, communication visuelle, finances comptabilite</t>
        </is>
      </c>
      <c r="C446" s="29" t="inlineStr">
        <is>
          <t>Prive</t>
        </is>
      </c>
      <c r="D446" s="29" t="inlineStr">
        <is>
          <t>Abidjan - Yopougon</t>
        </is>
      </c>
      <c r="E446" s="29" t="inlineStr">
        <is>
          <t>Camp Militaire, Rue en Face de la Pharmacie St Laurent (Pour la géolocalisation google maps, entrez les coordonnées suivantes : 8W9P+RW, Abidjan)</t>
        </is>
      </c>
      <c r="F446" s="29" t="inlineStr"/>
      <c r="G446" s="29" t="inlineStr"/>
      <c r="H446" s="29" t="inlineStr"/>
      <c r="I446" s="29" t="inlineStr">
        <is>
          <t>rusta.istci@gmail.com</t>
        </is>
      </c>
      <c r="J446" s="29" t="inlineStr">
        <is>
          <t>https:// www.istci-yopougon.com</t>
        </is>
      </c>
      <c r="K446" s="29" t="inlineStr">
        <is>
          <t>Directeur des Etudes</t>
        </is>
      </c>
      <c r="L446" s="30" t="inlineStr">
        <is>
          <t>Haute</t>
        </is>
      </c>
      <c r="M446" s="29" t="inlineStr">
        <is>
          <t>MESRS - liste officielle grandes ecoles</t>
        </is>
      </c>
      <c r="N446" s="29" t="inlineStr">
        <is>
          <t>gratuite</t>
        </is>
      </c>
      <c r="O446" s="14" t="inlineStr">
        <is>
          <t>a verifier</t>
        </is>
      </c>
      <c r="P446" s="29" t="inlineStr">
        <is>
          <t>numerique</t>
        </is>
      </c>
    </row>
    <row r="447">
      <c r="A447" s="29" t="inlineStr">
        <is>
          <t>INSTITUT SUPERIEUR DE TECHNOLOGIE ET PROFESSIONNEL (ISTP) YOPOUGON</t>
        </is>
      </c>
      <c r="B447" s="29" t="inlineStr">
        <is>
          <t>Grande ecole BTS - finances comptabilite, genie civil, gestion commerciale</t>
        </is>
      </c>
      <c r="C447" s="29" t="inlineStr">
        <is>
          <t>Prive</t>
        </is>
      </c>
      <c r="D447" s="29" t="inlineStr">
        <is>
          <t>Abidjan - Yopougon</t>
        </is>
      </c>
      <c r="E447" s="29" t="inlineStr">
        <is>
          <t>YOPOUGON 1ER PONT ANDOKOI CARREFOUR FANNY/MANGOU BAT ORANGE</t>
        </is>
      </c>
      <c r="F447" s="29" t="inlineStr">
        <is>
          <t>+225 07 09 00 86 00</t>
        </is>
      </c>
      <c r="G447" s="29" t="inlineStr">
        <is>
          <t>+225 05 04 06 97 58</t>
        </is>
      </c>
      <c r="H447" s="29" t="inlineStr">
        <is>
          <t>+225 07 09 00 86 00</t>
        </is>
      </c>
      <c r="I447" s="29" t="inlineStr">
        <is>
          <t>kouadioyacouba@gmail.com</t>
        </is>
      </c>
      <c r="J447" s="29" t="inlineStr"/>
      <c r="K447" s="29" t="inlineStr">
        <is>
          <t>Directeur des Etudes</t>
        </is>
      </c>
      <c r="L447" s="30" t="inlineStr">
        <is>
          <t>Haute</t>
        </is>
      </c>
      <c r="M447" s="29" t="inlineStr">
        <is>
          <t>MESRS - liste officielle grandes ecoles</t>
        </is>
      </c>
      <c r="N447" s="29" t="inlineStr">
        <is>
          <t>gratuite</t>
        </is>
      </c>
      <c r="O447" s="14" t="inlineStr">
        <is>
          <t>a verifier</t>
        </is>
      </c>
      <c r="P447" s="29" t="inlineStr">
        <is>
          <t>numerique</t>
        </is>
      </c>
    </row>
    <row r="448">
      <c r="A448" s="29" t="inlineStr">
        <is>
          <t>INSTITUT SUPERIEUR DE TECHNOLOGIE LAMA FOFANA (ISTLAF)</t>
        </is>
      </c>
      <c r="B448" s="29" t="inlineStr">
        <is>
          <t>Grande ecole BTS - finances comptabilite, gestion commerciale, informatique developpeur d'applications</t>
        </is>
      </c>
      <c r="C448" s="29" t="inlineStr">
        <is>
          <t>Prive</t>
        </is>
      </c>
      <c r="D448" s="29" t="inlineStr">
        <is>
          <t>Abidjan - Yopougon</t>
        </is>
      </c>
      <c r="E448" s="29" t="inlineStr">
        <is>
          <t>Yopougon nouveau quartier à 200m du carrefour Lama</t>
        </is>
      </c>
      <c r="F448" s="29" t="inlineStr">
        <is>
          <t>+225 07 09 23 23 70</t>
        </is>
      </c>
      <c r="G448" s="29" t="inlineStr">
        <is>
          <t>+225 01 01 86 69 10</t>
        </is>
      </c>
      <c r="H448" s="29" t="inlineStr">
        <is>
          <t>+225 07 09 23 23 70</t>
        </is>
      </c>
      <c r="I448" s="29" t="inlineStr">
        <is>
          <t>gsl.lama@gmail.com</t>
        </is>
      </c>
      <c r="J448" s="29" t="inlineStr"/>
      <c r="K448" s="29" t="inlineStr">
        <is>
          <t>Directeur des Etudes</t>
        </is>
      </c>
      <c r="L448" s="30" t="inlineStr">
        <is>
          <t>Haute</t>
        </is>
      </c>
      <c r="M448" s="29" t="inlineStr">
        <is>
          <t>MESRS - liste officielle grandes ecoles</t>
        </is>
      </c>
      <c r="N448" s="29" t="inlineStr">
        <is>
          <t>gratuite</t>
        </is>
      </c>
      <c r="O448" s="14" t="inlineStr">
        <is>
          <t>a verifier</t>
        </is>
      </c>
      <c r="P448" s="29" t="inlineStr">
        <is>
          <t>numerique</t>
        </is>
      </c>
    </row>
    <row r="449">
      <c r="A449" s="29" t="inlineStr">
        <is>
          <t>INSTITUT SUPERIEUR DE TECHNOLOGIES APPLIQUEES ET COMMERCIALES (INSTAC)</t>
        </is>
      </c>
      <c r="B449" s="29" t="inlineStr">
        <is>
          <t>Grande ecole BTS - finances comptabilite, gestion commerciale, informatique developpeur d'applications</t>
        </is>
      </c>
      <c r="C449" s="29" t="inlineStr">
        <is>
          <t>Prive</t>
        </is>
      </c>
      <c r="D449" s="29" t="inlineStr">
        <is>
          <t>Abidjan - Yopougon</t>
        </is>
      </c>
      <c r="E449" s="29" t="inlineStr">
        <is>
          <t>YOPOUGON TOITS ROUGES EN FACE DU 19è ARRONDISSEMENT DE POLICE</t>
        </is>
      </c>
      <c r="F449" s="29" t="inlineStr">
        <is>
          <t>+225 27 23 52 23 98</t>
        </is>
      </c>
      <c r="G449" s="29" t="inlineStr"/>
      <c r="H449" s="29" t="inlineStr"/>
      <c r="I449" s="29" t="inlineStr">
        <is>
          <t>instaclaude@gmail.com</t>
        </is>
      </c>
      <c r="J449" s="29" t="inlineStr"/>
      <c r="K449" s="29" t="inlineStr">
        <is>
          <t>Directeur des Etudes</t>
        </is>
      </c>
      <c r="L449" s="30" t="inlineStr">
        <is>
          <t>Haute</t>
        </is>
      </c>
      <c r="M449" s="29" t="inlineStr">
        <is>
          <t>MESRS - liste officielle grandes ecoles</t>
        </is>
      </c>
      <c r="N449" s="29" t="inlineStr">
        <is>
          <t>gratuite</t>
        </is>
      </c>
      <c r="O449" s="14" t="inlineStr">
        <is>
          <t>a verifier</t>
        </is>
      </c>
      <c r="P449" s="29" t="inlineStr">
        <is>
          <t>numerique</t>
        </is>
      </c>
    </row>
    <row r="450">
      <c r="A450" s="29" t="inlineStr">
        <is>
          <t>INSTITUT SUPERIEUR DES NOUVELLES TECHNOLOGIES ET DE GESTION - GROUPE SEGBE (ISNTG - GROUPE SEGBE)</t>
        </is>
      </c>
      <c r="B450" s="29" t="inlineStr">
        <is>
          <t>Grande ecole BTS - assistanat de direction, finances comptabilite, genie civil</t>
        </is>
      </c>
      <c r="C450" s="29" t="inlineStr">
        <is>
          <t>Prive</t>
        </is>
      </c>
      <c r="D450" s="29" t="inlineStr">
        <is>
          <t>Abidjan - Yopougon</t>
        </is>
      </c>
      <c r="E450" s="29" t="inlineStr">
        <is>
          <t>YOPOUGON NIANGON CITE CIE, DERRIERE LE COLLEGE MAMADOU TRAORE</t>
        </is>
      </c>
      <c r="F450" s="29" t="inlineStr">
        <is>
          <t>+225 07 08 03 27 77</t>
        </is>
      </c>
      <c r="G450" s="29" t="inlineStr">
        <is>
          <t>+225 05 76 74 76 16</t>
        </is>
      </c>
      <c r="H450" s="29" t="inlineStr">
        <is>
          <t>+225 07 08 03 27 77</t>
        </is>
      </c>
      <c r="I450" s="29" t="inlineStr">
        <is>
          <t>instgsegbe1@gmail.com</t>
        </is>
      </c>
      <c r="J450" s="29" t="inlineStr"/>
      <c r="K450" s="29" t="inlineStr">
        <is>
          <t>Directeur des Etudes</t>
        </is>
      </c>
      <c r="L450" s="30" t="inlineStr">
        <is>
          <t>Haute</t>
        </is>
      </c>
      <c r="M450" s="29" t="inlineStr">
        <is>
          <t>MESRS - liste officielle grandes ecoles</t>
        </is>
      </c>
      <c r="N450" s="29" t="inlineStr">
        <is>
          <t>gratuite</t>
        </is>
      </c>
      <c r="O450" s="14" t="inlineStr">
        <is>
          <t>a verifier</t>
        </is>
      </c>
      <c r="P450" s="29" t="inlineStr">
        <is>
          <t>numerique</t>
        </is>
      </c>
    </row>
    <row r="451">
      <c r="A451" s="29" t="inlineStr">
        <is>
          <t>INSTITUT SUPERIEUR DES SCIENCES ET DE GESTION (IS2G)</t>
        </is>
      </c>
      <c r="B451" s="29" t="inlineStr">
        <is>
          <t>Grande ecole BTS - finances comptabilite, genie civil, gestion commerciale</t>
        </is>
      </c>
      <c r="C451" s="29" t="inlineStr">
        <is>
          <t>Prive</t>
        </is>
      </c>
      <c r="D451" s="29" t="inlineStr">
        <is>
          <t>Abidjan - Yopougon</t>
        </is>
      </c>
      <c r="E451" s="29" t="inlineStr"/>
      <c r="F451" s="29" t="inlineStr"/>
      <c r="G451" s="29" t="inlineStr"/>
      <c r="H451" s="29" t="inlineStr"/>
      <c r="I451" s="29" t="inlineStr"/>
      <c r="J451" s="29" t="inlineStr"/>
      <c r="K451" s="29" t="inlineStr">
        <is>
          <t>Directeur des Etudes</t>
        </is>
      </c>
      <c r="L451" s="30" t="inlineStr">
        <is>
          <t>Haute</t>
        </is>
      </c>
      <c r="M451" s="29" t="inlineStr">
        <is>
          <t>MESRS - liste officielle grandes ecoles</t>
        </is>
      </c>
      <c r="N451" s="29" t="inlineStr"/>
      <c r="O451" s="31" t="inlineStr">
        <is>
          <t>sans email</t>
        </is>
      </c>
      <c r="P451" s="29" t="inlineStr">
        <is>
          <t>commerce</t>
        </is>
      </c>
    </row>
    <row r="452">
      <c r="A452" s="29" t="inlineStr">
        <is>
          <t>INSTITUT SUPERIEUR DES TECHNOLOGIES ET DE MANAGEMENT ABIDJAN (ISTEMA YOPOUGON)</t>
        </is>
      </c>
      <c r="B452" s="29" t="inlineStr">
        <is>
          <t>Grande ecole BTS - assistanat de direction, agriculture tropicale, communication visuelle</t>
        </is>
      </c>
      <c r="C452" s="29" t="inlineStr">
        <is>
          <t>Prive</t>
        </is>
      </c>
      <c r="D452" s="29" t="inlineStr">
        <is>
          <t>Abidjan - Yopougon</t>
        </is>
      </c>
      <c r="E452" s="29" t="inlineStr">
        <is>
          <t>YOPOUGON, EN FACE DU COLLEGE LES PHALENES NON LOIN DU TERMINUS DU BUS 85 ET DU FEU DES SAPEURS POMPIERS</t>
        </is>
      </c>
      <c r="F452" s="29" t="inlineStr">
        <is>
          <t>+225 25 23 00 38 32</t>
        </is>
      </c>
      <c r="G452" s="29" t="inlineStr">
        <is>
          <t>+225 07 08 93 79 93</t>
        </is>
      </c>
      <c r="H452" s="29" t="inlineStr">
        <is>
          <t>+225 07 08 93 79 93</t>
        </is>
      </c>
      <c r="I452" s="29" t="inlineStr">
        <is>
          <t>2019.groupeistema.yop@gmail.com</t>
        </is>
      </c>
      <c r="J452" s="29" t="inlineStr">
        <is>
          <t>https://www.groupeistema.net</t>
        </is>
      </c>
      <c r="K452" s="29" t="inlineStr">
        <is>
          <t>Directeur des Etudes</t>
        </is>
      </c>
      <c r="L452" s="30" t="inlineStr">
        <is>
          <t>Haute</t>
        </is>
      </c>
      <c r="M452" s="29" t="inlineStr">
        <is>
          <t>MESRS - liste officielle grandes ecoles</t>
        </is>
      </c>
      <c r="N452" s="29" t="inlineStr">
        <is>
          <t>gratuite</t>
        </is>
      </c>
      <c r="O452" s="14" t="inlineStr">
        <is>
          <t>a verifier</t>
        </is>
      </c>
      <c r="P452" s="29" t="inlineStr">
        <is>
          <t>numerique</t>
        </is>
      </c>
    </row>
    <row r="453">
      <c r="A453" s="29" t="inlineStr">
        <is>
          <t>INSTITUT SUPERIEUR DES TECHNOLOGIES ET DE MANAGEMENT YOPOUGON (ISTM YOPOUGON)</t>
        </is>
      </c>
      <c r="B453" s="29" t="inlineStr">
        <is>
          <t>Grande ecole BTS/Licence - assistanat de direction, communication visuelle, finances comptabilite</t>
        </is>
      </c>
      <c r="C453" s="29" t="inlineStr">
        <is>
          <t>Prive</t>
        </is>
      </c>
      <c r="D453" s="29" t="inlineStr">
        <is>
          <t>Abidjan - Yopougon</t>
        </is>
      </c>
      <c r="E453" s="29" t="inlineStr">
        <is>
          <t>YOPOUGON SELMER SUR L'AXE PHARMACIE KENEYA- PHARMACIE BEL-AIR</t>
        </is>
      </c>
      <c r="F453" s="29" t="inlineStr">
        <is>
          <t>+225 01 02 23 23 95</t>
        </is>
      </c>
      <c r="G453" s="29" t="inlineStr">
        <is>
          <t>+225 07 08 03 73 86</t>
        </is>
      </c>
      <c r="H453" s="29" t="inlineStr">
        <is>
          <t>+225 01 02 23 23 95</t>
        </is>
      </c>
      <c r="I453" s="29" t="inlineStr">
        <is>
          <t>diaksidik@gmail.com</t>
        </is>
      </c>
      <c r="J453" s="29" t="inlineStr">
        <is>
          <t>http://www.istm-ci.com</t>
        </is>
      </c>
      <c r="K453" s="29" t="inlineStr">
        <is>
          <t>Directeur des Etudes</t>
        </is>
      </c>
      <c r="L453" s="30" t="inlineStr">
        <is>
          <t>Haute</t>
        </is>
      </c>
      <c r="M453" s="29" t="inlineStr">
        <is>
          <t>MESRS - liste officielle grandes ecoles</t>
        </is>
      </c>
      <c r="N453" s="29" t="inlineStr">
        <is>
          <t>gratuite</t>
        </is>
      </c>
      <c r="O453" s="14" t="inlineStr">
        <is>
          <t>a verifier</t>
        </is>
      </c>
      <c r="P453" s="29" t="inlineStr">
        <is>
          <t>numerique</t>
        </is>
      </c>
    </row>
    <row r="454">
      <c r="A454" s="29" t="inlineStr">
        <is>
          <t>INSTITUT SUPERIEUR FADETTE 2 (ISF 2)</t>
        </is>
      </c>
      <c r="B454" s="29" t="inlineStr">
        <is>
          <t>Grande ecole BTS - assistanat de direction, electrotechnique, finances comptabilite</t>
        </is>
      </c>
      <c r="C454" s="29" t="inlineStr">
        <is>
          <t>Prive</t>
        </is>
      </c>
      <c r="D454" s="29" t="inlineStr">
        <is>
          <t>Abidjan - Yopougon</t>
        </is>
      </c>
      <c r="E454" s="29" t="inlineStr"/>
      <c r="F454" s="29" t="inlineStr">
        <is>
          <t>+225 07 08 33 17 89</t>
        </is>
      </c>
      <c r="G454" s="29" t="inlineStr">
        <is>
          <t>+225 01 02 03 12 52</t>
        </is>
      </c>
      <c r="H454" s="29" t="inlineStr">
        <is>
          <t>+225 07 08 33 17 89</t>
        </is>
      </c>
      <c r="I454" s="29" t="inlineStr"/>
      <c r="J454" s="29" t="inlineStr"/>
      <c r="K454" s="29" t="inlineStr">
        <is>
          <t>Directeur des Etudes</t>
        </is>
      </c>
      <c r="L454" s="30" t="inlineStr">
        <is>
          <t>Haute</t>
        </is>
      </c>
      <c r="M454" s="29" t="inlineStr">
        <is>
          <t>MESRS - liste officielle grandes ecoles</t>
        </is>
      </c>
      <c r="N454" s="29" t="inlineStr"/>
      <c r="O454" s="31" t="inlineStr">
        <is>
          <t>sans email</t>
        </is>
      </c>
      <c r="P454" s="29" t="inlineStr">
        <is>
          <t>commerce</t>
        </is>
      </c>
    </row>
    <row r="455">
      <c r="A455" s="29" t="inlineStr">
        <is>
          <t>INSTITUT SUPERIEUR GNIRA-CI (IS GNIRA-CI)</t>
        </is>
      </c>
      <c r="B455" s="29" t="inlineStr">
        <is>
          <t>Grande ecole BTS - assistanat de direction, finances comptabilite, gestion commerciale</t>
        </is>
      </c>
      <c r="C455" s="29" t="inlineStr">
        <is>
          <t>Prive</t>
        </is>
      </c>
      <c r="D455" s="29" t="inlineStr">
        <is>
          <t>Abidjan - Yopougon</t>
        </is>
      </c>
      <c r="E455" s="29" t="inlineStr">
        <is>
          <t>YOPOUGON RESIDENTIEL ANCIEN BEL AIR ROUTE GROUPEMENT FONCIER FIN GOUDRON</t>
        </is>
      </c>
      <c r="F455" s="29" t="inlineStr">
        <is>
          <t>+225 27 23 00 23 96</t>
        </is>
      </c>
      <c r="G455" s="29" t="inlineStr">
        <is>
          <t>+225 07 87 87 88 88</t>
        </is>
      </c>
      <c r="H455" s="29" t="inlineStr">
        <is>
          <t>+225 07 87 87 88 88</t>
        </is>
      </c>
      <c r="I455" s="29" t="inlineStr">
        <is>
          <t>gniraconsulting@gmail.com</t>
        </is>
      </c>
      <c r="J455" s="29" t="inlineStr">
        <is>
          <t>https://www.isgnira-ci.com</t>
        </is>
      </c>
      <c r="K455" s="29" t="inlineStr">
        <is>
          <t>Directeur des Etudes</t>
        </is>
      </c>
      <c r="L455" s="30" t="inlineStr">
        <is>
          <t>Haute</t>
        </is>
      </c>
      <c r="M455" s="29" t="inlineStr">
        <is>
          <t>MESRS - liste officielle grandes ecoles</t>
        </is>
      </c>
      <c r="N455" s="29" t="inlineStr">
        <is>
          <t>gratuite</t>
        </is>
      </c>
      <c r="O455" s="14" t="inlineStr">
        <is>
          <t>a verifier</t>
        </is>
      </c>
      <c r="P455" s="29" t="inlineStr">
        <is>
          <t>commerce</t>
        </is>
      </c>
    </row>
    <row r="456">
      <c r="A456" s="29" t="inlineStr">
        <is>
          <t>INSTITUT SUPERIEUR LOWMAMNESS (ISL YOPOUGON)</t>
        </is>
      </c>
      <c r="B456" s="29" t="inlineStr">
        <is>
          <t>Grande ecole BTS - assistanat de direction, finances comptabilite, genie civil</t>
        </is>
      </c>
      <c r="C456" s="29" t="inlineStr">
        <is>
          <t>Prive</t>
        </is>
      </c>
      <c r="D456" s="29" t="inlineStr">
        <is>
          <t>Abidjan - Yopougon</t>
        </is>
      </c>
      <c r="E456" s="29" t="inlineStr">
        <is>
          <t>Institut Supérieur Lowmamness est situé à yopougon 1er pont Carrefour Mangou Immeuble orange</t>
        </is>
      </c>
      <c r="F456" s="29" t="inlineStr">
        <is>
          <t>+225 07 79 69 28 32</t>
        </is>
      </c>
      <c r="G456" s="29" t="inlineStr"/>
      <c r="H456" s="29" t="inlineStr">
        <is>
          <t>+225 07 79 69 28 32</t>
        </is>
      </c>
      <c r="I456" s="29" t="inlineStr">
        <is>
          <t>islowmamness@gmail.com</t>
        </is>
      </c>
      <c r="J456" s="29" t="inlineStr"/>
      <c r="K456" s="29" t="inlineStr">
        <is>
          <t>Directeur des Etudes</t>
        </is>
      </c>
      <c r="L456" s="30" t="inlineStr">
        <is>
          <t>Haute</t>
        </is>
      </c>
      <c r="M456" s="29" t="inlineStr">
        <is>
          <t>MESRS - liste officielle grandes ecoles</t>
        </is>
      </c>
      <c r="N456" s="29" t="inlineStr">
        <is>
          <t>gratuite</t>
        </is>
      </c>
      <c r="O456" s="14" t="inlineStr">
        <is>
          <t>a verifier</t>
        </is>
      </c>
      <c r="P456" s="29" t="inlineStr">
        <is>
          <t>commerce</t>
        </is>
      </c>
    </row>
    <row r="457">
      <c r="A457" s="29" t="inlineStr">
        <is>
          <t>INSTITUT SUPERIEUR MICHEL ZADI (ISMZ)</t>
        </is>
      </c>
      <c r="B457" s="29" t="inlineStr">
        <is>
          <t>Grande ecole BTS - assistanat de direction, electrotechnique, finances comptabilite</t>
        </is>
      </c>
      <c r="C457" s="29" t="inlineStr">
        <is>
          <t>Prive</t>
        </is>
      </c>
      <c r="D457" s="29" t="inlineStr">
        <is>
          <t>Abidjan - Yopougon</t>
        </is>
      </c>
      <c r="E457" s="29" t="inlineStr">
        <is>
          <t>YOPOUGON AZITO</t>
        </is>
      </c>
      <c r="F457" s="29" t="inlineStr">
        <is>
          <t>+225 05 05 99 21 54</t>
        </is>
      </c>
      <c r="G457" s="29" t="inlineStr">
        <is>
          <t>+225 27 23 46 85 82</t>
        </is>
      </c>
      <c r="H457" s="29" t="inlineStr">
        <is>
          <t>+225 05 05 99 21 54</t>
        </is>
      </c>
      <c r="I457" s="29" t="inlineStr">
        <is>
          <t>k_n_m1975@yahoo.fr</t>
        </is>
      </c>
      <c r="J457" s="29" t="inlineStr"/>
      <c r="K457" s="29" t="inlineStr">
        <is>
          <t>Directeur des Etudes</t>
        </is>
      </c>
      <c r="L457" s="30" t="inlineStr">
        <is>
          <t>Haute</t>
        </is>
      </c>
      <c r="M457" s="29" t="inlineStr">
        <is>
          <t>MESRS - liste officielle grandes ecoles</t>
        </is>
      </c>
      <c r="N457" s="29" t="inlineStr">
        <is>
          <t>gratuite</t>
        </is>
      </c>
      <c r="O457" s="14" t="inlineStr">
        <is>
          <t>a verifier</t>
        </is>
      </c>
      <c r="P457" s="29" t="inlineStr">
        <is>
          <t>commerce</t>
        </is>
      </c>
    </row>
    <row r="458">
      <c r="A458" s="29" t="inlineStr">
        <is>
          <t>INSTITUT SUPERIEUR NATHAN YOPOUGON (ISNY)</t>
        </is>
      </c>
      <c r="B458" s="29" t="inlineStr">
        <is>
          <t>Grande ecole BTS - assistanat de direction, electrotechnique, finances comptabilite</t>
        </is>
      </c>
      <c r="C458" s="29" t="inlineStr">
        <is>
          <t>Prive</t>
        </is>
      </c>
      <c r="D458" s="29" t="inlineStr">
        <is>
          <t>Abidjan - Yopougon</t>
        </is>
      </c>
      <c r="E458" s="29" t="inlineStr">
        <is>
          <t>Yopougon Ananeraie, cité Mamie Adjoua, après le CHU, non loin de la Pharmacie Mamie Adjoua</t>
        </is>
      </c>
      <c r="F458" s="29" t="inlineStr">
        <is>
          <t>+225 07 08 44 37 54</t>
        </is>
      </c>
      <c r="G458" s="29" t="inlineStr">
        <is>
          <t>+225 05 54 66 60 20</t>
        </is>
      </c>
      <c r="H458" s="29" t="inlineStr">
        <is>
          <t>+225 07 08 44 37 54</t>
        </is>
      </c>
      <c r="I458" s="29" t="inlineStr">
        <is>
          <t>institutsuperieurnathanyop21@gmail.com</t>
        </is>
      </c>
      <c r="J458" s="29" t="inlineStr"/>
      <c r="K458" s="29" t="inlineStr">
        <is>
          <t>Directeur des Etudes</t>
        </is>
      </c>
      <c r="L458" s="30" t="inlineStr">
        <is>
          <t>Haute</t>
        </is>
      </c>
      <c r="M458" s="29" t="inlineStr">
        <is>
          <t>MESRS - liste officielle grandes ecoles</t>
        </is>
      </c>
      <c r="N458" s="29" t="inlineStr">
        <is>
          <t>gratuite</t>
        </is>
      </c>
      <c r="O458" s="14" t="inlineStr">
        <is>
          <t>a verifier</t>
        </is>
      </c>
      <c r="P458" s="29" t="inlineStr">
        <is>
          <t>commerce</t>
        </is>
      </c>
    </row>
    <row r="459">
      <c r="A459" s="29" t="inlineStr">
        <is>
          <t>INSTITUT SUPERIEUR SAINT CYRILLE (I2SC)</t>
        </is>
      </c>
      <c r="B459" s="29" t="inlineStr">
        <is>
          <t>Grande ecole BTS - assistanat de direction, finances comptabilite, gestion commerciale</t>
        </is>
      </c>
      <c r="C459" s="29" t="inlineStr">
        <is>
          <t>Prive</t>
        </is>
      </c>
      <c r="D459" s="29" t="inlineStr">
        <is>
          <t>Abidjan - Yopougon</t>
        </is>
      </c>
      <c r="E459" s="29" t="inlineStr">
        <is>
          <t>CITE CIE DERRIERE LA CLINIQUE SAINTE RITA DE CASCIA</t>
        </is>
      </c>
      <c r="F459" s="29" t="inlineStr">
        <is>
          <t>+225 27 23 46 86 47</t>
        </is>
      </c>
      <c r="G459" s="29" t="inlineStr">
        <is>
          <t>+225 01 40 70 06 26</t>
        </is>
      </c>
      <c r="H459" s="29" t="inlineStr">
        <is>
          <t>+225 01 40 70 06 26</t>
        </is>
      </c>
      <c r="I459" s="29" t="inlineStr">
        <is>
          <t>isscsup@gmail.com</t>
        </is>
      </c>
      <c r="J459" s="29" t="inlineStr"/>
      <c r="K459" s="29" t="inlineStr">
        <is>
          <t>Directeur des Etudes</t>
        </is>
      </c>
      <c r="L459" s="30" t="inlineStr">
        <is>
          <t>Haute</t>
        </is>
      </c>
      <c r="M459" s="29" t="inlineStr">
        <is>
          <t>MESRS - liste officielle grandes ecoles</t>
        </is>
      </c>
      <c r="N459" s="29" t="inlineStr">
        <is>
          <t>gratuite</t>
        </is>
      </c>
      <c r="O459" s="14" t="inlineStr">
        <is>
          <t>a verifier</t>
        </is>
      </c>
      <c r="P459" s="29" t="inlineStr">
        <is>
          <t>commerce</t>
        </is>
      </c>
    </row>
    <row r="460">
      <c r="A460" s="29" t="inlineStr">
        <is>
          <t>INSTITUT SUPERIEUR SEPI (IS YOPOUGON)</t>
        </is>
      </c>
      <c r="B460" s="29" t="inlineStr">
        <is>
          <t>Grande ecole BTS - assistanat de direction, agriculture tropicale, communication visuelle</t>
        </is>
      </c>
      <c r="C460" s="29" t="inlineStr">
        <is>
          <t>Prive</t>
        </is>
      </c>
      <c r="D460" s="29" t="inlineStr">
        <is>
          <t>Abidjan - Yopougon</t>
        </is>
      </c>
      <c r="E460" s="29" t="inlineStr">
        <is>
          <t>Yopougon Gabriel gare</t>
        </is>
      </c>
      <c r="F460" s="29" t="inlineStr">
        <is>
          <t>+225 07 77 25 83 47</t>
        </is>
      </c>
      <c r="G460" s="29" t="inlineStr"/>
      <c r="H460" s="29" t="inlineStr">
        <is>
          <t>+225 07 77 25 83 47</t>
        </is>
      </c>
      <c r="I460" s="29" t="inlineStr">
        <is>
          <t>nouhkone66@gmail.com</t>
        </is>
      </c>
      <c r="J460" s="29" t="inlineStr">
        <is>
          <t>https://www.uns-if.ci</t>
        </is>
      </c>
      <c r="K460" s="29" t="inlineStr">
        <is>
          <t>Directeur des Etudes</t>
        </is>
      </c>
      <c r="L460" s="30" t="inlineStr">
        <is>
          <t>Haute</t>
        </is>
      </c>
      <c r="M460" s="29" t="inlineStr">
        <is>
          <t>MESRS - liste officielle grandes ecoles</t>
        </is>
      </c>
      <c r="N460" s="29" t="inlineStr">
        <is>
          <t>gratuite</t>
        </is>
      </c>
      <c r="O460" s="14" t="inlineStr">
        <is>
          <t>a verifier</t>
        </is>
      </c>
      <c r="P460" s="29" t="inlineStr">
        <is>
          <t>commerce</t>
        </is>
      </c>
    </row>
    <row r="461">
      <c r="A461" s="29" t="inlineStr">
        <is>
          <t>INSTITUT SUPERIEURE DE TECHNOLOGIE ET PROFESSIONNEL YOPOUGON (ISTP YOPOUGON)</t>
        </is>
      </c>
      <c r="B461" s="29" t="inlineStr">
        <is>
          <t>Grande ecole BTS -</t>
        </is>
      </c>
      <c r="C461" s="29" t="inlineStr">
        <is>
          <t>Prive</t>
        </is>
      </c>
      <c r="D461" s="29" t="inlineStr">
        <is>
          <t>Abidjan - Yopougon</t>
        </is>
      </c>
      <c r="E461" s="29" t="inlineStr"/>
      <c r="F461" s="29" t="inlineStr"/>
      <c r="G461" s="29" t="inlineStr"/>
      <c r="H461" s="29" t="inlineStr"/>
      <c r="I461" s="29" t="inlineStr"/>
      <c r="J461" s="29" t="inlineStr"/>
      <c r="K461" s="29" t="inlineStr">
        <is>
          <t>Directeur des Etudes</t>
        </is>
      </c>
      <c r="L461" s="30" t="inlineStr">
        <is>
          <t>Haute</t>
        </is>
      </c>
      <c r="M461" s="29" t="inlineStr">
        <is>
          <t>MESRS - liste officielle grandes ecoles</t>
        </is>
      </c>
      <c r="N461" s="29" t="inlineStr"/>
      <c r="O461" s="31" t="inlineStr">
        <is>
          <t>sans email</t>
        </is>
      </c>
      <c r="P461" s="29" t="inlineStr">
        <is>
          <t>numerique</t>
        </is>
      </c>
    </row>
    <row r="462">
      <c r="A462" s="29" t="inlineStr">
        <is>
          <t>INSTITUT SUPÉRIEUR JEAN PAUL II (ISJP 2) - GROUPE LOKO</t>
        </is>
      </c>
      <c r="B462" s="29" t="inlineStr">
        <is>
          <t>Grande ecole BTS - arts, assistanat de direction, agriculture tropicale</t>
        </is>
      </c>
      <c r="C462" s="29" t="inlineStr">
        <is>
          <t>Prive</t>
        </is>
      </c>
      <c r="D462" s="29" t="inlineStr">
        <is>
          <t>Abidjan - Yopougon</t>
        </is>
      </c>
      <c r="E462" s="29" t="inlineStr">
        <is>
          <t>Yopougon ATTIE SIPOREX</t>
        </is>
      </c>
      <c r="F462" s="29" t="inlineStr">
        <is>
          <t>+225 01 60 99 50 81</t>
        </is>
      </c>
      <c r="G462" s="29" t="inlineStr">
        <is>
          <t>+225 01 60 99 50 82</t>
        </is>
      </c>
      <c r="H462" s="29" t="inlineStr">
        <is>
          <t>+225 01 60 99 50 81</t>
        </is>
      </c>
      <c r="I462" s="29" t="inlineStr">
        <is>
          <t>infos@groupeloko.com</t>
        </is>
      </c>
      <c r="J462" s="29" t="inlineStr">
        <is>
          <t>https://www.groupeloko.com</t>
        </is>
      </c>
      <c r="K462" s="29" t="inlineStr">
        <is>
          <t>Directeur des Etudes</t>
        </is>
      </c>
      <c r="L462" s="30" t="inlineStr">
        <is>
          <t>Haute</t>
        </is>
      </c>
      <c r="M462" s="29" t="inlineStr">
        <is>
          <t>MESRS - liste officielle grandes ecoles</t>
        </is>
      </c>
      <c r="N462" s="29" t="inlineStr">
        <is>
          <t>domaine propre</t>
        </is>
      </c>
      <c r="O462" s="14" t="inlineStr">
        <is>
          <t>a verifier</t>
        </is>
      </c>
      <c r="P462" s="29" t="inlineStr">
        <is>
          <t>commerce</t>
        </is>
      </c>
    </row>
    <row r="463">
      <c r="A463" s="29" t="inlineStr">
        <is>
          <t>INSTITUT SUP√âRIEUR DE FORMATION TECHNIQUE ET TERTIAIRE YOPOUGON (ISFOTT)</t>
        </is>
      </c>
      <c r="B463" s="29" t="inlineStr">
        <is>
          <t>Grande ecole BTS - finances comptabilite, gestion commerciale, informatique developpeur d'applications</t>
        </is>
      </c>
      <c r="C463" s="29" t="inlineStr">
        <is>
          <t>Prive</t>
        </is>
      </c>
      <c r="D463" s="29" t="inlineStr">
        <is>
          <t>Abidjan - Yopougon</t>
        </is>
      </c>
      <c r="E463" s="29" t="inlineStr">
        <is>
          <t>YOPOUGON marché camp militaire face pharmacie Nankoko</t>
        </is>
      </c>
      <c r="F463" s="29" t="inlineStr">
        <is>
          <t>+225 07 47 39 40 31</t>
        </is>
      </c>
      <c r="G463" s="29" t="inlineStr"/>
      <c r="H463" s="29" t="inlineStr">
        <is>
          <t>+225 07 47 39 40 31</t>
        </is>
      </c>
      <c r="I463" s="29" t="inlineStr">
        <is>
          <t>isfott.yop@gmail.com</t>
        </is>
      </c>
      <c r="J463" s="29" t="inlineStr"/>
      <c r="K463" s="29" t="inlineStr">
        <is>
          <t>Directeur des Etudes</t>
        </is>
      </c>
      <c r="L463" s="30" t="inlineStr">
        <is>
          <t>Haute</t>
        </is>
      </c>
      <c r="M463" s="29" t="inlineStr">
        <is>
          <t>MESRS - liste officielle grandes ecoles</t>
        </is>
      </c>
      <c r="N463" s="29" t="inlineStr">
        <is>
          <t>gratuite</t>
        </is>
      </c>
      <c r="O463" s="14" t="inlineStr">
        <is>
          <t>a verifier</t>
        </is>
      </c>
      <c r="P463" s="29" t="inlineStr">
        <is>
          <t>commerce</t>
        </is>
      </c>
    </row>
    <row r="464">
      <c r="A464" s="29" t="inlineStr">
        <is>
          <t>INSTITUT TECHNIQUE ET PROFESSIONNEL - CERIN (ITP - CERIN)</t>
        </is>
      </c>
      <c r="B464" s="29" t="inlineStr">
        <is>
          <t>Grande ecole BTS - assistanat de direction, finances comptabilite, genie civil</t>
        </is>
      </c>
      <c r="C464" s="29" t="inlineStr">
        <is>
          <t>Prive</t>
        </is>
      </c>
      <c r="D464" s="29" t="inlineStr">
        <is>
          <t>Abidjan - Yopougon</t>
        </is>
      </c>
      <c r="E464" s="29" t="inlineStr">
        <is>
          <t>INSTITUT PASTEUR</t>
        </is>
      </c>
      <c r="F464" s="29" t="inlineStr">
        <is>
          <t>+225 01 02 55 55 50</t>
        </is>
      </c>
      <c r="G464" s="29" t="inlineStr"/>
      <c r="H464" s="29" t="inlineStr">
        <is>
          <t>+225 01 02 55 55 50</t>
        </is>
      </c>
      <c r="I464" s="29" t="inlineStr">
        <is>
          <t>infos@ceringroup.com</t>
        </is>
      </c>
      <c r="J464" s="29" t="inlineStr">
        <is>
          <t>https://www.ceringroup.com</t>
        </is>
      </c>
      <c r="K464" s="29" t="inlineStr">
        <is>
          <t>Directeur des Etudes</t>
        </is>
      </c>
      <c r="L464" s="30" t="inlineStr">
        <is>
          <t>Haute</t>
        </is>
      </c>
      <c r="M464" s="29" t="inlineStr">
        <is>
          <t>MESRS - liste officielle grandes ecoles</t>
        </is>
      </c>
      <c r="N464" s="29" t="inlineStr">
        <is>
          <t>domaine propre</t>
        </is>
      </c>
      <c r="O464" s="14" t="inlineStr">
        <is>
          <t>a verifier</t>
        </is>
      </c>
      <c r="P464" s="29" t="inlineStr">
        <is>
          <t>commerce</t>
        </is>
      </c>
    </row>
    <row r="465">
      <c r="A465" s="29" t="inlineStr">
        <is>
          <t>INSTITUT UNIVERSITAIRE DE TECHNOLOGIE D'ABIDJAN YOPOUGON (IUT ABIDJAN YOPOUGON)</t>
        </is>
      </c>
      <c r="B465" s="29" t="inlineStr">
        <is>
          <t>Grande ecole BTS - arts, assistanat de direction, communication visuelle</t>
        </is>
      </c>
      <c r="C465" s="29" t="inlineStr">
        <is>
          <t>Prive</t>
        </is>
      </c>
      <c r="D465" s="29" t="inlineStr">
        <is>
          <t>Abidjan - Yopougon</t>
        </is>
      </c>
      <c r="E465" s="29" t="inlineStr">
        <is>
          <t>Camp Militaire, Rue en Face de la Pharmacie St Laurent (Pour la géolocalisation google maps, entrez les coordonnées suivantes : 8W9P+RW, Abidjan)</t>
        </is>
      </c>
      <c r="F465" s="29" t="inlineStr"/>
      <c r="G465" s="29" t="inlineStr"/>
      <c r="H465" s="29" t="inlineStr"/>
      <c r="I465" s="29" t="inlineStr">
        <is>
          <t>rusta.iut@gmail.com</t>
        </is>
      </c>
      <c r="J465" s="29" t="inlineStr">
        <is>
          <t>https:// www.iuta-yopougon.com</t>
        </is>
      </c>
      <c r="K465" s="29" t="inlineStr">
        <is>
          <t>Directeur des Etudes</t>
        </is>
      </c>
      <c r="L465" s="30" t="inlineStr">
        <is>
          <t>Haute</t>
        </is>
      </c>
      <c r="M465" s="29" t="inlineStr">
        <is>
          <t>MESRS - liste officielle grandes ecoles</t>
        </is>
      </c>
      <c r="N465" s="29" t="inlineStr">
        <is>
          <t>gratuite</t>
        </is>
      </c>
      <c r="O465" s="14" t="inlineStr">
        <is>
          <t>a verifier</t>
        </is>
      </c>
      <c r="P465" s="29" t="inlineStr">
        <is>
          <t>universite</t>
        </is>
      </c>
    </row>
    <row r="466">
      <c r="A466" s="29" t="inlineStr">
        <is>
          <t>INSTITUT UNIVERSITAIRE POLYTECHNIQUE D'ABIDJAN YOPOUGON (IUPA YOPOUGON)</t>
        </is>
      </c>
      <c r="B466" s="29" t="inlineStr">
        <is>
          <t>Grande ecole BTS/Licence - assistanat de direction, agriculture tropicale, electrotechnique</t>
        </is>
      </c>
      <c r="C466" s="29" t="inlineStr">
        <is>
          <t>Prive</t>
        </is>
      </c>
      <c r="D466" s="29" t="inlineStr">
        <is>
          <t>Abidjan - Yopougon</t>
        </is>
      </c>
      <c r="E466" s="29" t="inlineStr">
        <is>
          <t>Situé au quartier Millionnaire derrière la pharmacie Affia DG Yake Gondo</t>
        </is>
      </c>
      <c r="F466" s="29" t="inlineStr">
        <is>
          <t>+225 07 79 66 51 90</t>
        </is>
      </c>
      <c r="G466" s="29" t="inlineStr">
        <is>
          <t>+225 05 46 83 46 96</t>
        </is>
      </c>
      <c r="H466" s="29" t="inlineStr">
        <is>
          <t>+225 07 79 66 51 90</t>
        </is>
      </c>
      <c r="I466" s="29" t="inlineStr"/>
      <c r="J466" s="29" t="inlineStr"/>
      <c r="K466" s="29" t="inlineStr">
        <is>
          <t>Directeur des Etudes</t>
        </is>
      </c>
      <c r="L466" s="30" t="inlineStr">
        <is>
          <t>Haute</t>
        </is>
      </c>
      <c r="M466" s="29" t="inlineStr">
        <is>
          <t>MESRS - liste officielle grandes ecoles</t>
        </is>
      </c>
      <c r="N466" s="29" t="inlineStr"/>
      <c r="O466" s="31" t="inlineStr">
        <is>
          <t>sans email</t>
        </is>
      </c>
      <c r="P466" s="29" t="inlineStr">
        <is>
          <t>universite</t>
        </is>
      </c>
    </row>
    <row r="467">
      <c r="A467" s="29" t="inlineStr">
        <is>
          <t>INTERNATIONAL MANAGEMENT BUSINESS SCHOOL (IMBS)</t>
        </is>
      </c>
      <c r="B467" s="29" t="inlineStr">
        <is>
          <t>Grande ecole BTS - agriculture tropicale, communication visuelle, electrotechnique</t>
        </is>
      </c>
      <c r="C467" s="29" t="inlineStr">
        <is>
          <t>Prive</t>
        </is>
      </c>
      <c r="D467" s="29" t="inlineStr">
        <is>
          <t>Abidjan - Yopougon</t>
        </is>
      </c>
      <c r="E467" s="29" t="inlineStr">
        <is>
          <t>YOPOUGON ANCIEN BEL AIR NON LOIN DU CARREFOUR DETENTE</t>
        </is>
      </c>
      <c r="F467" s="29" t="inlineStr">
        <is>
          <t>+225 07 09 09 63 06</t>
        </is>
      </c>
      <c r="G467" s="29" t="inlineStr">
        <is>
          <t>+225 01 02 82 82 65</t>
        </is>
      </c>
      <c r="H467" s="29" t="inlineStr">
        <is>
          <t>+225 07 09 09 63 06</t>
        </is>
      </c>
      <c r="I467" s="29" t="inlineStr">
        <is>
          <t>be_msi@yahoo.fr</t>
        </is>
      </c>
      <c r="J467" s="29" t="inlineStr"/>
      <c r="K467" s="29" t="inlineStr">
        <is>
          <t>Directeur des Etudes</t>
        </is>
      </c>
      <c r="L467" s="30" t="inlineStr">
        <is>
          <t>Haute</t>
        </is>
      </c>
      <c r="M467" s="29" t="inlineStr">
        <is>
          <t>MESRS - liste officielle grandes ecoles</t>
        </is>
      </c>
      <c r="N467" s="29" t="inlineStr">
        <is>
          <t>gratuite</t>
        </is>
      </c>
      <c r="O467" s="14" t="inlineStr">
        <is>
          <t>a verifier</t>
        </is>
      </c>
      <c r="P467" s="29" t="inlineStr">
        <is>
          <t>commerce</t>
        </is>
      </c>
    </row>
    <row r="468">
      <c r="A468" s="29" t="inlineStr">
        <is>
          <t>ISFPT LE TRIOMPHE (Institut Supérieur de Formation Professionnelle et Technique)</t>
        </is>
      </c>
      <c r="B468" s="29" t="inlineStr">
        <is>
          <t>Grande ecole BTS - agriculture tropicale, communication visuelle, finances comptabilite</t>
        </is>
      </c>
      <c r="C468" s="29" t="inlineStr">
        <is>
          <t>Prive</t>
        </is>
      </c>
      <c r="D468" s="29" t="inlineStr">
        <is>
          <t>Abidjan - Yopougon</t>
        </is>
      </c>
      <c r="E468" s="29" t="inlineStr">
        <is>
          <t>Yopougon selmer</t>
        </is>
      </c>
      <c r="F468" s="29" t="inlineStr">
        <is>
          <t>+225 07 48 64 73 71</t>
        </is>
      </c>
      <c r="G468" s="29" t="inlineStr">
        <is>
          <t>+225 07 08 34 80 44</t>
        </is>
      </c>
      <c r="H468" s="29" t="inlineStr">
        <is>
          <t>+225 07 48 64 73 71</t>
        </is>
      </c>
      <c r="I468" s="29" t="inlineStr">
        <is>
          <t>dgismad22@gmail.com</t>
        </is>
      </c>
      <c r="J468" s="29" t="inlineStr"/>
      <c r="K468" s="29" t="inlineStr">
        <is>
          <t>Directeur des Etudes</t>
        </is>
      </c>
      <c r="L468" s="30" t="inlineStr">
        <is>
          <t>Haute</t>
        </is>
      </c>
      <c r="M468" s="29" t="inlineStr">
        <is>
          <t>MESRS - liste officielle grandes ecoles</t>
        </is>
      </c>
      <c r="N468" s="29" t="inlineStr">
        <is>
          <t>gratuite</t>
        </is>
      </c>
      <c r="O468" s="14" t="inlineStr">
        <is>
          <t>a verifier</t>
        </is>
      </c>
      <c r="P468" s="29" t="inlineStr">
        <is>
          <t>commerce</t>
        </is>
      </c>
    </row>
    <row r="469">
      <c r="A469" s="29" t="inlineStr">
        <is>
          <t>ISTG PIERRE MARIE YOPOUGON</t>
        </is>
      </c>
      <c r="B469" s="29" t="inlineStr">
        <is>
          <t>Grande ecole BTS - assistanat de direction, communication visuelle, finances comptabilite</t>
        </is>
      </c>
      <c r="C469" s="29" t="inlineStr">
        <is>
          <t>Prive</t>
        </is>
      </c>
      <c r="D469" s="29" t="inlineStr">
        <is>
          <t>Abidjan - Yopougon</t>
        </is>
      </c>
      <c r="E469" s="29" t="inlineStr">
        <is>
          <t>YOPOUGON QUATIER MAROC CARREFOUR SAINT PIERRE MARIE</t>
        </is>
      </c>
      <c r="F469" s="29" t="inlineStr">
        <is>
          <t>+225 07 49 46 62 07</t>
        </is>
      </c>
      <c r="G469" s="29" t="inlineStr">
        <is>
          <t>+225 07 47 55 54 23</t>
        </is>
      </c>
      <c r="H469" s="29" t="inlineStr">
        <is>
          <t>+225 07 49 46 62 07</t>
        </is>
      </c>
      <c r="I469" s="29" t="inlineStr">
        <is>
          <t>istgpierremarie7@gmail.com</t>
        </is>
      </c>
      <c r="J469" s="29" t="inlineStr"/>
      <c r="K469" s="29" t="inlineStr">
        <is>
          <t>Directeur des Etudes</t>
        </is>
      </c>
      <c r="L469" s="30" t="inlineStr">
        <is>
          <t>Haute</t>
        </is>
      </c>
      <c r="M469" s="29" t="inlineStr">
        <is>
          <t>MESRS - liste officielle grandes ecoles</t>
        </is>
      </c>
      <c r="N469" s="29" t="inlineStr">
        <is>
          <t>gratuite</t>
        </is>
      </c>
      <c r="O469" s="14" t="inlineStr">
        <is>
          <t>a verifier</t>
        </is>
      </c>
      <c r="P469" s="29" t="inlineStr">
        <is>
          <t>commerce</t>
        </is>
      </c>
    </row>
    <row r="470">
      <c r="A470" s="29" t="inlineStr">
        <is>
          <t>ISTT YOPOUGON</t>
        </is>
      </c>
      <c r="B470" s="29" t="inlineStr">
        <is>
          <t>Grande ecole BTS - assistanat de direction, agriculture tropicale, electrotechnique</t>
        </is>
      </c>
      <c r="C470" s="29" t="inlineStr">
        <is>
          <t>Prive</t>
        </is>
      </c>
      <c r="D470" s="29" t="inlineStr">
        <is>
          <t>Abidjan - Yopougon</t>
        </is>
      </c>
      <c r="E470" s="29" t="inlineStr">
        <is>
          <t>YOPOUGON KENEYA</t>
        </is>
      </c>
      <c r="F470" s="29" t="inlineStr">
        <is>
          <t>+225 27 23 00 13 86</t>
        </is>
      </c>
      <c r="G470" s="29" t="inlineStr"/>
      <c r="H470" s="29" t="inlineStr"/>
      <c r="I470" s="29" t="inlineStr">
        <is>
          <t>etep01istt@gmail.com</t>
        </is>
      </c>
      <c r="J470" s="29" t="inlineStr">
        <is>
          <t>https://www.groupetep.org</t>
        </is>
      </c>
      <c r="K470" s="29" t="inlineStr">
        <is>
          <t>Directeur des Etudes</t>
        </is>
      </c>
      <c r="L470" s="30" t="inlineStr">
        <is>
          <t>Haute</t>
        </is>
      </c>
      <c r="M470" s="29" t="inlineStr">
        <is>
          <t>MESRS - liste officielle grandes ecoles</t>
        </is>
      </c>
      <c r="N470" s="29" t="inlineStr">
        <is>
          <t>gratuite</t>
        </is>
      </c>
      <c r="O470" s="14" t="inlineStr">
        <is>
          <t>a verifier</t>
        </is>
      </c>
      <c r="P470" s="29" t="inlineStr">
        <is>
          <t>commerce</t>
        </is>
      </c>
    </row>
    <row r="471">
      <c r="A471" s="29" t="inlineStr">
        <is>
          <t>IUPA Yopougon - Institut Universitaire Polytechnique d'Abidjan</t>
        </is>
      </c>
      <c r="B471" s="29" t="inlineStr">
        <is>
          <t>Institut universitaire - polytechnique et tertiaire</t>
        </is>
      </c>
      <c r="C471" s="29" t="inlineStr">
        <is>
          <t>Prive</t>
        </is>
      </c>
      <c r="D471" s="29" t="inlineStr">
        <is>
          <t>Abidjan - Yopougon</t>
        </is>
      </c>
      <c r="E471" s="29" t="inlineStr">
        <is>
          <t>Yopougon Quartier Millionnaire rue des Universites</t>
        </is>
      </c>
      <c r="F471" s="29" t="inlineStr">
        <is>
          <t>+225 07 79 63 51 90</t>
        </is>
      </c>
      <c r="G471" s="29" t="inlineStr">
        <is>
          <t>+225 05 46 83 46 96</t>
        </is>
      </c>
      <c r="H471" s="29" t="inlineStr">
        <is>
          <t>+225 07 79 63 51 90</t>
        </is>
      </c>
      <c r="I471" s="29" t="inlineStr">
        <is>
          <t>groupeiupaismt@gmail.com</t>
        </is>
      </c>
      <c r="J471" s="29" t="inlineStr">
        <is>
          <t>iupa-ismt.ci</t>
        </is>
      </c>
      <c r="K471" s="29" t="inlineStr">
        <is>
          <t>Directeur des Etudes (par campus)</t>
        </is>
      </c>
      <c r="L471" s="30" t="inlineStr">
        <is>
          <t>Haute</t>
        </is>
      </c>
      <c r="M471" s="29" t="inlineStr">
        <is>
          <t>Site officiel iupa-ismt.ci | email : Page contact officielle iupa-ismt.ci</t>
        </is>
      </c>
      <c r="N471" s="29" t="inlineStr">
        <is>
          <t>gratuite</t>
        </is>
      </c>
      <c r="O471" s="14" t="inlineStr">
        <is>
          <t>a verifier</t>
        </is>
      </c>
      <c r="P471" s="29" t="inlineStr">
        <is>
          <t>universite</t>
        </is>
      </c>
    </row>
    <row r="472">
      <c r="A472" s="29" t="inlineStr">
        <is>
          <t>MERITT BUSINESS SCHOOL (MBS)</t>
        </is>
      </c>
      <c r="B472" s="29" t="inlineStr">
        <is>
          <t>Grande ecole BTS - assistanat de direction, agriculture tropicale, finances comptabilite</t>
        </is>
      </c>
      <c r="C472" s="29" t="inlineStr">
        <is>
          <t>Prive</t>
        </is>
      </c>
      <c r="D472" s="29" t="inlineStr">
        <is>
          <t>Abidjan - Yopougon</t>
        </is>
      </c>
      <c r="E472" s="29" t="inlineStr">
        <is>
          <t>Abatta en face de Mondial Béton</t>
        </is>
      </c>
      <c r="F472" s="29" t="inlineStr">
        <is>
          <t>+225 07 77 77 45 43</t>
        </is>
      </c>
      <c r="G472" s="29" t="inlineStr"/>
      <c r="H472" s="29" t="inlineStr">
        <is>
          <t>+225 07 77 77 45 43</t>
        </is>
      </c>
      <c r="I472" s="29" t="inlineStr">
        <is>
          <t>merittci2@gmail.com</t>
        </is>
      </c>
      <c r="J472" s="29" t="inlineStr">
        <is>
          <t>http://www.merittbs-edu.net</t>
        </is>
      </c>
      <c r="K472" s="29" t="inlineStr">
        <is>
          <t>Directeur des Etudes</t>
        </is>
      </c>
      <c r="L472" s="30" t="inlineStr">
        <is>
          <t>Haute</t>
        </is>
      </c>
      <c r="M472" s="29" t="inlineStr">
        <is>
          <t>MESRS - liste officielle grandes ecoles</t>
        </is>
      </c>
      <c r="N472" s="29" t="inlineStr">
        <is>
          <t>gratuite</t>
        </is>
      </c>
      <c r="O472" s="14" t="inlineStr">
        <is>
          <t>a verifier</t>
        </is>
      </c>
      <c r="P472" s="29" t="inlineStr">
        <is>
          <t>commerce</t>
        </is>
      </c>
    </row>
    <row r="473">
      <c r="A473" s="29" t="inlineStr">
        <is>
          <t>SUP'BARAKAT</t>
        </is>
      </c>
      <c r="B473" s="29" t="inlineStr">
        <is>
          <t>Grande ecole BTS - finances comptabilite, gestion commerciale, informatique developpeur d'applications</t>
        </is>
      </c>
      <c r="C473" s="29" t="inlineStr">
        <is>
          <t>Prive</t>
        </is>
      </c>
      <c r="D473" s="29" t="inlineStr">
        <is>
          <t>Abidjan - Yopougon</t>
        </is>
      </c>
      <c r="E473" s="29" t="inlineStr">
        <is>
          <t>YOPOUGON 1er pon, près du Lycée Moderne d'Anokoi à 200 mètre de la gare CTE Carrefour Mangou.</t>
        </is>
      </c>
      <c r="F473" s="29" t="inlineStr">
        <is>
          <t>+225 07 67 40 40 67</t>
        </is>
      </c>
      <c r="G473" s="29" t="inlineStr">
        <is>
          <t>+225 01 71 76 76 72</t>
        </is>
      </c>
      <c r="H473" s="29" t="inlineStr">
        <is>
          <t>+225 07 67 40 40 67</t>
        </is>
      </c>
      <c r="I473" s="29" t="inlineStr">
        <is>
          <t>esupbarakat@gmail.com</t>
        </is>
      </c>
      <c r="J473" s="29" t="inlineStr">
        <is>
          <t>https://www.supbarakat.ci</t>
        </is>
      </c>
      <c r="K473" s="29" t="inlineStr">
        <is>
          <t>Directeur des Etudes</t>
        </is>
      </c>
      <c r="L473" s="30" t="inlineStr">
        <is>
          <t>Haute</t>
        </is>
      </c>
      <c r="M473" s="29" t="inlineStr">
        <is>
          <t>MESRS - liste officielle grandes ecoles</t>
        </is>
      </c>
      <c r="N473" s="29" t="inlineStr">
        <is>
          <t>gratuite</t>
        </is>
      </c>
      <c r="O473" s="14" t="inlineStr">
        <is>
          <t>a verifier</t>
        </is>
      </c>
      <c r="P473" s="29" t="inlineStr">
        <is>
          <t>commerce</t>
        </is>
      </c>
    </row>
    <row r="474">
      <c r="A474" s="29" t="inlineStr">
        <is>
          <t>SUP'INTER YOPOUGON</t>
        </is>
      </c>
      <c r="B474" s="29" t="inlineStr">
        <is>
          <t>Grande ecole BTS - assistanat de direction, agriculture tropicale, electrotechnique</t>
        </is>
      </c>
      <c r="C474" s="29" t="inlineStr">
        <is>
          <t>Prive</t>
        </is>
      </c>
      <c r="D474" s="29" t="inlineStr">
        <is>
          <t>Abidjan - Yopougon</t>
        </is>
      </c>
      <c r="E474" s="29" t="inlineStr">
        <is>
          <t>YOPOUGON-SIPOREX, entre la "PHARMACIE-SIPOREX" et l'inspection du travail.</t>
        </is>
      </c>
      <c r="F474" s="29" t="inlineStr">
        <is>
          <t>+225 07 08 92 35 99</t>
        </is>
      </c>
      <c r="G474" s="29" t="inlineStr">
        <is>
          <t>+225 01 01 47 10 49</t>
        </is>
      </c>
      <c r="H474" s="29" t="inlineStr">
        <is>
          <t>+225 07 08 92 35 99</t>
        </is>
      </c>
      <c r="I474" s="29" t="inlineStr">
        <is>
          <t>sup.inter18@gmail.com</t>
        </is>
      </c>
      <c r="J474" s="29" t="inlineStr"/>
      <c r="K474" s="29" t="inlineStr">
        <is>
          <t>Directeur des Etudes</t>
        </is>
      </c>
      <c r="L474" s="30" t="inlineStr">
        <is>
          <t>Haute</t>
        </is>
      </c>
      <c r="M474" s="29" t="inlineStr">
        <is>
          <t>MESRS - liste officielle grandes ecoles</t>
        </is>
      </c>
      <c r="N474" s="29" t="inlineStr">
        <is>
          <t>gratuite</t>
        </is>
      </c>
      <c r="O474" s="14" t="inlineStr">
        <is>
          <t>a verifier</t>
        </is>
      </c>
      <c r="P474" s="29" t="inlineStr">
        <is>
          <t>commerce</t>
        </is>
      </c>
    </row>
    <row r="475">
      <c r="A475" s="29" t="inlineStr">
        <is>
          <t>ESTP (Ecole Superieure Technique et Professionnelle)</t>
        </is>
      </c>
      <c r="B475" s="29" t="inlineStr">
        <is>
          <t>Ecole superieure technique - BTS</t>
        </is>
      </c>
      <c r="C475" s="29" t="inlineStr">
        <is>
          <t>Prive</t>
        </is>
      </c>
      <c r="D475" s="29" t="inlineStr">
        <is>
          <t>Abidjan - Yopougon Bel Air</t>
        </is>
      </c>
      <c r="E475" s="29" t="inlineStr">
        <is>
          <t>Derriere Station Royal, Bel Air Yopougon, 08 BP 2234 Abidjan 08</t>
        </is>
      </c>
      <c r="F475" s="29" t="inlineStr">
        <is>
          <t>+225 27 23 52 89 18</t>
        </is>
      </c>
      <c r="G475" s="29" t="inlineStr"/>
      <c r="H475" s="29" t="inlineStr"/>
      <c r="I475" s="29" t="inlineStr"/>
      <c r="J475" s="29" t="inlineStr"/>
      <c r="K475" s="29" t="inlineStr">
        <is>
          <t>Directeur des Etudes</t>
        </is>
      </c>
      <c r="L475" s="29" t="inlineStr">
        <is>
          <t>Moyenne</t>
        </is>
      </c>
      <c r="M475" s="29" t="inlineStr">
        <is>
          <t>AnnuaireCI + Abidjan.net Pages Jaunes</t>
        </is>
      </c>
      <c r="N475" s="29" t="inlineStr"/>
      <c r="O475" s="31" t="inlineStr">
        <is>
          <t>sans email</t>
        </is>
      </c>
      <c r="P475" s="29" t="inlineStr">
        <is>
          <t>defaut</t>
        </is>
      </c>
    </row>
    <row r="476">
      <c r="A476" s="29" t="inlineStr">
        <is>
          <t>Lycee Municipal d'Abobo</t>
        </is>
      </c>
      <c r="B476" s="29" t="inlineStr">
        <is>
          <t>Lycee public</t>
        </is>
      </c>
      <c r="C476" s="29" t="inlineStr">
        <is>
          <t>Public</t>
        </is>
      </c>
      <c r="D476" s="29" t="inlineStr">
        <is>
          <t>Abidjan Abobo</t>
        </is>
      </c>
      <c r="E476" s="29" t="inlineStr">
        <is>
          <t>Commune d'Abobo quartier Avocatier Nguessankoi</t>
        </is>
      </c>
      <c r="F476" s="29" t="inlineStr">
        <is>
          <t>+225 05 06 80 53 60</t>
        </is>
      </c>
      <c r="G476" s="29" t="inlineStr"/>
      <c r="H476" s="29" t="inlineStr"/>
      <c r="I476" s="29" t="inlineStr"/>
      <c r="J476" s="29" t="inlineStr"/>
      <c r="K476" s="29" t="inlineStr">
        <is>
          <t>Proviseur / Censeur</t>
        </is>
      </c>
      <c r="L476" s="29" t="inlineStr">
        <is>
          <t>Moyenne</t>
        </is>
      </c>
      <c r="M476" s="29" t="inlineStr">
        <is>
          <t>annuaire cartographique en ligne</t>
        </is>
      </c>
      <c r="N476" s="29" t="inlineStr"/>
      <c r="O476" s="31" t="inlineStr">
        <is>
          <t>sans email</t>
        </is>
      </c>
      <c r="P476" s="29" t="inlineStr">
        <is>
          <t>lycee</t>
        </is>
      </c>
    </row>
    <row r="477">
      <c r="A477" s="29" t="inlineStr">
        <is>
          <t>Universite Nangui Abrogoua (UNA)</t>
        </is>
      </c>
      <c r="B477" s="29" t="inlineStr">
        <is>
          <t>Universite publique</t>
        </is>
      </c>
      <c r="C477" s="29" t="inlineStr">
        <is>
          <t>Public</t>
        </is>
      </c>
      <c r="D477" s="29" t="inlineStr">
        <is>
          <t>Abidjan Abobo-Adjame</t>
        </is>
      </c>
      <c r="E477" s="29" t="inlineStr">
        <is>
          <t>02 BP 801 Abidjan 02</t>
        </is>
      </c>
      <c r="F477" s="29" t="inlineStr">
        <is>
          <t>+225 05 85 07 58 05</t>
        </is>
      </c>
      <c r="G477" s="29" t="inlineStr"/>
      <c r="H477" s="29" t="inlineStr"/>
      <c r="I477" s="29" t="inlineStr">
        <is>
          <t>info@univ-na.ci</t>
        </is>
      </c>
      <c r="J477" s="29" t="inlineStr">
        <is>
          <t>univ-na.ci</t>
        </is>
      </c>
      <c r="K477" s="29" t="inlineStr">
        <is>
          <t>Directeur des Etudes</t>
        </is>
      </c>
      <c r="L477" s="30" t="inlineStr">
        <is>
          <t>Haute</t>
        </is>
      </c>
      <c r="M477" s="29" t="inlineStr">
        <is>
          <t>univ-na.ci / alluniversity.info</t>
        </is>
      </c>
      <c r="N477" s="29" t="inlineStr">
        <is>
          <t>domaine propre</t>
        </is>
      </c>
      <c r="O477" s="30" t="inlineStr">
        <is>
          <t>valide</t>
        </is>
      </c>
      <c r="P477" s="29" t="inlineStr">
        <is>
          <t>universite</t>
        </is>
      </c>
    </row>
    <row r="478">
      <c r="A478" s="29" t="inlineStr">
        <is>
          <t>BEM Ecole de Banque et de Finance</t>
        </is>
      </c>
      <c r="B478" s="29" t="inlineStr">
        <is>
          <t>Ecole superieure - banque finance assurance</t>
        </is>
      </c>
      <c r="C478" s="29" t="inlineStr">
        <is>
          <t>Prive</t>
        </is>
      </c>
      <c r="D478" s="29" t="inlineStr">
        <is>
          <t>Abidjan Cocody</t>
        </is>
      </c>
      <c r="E478" s="29" t="inlineStr">
        <is>
          <t>Riviera Bonoumin face Abidjan Mall BP 2607 Abidjan</t>
        </is>
      </c>
      <c r="F478" s="29" t="inlineStr">
        <is>
          <t>+225 27 21 77 67 41</t>
        </is>
      </c>
      <c r="G478" s="29" t="inlineStr">
        <is>
          <t>+225 07 77 49 77 49</t>
        </is>
      </c>
      <c r="H478" s="29" t="inlineStr"/>
      <c r="I478" s="29" t="inlineStr">
        <is>
          <t>contact@bem.ci</t>
        </is>
      </c>
      <c r="J478" s="29" t="inlineStr">
        <is>
          <t>https://bem.ci</t>
        </is>
      </c>
      <c r="K478" s="29" t="inlineStr">
        <is>
          <t>Directeur des Etudes</t>
        </is>
      </c>
      <c r="L478" s="30" t="inlineStr">
        <is>
          <t>Haute</t>
        </is>
      </c>
      <c r="M478" s="29" t="inlineStr">
        <is>
          <t>bem.ci</t>
        </is>
      </c>
      <c r="N478" s="29" t="inlineStr">
        <is>
          <t>domaine propre</t>
        </is>
      </c>
      <c r="O478" s="30" t="inlineStr">
        <is>
          <t>valide</t>
        </is>
      </c>
      <c r="P478" s="29" t="inlineStr">
        <is>
          <t>commerce</t>
        </is>
      </c>
    </row>
    <row r="479">
      <c r="A479" s="29" t="inlineStr">
        <is>
          <t>Ecole Superieure de Gestion (ESG)</t>
        </is>
      </c>
      <c r="B479" s="29" t="inlineStr">
        <is>
          <t>Grande ecole privee</t>
        </is>
      </c>
      <c r="C479" s="29" t="inlineStr">
        <is>
          <t>Prive</t>
        </is>
      </c>
      <c r="D479" s="29" t="inlineStr">
        <is>
          <t>Abidjan Cocody</t>
        </is>
      </c>
      <c r="E479" s="29" t="inlineStr">
        <is>
          <t>Cocody Abidjan</t>
        </is>
      </c>
      <c r="F479" s="29" t="inlineStr">
        <is>
          <t>+225 07 08 58 08 88</t>
        </is>
      </c>
      <c r="G479" s="29" t="inlineStr"/>
      <c r="H479" s="29" t="inlineStr"/>
      <c r="I479" s="29" t="inlineStr">
        <is>
          <t>infos@esg-ci.com</t>
        </is>
      </c>
      <c r="J479" s="29" t="inlineStr">
        <is>
          <t>esg-ci.com</t>
        </is>
      </c>
      <c r="K479" s="29" t="inlineStr">
        <is>
          <t>Directeur des Etudes</t>
        </is>
      </c>
      <c r="L479" s="30" t="inlineStr">
        <is>
          <t>Haute</t>
        </is>
      </c>
      <c r="M479" s="29" t="inlineStr">
        <is>
          <t>legrandfrere.africa + MESRS</t>
        </is>
      </c>
      <c r="N479" s="29" t="inlineStr">
        <is>
          <t>domaine propre</t>
        </is>
      </c>
      <c r="O479" s="30" t="inlineStr">
        <is>
          <t>valide</t>
        </is>
      </c>
      <c r="P479" s="29" t="inlineStr">
        <is>
          <t>commerce</t>
        </is>
      </c>
    </row>
    <row r="480">
      <c r="A480" s="29" t="inlineStr">
        <is>
          <t>EGT Ecole de la Geomatique et du Territoire</t>
        </is>
      </c>
      <c r="B480" s="29" t="inlineStr">
        <is>
          <t>Ecole superieure - topographie geometre geomatique</t>
        </is>
      </c>
      <c r="C480" s="29" t="inlineStr">
        <is>
          <t>Prive</t>
        </is>
      </c>
      <c r="D480" s="29" t="inlineStr">
        <is>
          <t>Abidjan Cocody</t>
        </is>
      </c>
      <c r="E480" s="29" t="inlineStr">
        <is>
          <t>Cocody Abatta 27 BP 753 Abidjan 27</t>
        </is>
      </c>
      <c r="F480" s="29" t="inlineStr">
        <is>
          <t>+225 07 05 20 74 85</t>
        </is>
      </c>
      <c r="G480" s="29" t="inlineStr"/>
      <c r="H480" s="29" t="inlineStr"/>
      <c r="I480" s="29" t="inlineStr">
        <is>
          <t>david.niamien@egt.ci</t>
        </is>
      </c>
      <c r="J480" s="29" t="inlineStr">
        <is>
          <t>https://egt.ci</t>
        </is>
      </c>
      <c r="K480" s="29" t="inlineStr">
        <is>
          <t>Directeur des Etudes</t>
        </is>
      </c>
      <c r="L480" s="30" t="inlineStr">
        <is>
          <t>Haute</t>
        </is>
      </c>
      <c r="M480" s="29" t="inlineStr">
        <is>
          <t>egt.ci</t>
        </is>
      </c>
      <c r="N480" s="29" t="inlineStr">
        <is>
          <t>domaine propre</t>
        </is>
      </c>
      <c r="O480" s="30" t="inlineStr">
        <is>
          <t>valide</t>
        </is>
      </c>
      <c r="P480" s="29" t="inlineStr">
        <is>
          <t>btp</t>
        </is>
      </c>
    </row>
    <row r="481">
      <c r="A481" s="29" t="inlineStr">
        <is>
          <t>GEA Groupe Ecoles Abidjan</t>
        </is>
      </c>
      <c r="B481" s="29" t="inlineStr">
        <is>
          <t>Groupe d ecoles - energie mines petrole et comptabilite finance</t>
        </is>
      </c>
      <c r="C481" s="29" t="inlineStr">
        <is>
          <t>Prive</t>
        </is>
      </c>
      <c r="D481" s="29" t="inlineStr">
        <is>
          <t>Abidjan Cocody</t>
        </is>
      </c>
      <c r="E481" s="29" t="inlineStr">
        <is>
          <t>Impasse le Chandelier derriere le BURIDA Deux-Plateaux Vallon 01 BP 3874 Abidjan 01</t>
        </is>
      </c>
      <c r="F481" s="29" t="inlineStr">
        <is>
          <t>+225 05 74 27 04 97</t>
        </is>
      </c>
      <c r="G481" s="29" t="inlineStr"/>
      <c r="H481" s="29" t="inlineStr"/>
      <c r="I481" s="29" t="inlineStr">
        <is>
          <t>info@gea-ci.com</t>
        </is>
      </c>
      <c r="J481" s="29" t="inlineStr">
        <is>
          <t>https://www.gea-ci.com</t>
        </is>
      </c>
      <c r="K481" s="29" t="inlineStr">
        <is>
          <t>Directeur des Etudes</t>
        </is>
      </c>
      <c r="L481" s="30" t="inlineStr">
        <is>
          <t>Haute</t>
        </is>
      </c>
      <c r="M481" s="29" t="inlineStr">
        <is>
          <t>annuaireci.com + MESRS</t>
        </is>
      </c>
      <c r="N481" s="29" t="inlineStr">
        <is>
          <t>domaine propre</t>
        </is>
      </c>
      <c r="O481" s="32" t="inlineStr">
        <is>
          <t>boite pleine</t>
        </is>
      </c>
      <c r="P481" s="29" t="inlineStr">
        <is>
          <t>btp</t>
        </is>
      </c>
    </row>
    <row r="482">
      <c r="A482" s="29" t="inlineStr">
        <is>
          <t>ISAECI</t>
        </is>
      </c>
      <c r="B482" s="29" t="inlineStr">
        <is>
          <t>Institut superieur - finance comptabilite gestion</t>
        </is>
      </c>
      <c r="C482" s="29" t="inlineStr">
        <is>
          <t>Prive</t>
        </is>
      </c>
      <c r="D482" s="29" t="inlineStr">
        <is>
          <t>Abidjan Cocody</t>
        </is>
      </c>
      <c r="E482" s="29" t="inlineStr">
        <is>
          <t>Riviera 2 Carrefour Doraville</t>
        </is>
      </c>
      <c r="F482" s="29" t="inlineStr">
        <is>
          <t>+225 27 22 43 54 05</t>
        </is>
      </c>
      <c r="G482" s="29" t="inlineStr">
        <is>
          <t>+225 07 09 74 28 16</t>
        </is>
      </c>
      <c r="H482" s="29" t="inlineStr"/>
      <c r="I482" s="29" t="inlineStr">
        <is>
          <t>contact@isaeci.com</t>
        </is>
      </c>
      <c r="J482" s="29" t="inlineStr">
        <is>
          <t>https://isaeci.com</t>
        </is>
      </c>
      <c r="K482" s="29" t="inlineStr">
        <is>
          <t>Directeur des Etudes</t>
        </is>
      </c>
      <c r="L482" s="30" t="inlineStr">
        <is>
          <t>Haute</t>
        </is>
      </c>
      <c r="M482" s="29" t="inlineStr">
        <is>
          <t>isaeci.com</t>
        </is>
      </c>
      <c r="N482" s="29" t="inlineStr">
        <is>
          <t>domaine propre</t>
        </is>
      </c>
      <c r="O482" s="30" t="inlineStr">
        <is>
          <t>valide</t>
        </is>
      </c>
      <c r="P482" s="29" t="inlineStr">
        <is>
          <t>commerce</t>
        </is>
      </c>
    </row>
    <row r="483">
      <c r="A483" s="29" t="inlineStr">
        <is>
          <t>IUSS Institut Universitaire des Sciences de la Sante de Cote d Ivoire</t>
        </is>
      </c>
      <c r="B483" s="29" t="inlineStr">
        <is>
          <t>Institut superieur - sante paramedical infirmiers sages-femmes</t>
        </is>
      </c>
      <c r="C483" s="29" t="inlineStr">
        <is>
          <t>Prive</t>
        </is>
      </c>
      <c r="D483" s="29" t="inlineStr">
        <is>
          <t>Abidjan Cocody</t>
        </is>
      </c>
      <c r="E483" s="29" t="inlineStr">
        <is>
          <t>Riviera Bonoumin 04 BP 1390 Abidjan</t>
        </is>
      </c>
      <c r="F483" s="29" t="inlineStr">
        <is>
          <t>+225 05 74 74 70 65</t>
        </is>
      </c>
      <c r="G483" s="29" t="inlineStr">
        <is>
          <t>+225 07 07 11 00 48</t>
        </is>
      </c>
      <c r="H483" s="29" t="inlineStr"/>
      <c r="I483" s="29" t="inlineStr"/>
      <c r="J483" s="29" t="inlineStr"/>
      <c r="K483" s="29" t="inlineStr">
        <is>
          <t>Directeur des Etudes</t>
        </is>
      </c>
      <c r="L483" s="29" t="inlineStr">
        <is>
          <t>Moyenne</t>
        </is>
      </c>
      <c r="M483" s="29" t="inlineStr">
        <is>
          <t>edukiya.com</t>
        </is>
      </c>
      <c r="N483" s="29" t="inlineStr"/>
      <c r="O483" s="31" t="inlineStr">
        <is>
          <t>sans email</t>
        </is>
      </c>
      <c r="P483" s="29" t="inlineStr">
        <is>
          <t>sante</t>
        </is>
      </c>
    </row>
    <row r="484">
      <c r="A484" s="29" t="inlineStr">
        <is>
          <t>Lycee Technique d'Abidjan (LTA Cocody)</t>
        </is>
      </c>
      <c r="B484" s="29" t="inlineStr">
        <is>
          <t>Lycee technique</t>
        </is>
      </c>
      <c r="C484" s="29" t="inlineStr">
        <is>
          <t>Public</t>
        </is>
      </c>
      <c r="D484" s="29" t="inlineStr">
        <is>
          <t>Abidjan Cocody</t>
        </is>
      </c>
      <c r="E484" s="29" t="inlineStr">
        <is>
          <t>Rue du Lycee Technique Cocody Abidjan</t>
        </is>
      </c>
      <c r="F484" s="29" t="inlineStr">
        <is>
          <t>+225 27 22 40 60 87</t>
        </is>
      </c>
      <c r="G484" s="29" t="inlineStr"/>
      <c r="H484" s="29" t="inlineStr"/>
      <c r="I484" s="29" t="inlineStr"/>
      <c r="J484" s="29" t="inlineStr">
        <is>
          <t>lta-ci.net</t>
        </is>
      </c>
      <c r="K484" s="29" t="inlineStr">
        <is>
          <t>Proviseur / Censeur</t>
        </is>
      </c>
      <c r="L484" s="30" t="inlineStr">
        <is>
          <t>Haute</t>
        </is>
      </c>
      <c r="M484" s="29" t="inlineStr">
        <is>
          <t>lta-ci.net</t>
        </is>
      </c>
      <c r="N484" s="29" t="inlineStr"/>
      <c r="O484" s="31" t="inlineStr">
        <is>
          <t>sans email</t>
        </is>
      </c>
      <c r="P484" s="29" t="inlineStr">
        <is>
          <t>lycee</t>
        </is>
      </c>
    </row>
    <row r="485">
      <c r="A485" s="29" t="inlineStr">
        <is>
          <t>Universite Charles Louis de Montesquieu (UCLM)</t>
        </is>
      </c>
      <c r="B485" s="29" t="inlineStr">
        <is>
          <t>Universite privee</t>
        </is>
      </c>
      <c r="C485" s="29" t="inlineStr">
        <is>
          <t>Prive</t>
        </is>
      </c>
      <c r="D485" s="29" t="inlineStr">
        <is>
          <t>Abidjan Cocody</t>
        </is>
      </c>
      <c r="E485" s="29" t="inlineStr">
        <is>
          <t>Cocody Cite Mermoz</t>
        </is>
      </c>
      <c r="F485" s="29" t="inlineStr">
        <is>
          <t>+225 07 07 87 25 41</t>
        </is>
      </c>
      <c r="G485" s="29" t="inlineStr">
        <is>
          <t>+225 01 42 97 21 65</t>
        </is>
      </c>
      <c r="H485" s="29" t="inlineStr"/>
      <c r="I485" s="29" t="inlineStr"/>
      <c r="J485" s="29" t="inlineStr"/>
      <c r="K485" s="29" t="inlineStr">
        <is>
          <t>Directeur des Etudes</t>
        </is>
      </c>
      <c r="L485" s="29" t="inlineStr">
        <is>
          <t>Moyenne</t>
        </is>
      </c>
      <c r="M485" s="29" t="inlineStr">
        <is>
          <t>annuaireci.com / upesup.ci</t>
        </is>
      </c>
      <c r="N485" s="29" t="inlineStr"/>
      <c r="O485" s="31" t="inlineStr">
        <is>
          <t>sans email</t>
        </is>
      </c>
      <c r="P485" s="29" t="inlineStr">
        <is>
          <t>universite</t>
        </is>
      </c>
    </row>
    <row r="486">
      <c r="A486" s="29" t="inlineStr">
        <is>
          <t>Universite Methodiste de Cote d'Ivoire (UMECI)</t>
        </is>
      </c>
      <c r="B486" s="29" t="inlineStr">
        <is>
          <t>Universite privee</t>
        </is>
      </c>
      <c r="C486" s="29" t="inlineStr">
        <is>
          <t>Prive confessionnel</t>
        </is>
      </c>
      <c r="D486" s="29" t="inlineStr">
        <is>
          <t>Abidjan Cocody</t>
        </is>
      </c>
      <c r="E486" s="29" t="inlineStr">
        <is>
          <t>Boulevard de l'Universite face CHU de Cocody</t>
        </is>
      </c>
      <c r="F486" s="29" t="inlineStr">
        <is>
          <t>+225 27 22 44 66 68</t>
        </is>
      </c>
      <c r="G486" s="29" t="inlineStr">
        <is>
          <t>+225 27 22 44 90 77</t>
        </is>
      </c>
      <c r="H486" s="29" t="inlineStr"/>
      <c r="I486" s="29" t="inlineStr"/>
      <c r="J486" s="29" t="inlineStr">
        <is>
          <t>umeci.org.ci</t>
        </is>
      </c>
      <c r="K486" s="29" t="inlineStr">
        <is>
          <t>Directeur des Etudes</t>
        </is>
      </c>
      <c r="L486" s="30" t="inlineStr">
        <is>
          <t>Haute</t>
        </is>
      </c>
      <c r="M486" s="29" t="inlineStr">
        <is>
          <t>umeci.org.ci / upesup.ci</t>
        </is>
      </c>
      <c r="N486" s="29" t="inlineStr"/>
      <c r="O486" s="31" t="inlineStr">
        <is>
          <t>sans email</t>
        </is>
      </c>
      <c r="P486" s="29" t="inlineStr">
        <is>
          <t>universite</t>
        </is>
      </c>
    </row>
    <row r="487">
      <c r="A487" s="29" t="inlineStr">
        <is>
          <t>Universite Virtuelle de Cote d'Ivoire (UVCI)</t>
        </is>
      </c>
      <c r="B487" s="29" t="inlineStr">
        <is>
          <t>Universite publique</t>
        </is>
      </c>
      <c r="C487" s="29" t="inlineStr">
        <is>
          <t>Public</t>
        </is>
      </c>
      <c r="D487" s="29" t="inlineStr">
        <is>
          <t>Abidjan Cocody</t>
        </is>
      </c>
      <c r="E487" s="29" t="inlineStr">
        <is>
          <t>Cocody Deux-Plateaux rue K4 a 200 m apres le Tribunal du Commerce</t>
        </is>
      </c>
      <c r="F487" s="29" t="inlineStr"/>
      <c r="G487" s="29" t="inlineStr"/>
      <c r="H487" s="29" t="inlineStr"/>
      <c r="I487" s="29" t="inlineStr">
        <is>
          <t>secretariat@uvci.edu.ci</t>
        </is>
      </c>
      <c r="J487" s="29" t="inlineStr">
        <is>
          <t>uvci.edu.ci</t>
        </is>
      </c>
      <c r="K487" s="29" t="inlineStr">
        <is>
          <t>Directeur des Etudes</t>
        </is>
      </c>
      <c r="L487" s="30" t="inlineStr">
        <is>
          <t>Haute</t>
        </is>
      </c>
      <c r="M487" s="29" t="inlineStr">
        <is>
          <t>uvci.edu.ci</t>
        </is>
      </c>
      <c r="N487" s="29" t="inlineStr">
        <is>
          <t>domaine propre</t>
        </is>
      </c>
      <c r="O487" s="30" t="inlineStr">
        <is>
          <t>valide</t>
        </is>
      </c>
      <c r="P487" s="29" t="inlineStr">
        <is>
          <t>universite</t>
        </is>
      </c>
    </row>
    <row r="488">
      <c r="A488" s="29" t="inlineStr">
        <is>
          <t>Lycee Professionnel Hotelier d'Abidjan (LPHA Riviera)</t>
        </is>
      </c>
      <c r="B488" s="29" t="inlineStr">
        <is>
          <t>Lycee professionnel</t>
        </is>
      </c>
      <c r="C488" s="29" t="inlineStr">
        <is>
          <t>Public</t>
        </is>
      </c>
      <c r="D488" s="29" t="inlineStr">
        <is>
          <t>Abidjan Cocody Riviera Golf</t>
        </is>
      </c>
      <c r="E488" s="29" t="inlineStr">
        <is>
          <t>12 rue Martin Luther King derriere l'Ambassade des USA Riviera Golf Cocody</t>
        </is>
      </c>
      <c r="F488" s="29" t="inlineStr">
        <is>
          <t>+225 27 22 43 00 73</t>
        </is>
      </c>
      <c r="G488" s="29" t="inlineStr">
        <is>
          <t>+225 27 22 43 25 88</t>
        </is>
      </c>
      <c r="H488" s="29" t="inlineStr"/>
      <c r="I488" s="29" t="inlineStr">
        <is>
          <t>lyceeprofhotelier@yahoo.fr</t>
        </is>
      </c>
      <c r="J488" s="29" t="inlineStr">
        <is>
          <t>lphr.ci</t>
        </is>
      </c>
      <c r="K488" s="29" t="inlineStr">
        <is>
          <t>Proviseur / Censeur</t>
        </is>
      </c>
      <c r="L488" s="30" t="inlineStr">
        <is>
          <t>Haute</t>
        </is>
      </c>
      <c r="M488" s="29" t="inlineStr">
        <is>
          <t>lyceeprohotelier.sch-ci.org / lphr.ci</t>
        </is>
      </c>
      <c r="N488" s="29" t="inlineStr">
        <is>
          <t>gratuite</t>
        </is>
      </c>
      <c r="O488" s="30" t="inlineStr">
        <is>
          <t>valide</t>
        </is>
      </c>
      <c r="P488" s="29" t="inlineStr">
        <is>
          <t>lycee</t>
        </is>
      </c>
    </row>
    <row r="489">
      <c r="A489" s="29" t="inlineStr">
        <is>
          <t>AGEFOP - Agence Nationale de la Formation Professionnelle</t>
        </is>
      </c>
      <c r="B489" s="29" t="inlineStr">
        <is>
          <t>Centre de formation professionnelle agree</t>
        </is>
      </c>
      <c r="C489" s="29" t="inlineStr">
        <is>
          <t>Public</t>
        </is>
      </c>
      <c r="D489" s="29" t="inlineStr">
        <is>
          <t>Abidjan Marcory Zone 4</t>
        </is>
      </c>
      <c r="E489" s="29" t="inlineStr">
        <is>
          <t>Angle rue Canal de Bietry et rue Pierre et Marie Curie Zone 4C Marcory</t>
        </is>
      </c>
      <c r="F489" s="29" t="inlineStr">
        <is>
          <t>+225 07 77 74 93 80</t>
        </is>
      </c>
      <c r="G489" s="29" t="inlineStr"/>
      <c r="H489" s="29" t="inlineStr"/>
      <c r="I489" s="29" t="inlineStr"/>
      <c r="J489" s="29" t="inlineStr">
        <is>
          <t>agefop.ci</t>
        </is>
      </c>
      <c r="K489" s="29" t="inlineStr">
        <is>
          <t>Responsable Formation / Directeur des Etudes</t>
        </is>
      </c>
      <c r="L489" s="29" t="inlineStr">
        <is>
          <t>Moyenne</t>
        </is>
      </c>
      <c r="M489" s="29" t="inlineStr">
        <is>
          <t>agefop.ci / annuaireci.com</t>
        </is>
      </c>
      <c r="N489" s="29" t="inlineStr"/>
      <c r="O489" s="31" t="inlineStr">
        <is>
          <t>sans email</t>
        </is>
      </c>
      <c r="P489" s="29" t="inlineStr">
        <is>
          <t>formation</t>
        </is>
      </c>
    </row>
    <row r="490">
      <c r="A490" s="29" t="inlineStr">
        <is>
          <t>Ecole Superieure des Affaires et de Management (ESAM)</t>
        </is>
      </c>
      <c r="B490" s="29" t="inlineStr">
        <is>
          <t>Grande ecole privee</t>
        </is>
      </c>
      <c r="C490" s="29" t="inlineStr">
        <is>
          <t>Prive</t>
        </is>
      </c>
      <c r="D490" s="29" t="inlineStr">
        <is>
          <t>Abidjan Treichville Zone 2</t>
        </is>
      </c>
      <c r="E490" s="29" t="inlineStr">
        <is>
          <t>Zone 2 Immeuble Roche 4eme etage face Gare de Bassam Boulevard VGE 15 BP 576 Abidjan 15</t>
        </is>
      </c>
      <c r="F490" s="29" t="inlineStr">
        <is>
          <t>+225 27 21 25 46 00</t>
        </is>
      </c>
      <c r="G490" s="29" t="inlineStr">
        <is>
          <t>+225 27 21 25 64 00</t>
        </is>
      </c>
      <c r="H490" s="29" t="inlineStr"/>
      <c r="I490" s="29" t="inlineStr"/>
      <c r="J490" s="29" t="inlineStr"/>
      <c r="K490" s="29" t="inlineStr">
        <is>
          <t>Directeur des Etudes</t>
        </is>
      </c>
      <c r="L490" s="29" t="inlineStr">
        <is>
          <t>Moyenne</t>
        </is>
      </c>
      <c r="M490" s="29" t="inlineStr">
        <is>
          <t>emploi.ci / excelafrica.com</t>
        </is>
      </c>
      <c r="N490" s="29" t="inlineStr"/>
      <c r="O490" s="31" t="inlineStr">
        <is>
          <t>sans email</t>
        </is>
      </c>
      <c r="P490" s="29" t="inlineStr">
        <is>
          <t>defaut</t>
        </is>
      </c>
    </row>
    <row r="491">
      <c r="A491" s="29" t="inlineStr">
        <is>
          <t>ARSTM Academie Regionale des Sciences et Techniques de la Mer</t>
        </is>
      </c>
      <c r="B491" s="29" t="inlineStr">
        <is>
          <t>Academie maritime - transport maritime et navigation</t>
        </is>
      </c>
      <c r="C491" s="29" t="inlineStr">
        <is>
          <t>Public</t>
        </is>
      </c>
      <c r="D491" s="29" t="inlineStr">
        <is>
          <t>Abidjan Yopougon</t>
        </is>
      </c>
      <c r="E491" s="29" t="inlineStr">
        <is>
          <t>V 158 Abidjan Republique de Cote d Ivoire</t>
        </is>
      </c>
      <c r="F491" s="29" t="inlineStr">
        <is>
          <t>+225 27 23 46 08 08</t>
        </is>
      </c>
      <c r="G491" s="29" t="inlineStr">
        <is>
          <t>+225 01 01 08 08 02</t>
        </is>
      </c>
      <c r="H491" s="29" t="inlineStr"/>
      <c r="I491" s="29" t="inlineStr">
        <is>
          <t>arstminfo@arstm.net</t>
        </is>
      </c>
      <c r="J491" s="29" t="inlineStr">
        <is>
          <t>https://arstm.net</t>
        </is>
      </c>
      <c r="K491" s="29" t="inlineStr">
        <is>
          <t>Directeur des Etudes</t>
        </is>
      </c>
      <c r="L491" s="30" t="inlineStr">
        <is>
          <t>Haute</t>
        </is>
      </c>
      <c r="M491" s="29" t="inlineStr">
        <is>
          <t>arstm.net</t>
        </is>
      </c>
      <c r="N491" s="29" t="inlineStr">
        <is>
          <t>domaine propre</t>
        </is>
      </c>
      <c r="O491" s="30" t="inlineStr">
        <is>
          <t>valide</t>
        </is>
      </c>
      <c r="P491" s="29" t="inlineStr">
        <is>
          <t>logistique</t>
        </is>
      </c>
    </row>
    <row r="492">
      <c r="A492" s="29" t="inlineStr">
        <is>
          <t>CFOMIS</t>
        </is>
      </c>
      <c r="B492" s="29" t="inlineStr">
        <is>
          <t>Ecole de sante - infirmiers sages-femmes auxiliaires de soins</t>
        </is>
      </c>
      <c r="C492" s="29" t="inlineStr">
        <is>
          <t>Prive</t>
        </is>
      </c>
      <c r="D492" s="29" t="inlineStr">
        <is>
          <t>Abidjan Yopougon</t>
        </is>
      </c>
      <c r="E492" s="29" t="inlineStr">
        <is>
          <t>Yopougon quartier Millionnaire carrefour Antenne apres le lycee de jeunes filles</t>
        </is>
      </c>
      <c r="F492" s="29" t="inlineStr">
        <is>
          <t>+225 27 23 48 90 95</t>
        </is>
      </c>
      <c r="G492" s="29" t="inlineStr">
        <is>
          <t>+225 07 67 65 17 67</t>
        </is>
      </c>
      <c r="H492" s="29" t="inlineStr"/>
      <c r="I492" s="29" t="inlineStr">
        <is>
          <t>infos@cfomis-ci.com</t>
        </is>
      </c>
      <c r="J492" s="29" t="inlineStr">
        <is>
          <t>https://cfomis-ci.com</t>
        </is>
      </c>
      <c r="K492" s="29" t="inlineStr">
        <is>
          <t>Directeur des Etudes</t>
        </is>
      </c>
      <c r="L492" s="30" t="inlineStr">
        <is>
          <t>Haute</t>
        </is>
      </c>
      <c r="M492" s="29" t="inlineStr">
        <is>
          <t>cfomis-ci.com</t>
        </is>
      </c>
      <c r="N492" s="29" t="inlineStr">
        <is>
          <t>domaine propre</t>
        </is>
      </c>
      <c r="O492" s="32" t="inlineStr">
        <is>
          <t>boite pleine</t>
        </is>
      </c>
      <c r="P492" s="29" t="inlineStr">
        <is>
          <t>sante</t>
        </is>
      </c>
    </row>
    <row r="493">
      <c r="A493" s="29" t="inlineStr">
        <is>
          <t>ESCG La Sorbonne - Groupe La Sorbonne</t>
        </is>
      </c>
      <c r="B493" s="29" t="inlineStr">
        <is>
          <t>Grande ecole privee</t>
        </is>
      </c>
      <c r="C493" s="29" t="inlineStr">
        <is>
          <t>Prive</t>
        </is>
      </c>
      <c r="D493" s="29" t="inlineStr">
        <is>
          <t>Abidjan Yopougon</t>
        </is>
      </c>
      <c r="E493" s="29" t="inlineStr">
        <is>
          <t>20 BP 105 Abidjan 20 Yopougon Ananeraie Carrefour de la Sorbonne derriere Eglise Ste Elisabeth</t>
        </is>
      </c>
      <c r="F493" s="29" t="inlineStr">
        <is>
          <t>+225 27 23 46 85 82</t>
        </is>
      </c>
      <c r="G493" s="29" t="inlineStr">
        <is>
          <t>+225 07 08 91 46 30</t>
        </is>
      </c>
      <c r="H493" s="29" t="inlineStr"/>
      <c r="I493" s="29" t="inlineStr"/>
      <c r="J493" s="29" t="inlineStr">
        <is>
          <t>groupelasorbonne.ci</t>
        </is>
      </c>
      <c r="K493" s="29" t="inlineStr">
        <is>
          <t>Directeur des Etudes</t>
        </is>
      </c>
      <c r="L493" s="30" t="inlineStr">
        <is>
          <t>Haute</t>
        </is>
      </c>
      <c r="M493" s="29" t="inlineStr">
        <is>
          <t>groupelasorbonne.ci / annuaireci.com</t>
        </is>
      </c>
      <c r="N493" s="29" t="inlineStr"/>
      <c r="O493" s="31" t="inlineStr">
        <is>
          <t>sans email</t>
        </is>
      </c>
      <c r="P493" s="29" t="inlineStr">
        <is>
          <t>defaut</t>
        </is>
      </c>
    </row>
    <row r="494">
      <c r="A494" s="29" t="inlineStr">
        <is>
          <t>Groupe ETP-ESMIT</t>
        </is>
      </c>
      <c r="B494" s="29" t="inlineStr">
        <is>
          <t>Ecole superieure - transit logistique transport</t>
        </is>
      </c>
      <c r="C494" s="29" t="inlineStr">
        <is>
          <t>Prive</t>
        </is>
      </c>
      <c r="D494" s="29" t="inlineStr">
        <is>
          <t>Abidjan Yopougon</t>
        </is>
      </c>
      <c r="E494" s="29" t="inlineStr">
        <is>
          <t>Carrefour Ancien Bel Air a 100 metres de JD Edition</t>
        </is>
      </c>
      <c r="F494" s="29" t="inlineStr">
        <is>
          <t>+225 07 08 08 89 80</t>
        </is>
      </c>
      <c r="G494" s="29" t="inlineStr">
        <is>
          <t>+225 01 40 19 53 30</t>
        </is>
      </c>
      <c r="H494" s="29" t="inlineStr">
        <is>
          <t>+225 07 08 08 89 80</t>
        </is>
      </c>
      <c r="I494" s="29" t="inlineStr">
        <is>
          <t>groupe.esmit@gmail.com</t>
        </is>
      </c>
      <c r="J494" s="29" t="inlineStr">
        <is>
          <t>https://www.esmit-ci.com</t>
        </is>
      </c>
      <c r="K494" s="29" t="inlineStr">
        <is>
          <t>Directeur des Etudes</t>
        </is>
      </c>
      <c r="L494" s="30" t="inlineStr">
        <is>
          <t>Haute</t>
        </is>
      </c>
      <c r="M494" s="29" t="inlineStr">
        <is>
          <t>esmit-ci.com + MESRS</t>
        </is>
      </c>
      <c r="N494" s="29" t="inlineStr">
        <is>
          <t>gratuite</t>
        </is>
      </c>
      <c r="O494" s="30" t="inlineStr">
        <is>
          <t>valide</t>
        </is>
      </c>
      <c r="P494" s="29" t="inlineStr">
        <is>
          <t>logistique</t>
        </is>
      </c>
    </row>
    <row r="495">
      <c r="A495" s="29" t="inlineStr">
        <is>
          <t>IMGH Institut de Management de Gestion et d Hotellerie</t>
        </is>
      </c>
      <c r="B495" s="29" t="inlineStr">
        <is>
          <t>Institut superieur - hotellerie restauration tourisme</t>
        </is>
      </c>
      <c r="C495" s="29" t="inlineStr">
        <is>
          <t>Prive</t>
        </is>
      </c>
      <c r="D495" s="29" t="inlineStr">
        <is>
          <t>Abidjan Yopougon</t>
        </is>
      </c>
      <c r="E495" s="29" t="inlineStr">
        <is>
          <t>Yopougon Bel Air 21 BP 3437 Abidjan 21</t>
        </is>
      </c>
      <c r="F495" s="29" t="inlineStr">
        <is>
          <t>+225 07 48 09 09 29</t>
        </is>
      </c>
      <c r="G495" s="29" t="inlineStr">
        <is>
          <t>+225 01 02 63 56 58</t>
        </is>
      </c>
      <c r="H495" s="29" t="inlineStr">
        <is>
          <t>+225 01 02 63 56 58</t>
        </is>
      </c>
      <c r="I495" s="29" t="inlineStr">
        <is>
          <t>imgh_formation@yahoo.fr</t>
        </is>
      </c>
      <c r="J495" s="29" t="inlineStr">
        <is>
          <t>https://imghcotedivoire.ci</t>
        </is>
      </c>
      <c r="K495" s="29" t="inlineStr">
        <is>
          <t>Directeur des Etudes</t>
        </is>
      </c>
      <c r="L495" s="30" t="inlineStr">
        <is>
          <t>Haute</t>
        </is>
      </c>
      <c r="M495" s="29" t="inlineStr">
        <is>
          <t>imghcotedivoire.ci + MESRS</t>
        </is>
      </c>
      <c r="N495" s="29" t="inlineStr">
        <is>
          <t>gratuite</t>
        </is>
      </c>
      <c r="O495" s="14" t="inlineStr">
        <is>
          <t>a verifier</t>
        </is>
      </c>
      <c r="P495" s="29" t="inlineStr">
        <is>
          <t>hotellerie</t>
        </is>
      </c>
    </row>
    <row r="496">
      <c r="A496" s="29" t="inlineStr">
        <is>
          <t>Lycee Professionnel Commercial de Yopougon (LPCY)</t>
        </is>
      </c>
      <c r="B496" s="29" t="inlineStr">
        <is>
          <t>Lycee professionnel</t>
        </is>
      </c>
      <c r="C496" s="29" t="inlineStr">
        <is>
          <t>Public</t>
        </is>
      </c>
      <c r="D496" s="29" t="inlineStr">
        <is>
          <t>Abidjan Yopougon</t>
        </is>
      </c>
      <c r="E496" s="29" t="inlineStr">
        <is>
          <t>BP V 170 Abidjan Yopougon</t>
        </is>
      </c>
      <c r="F496" s="29" t="inlineStr">
        <is>
          <t>+225 01 73 56 01 01</t>
        </is>
      </c>
      <c r="G496" s="29" t="inlineStr"/>
      <c r="H496" s="29" t="inlineStr"/>
      <c r="I496" s="29" t="inlineStr">
        <is>
          <t>lpcyop@gmail.com</t>
        </is>
      </c>
      <c r="J496" s="29" t="inlineStr">
        <is>
          <t>lpcy.sch-ci.org</t>
        </is>
      </c>
      <c r="K496" s="29" t="inlineStr">
        <is>
          <t>Proviseur / Censeur</t>
        </is>
      </c>
      <c r="L496" s="30" t="inlineStr">
        <is>
          <t>Haute</t>
        </is>
      </c>
      <c r="M496" s="29" t="inlineStr">
        <is>
          <t>lpcy.sch-ci.org / edukiya.com</t>
        </is>
      </c>
      <c r="N496" s="29" t="inlineStr">
        <is>
          <t>gratuite</t>
        </is>
      </c>
      <c r="O496" s="30" t="inlineStr">
        <is>
          <t>valide</t>
        </is>
      </c>
      <c r="P496" s="29" t="inlineStr">
        <is>
          <t>lycee</t>
        </is>
      </c>
    </row>
    <row r="497">
      <c r="A497" s="29" t="inlineStr">
        <is>
          <t>INSTITUT SUPERIEUR TECHNIQUE NOTRE DAME SAINT PIERRE LA CHAPELLE ABOISSO (IST ND ST PIERRE LA CHAPELLE ABOISSO)</t>
        </is>
      </c>
      <c r="B497" s="29" t="inlineStr">
        <is>
          <t>Grande ecole BTS - assistanat de direction, finances comptabilite, gestion commerciale</t>
        </is>
      </c>
      <c r="C497" s="29" t="inlineStr">
        <is>
          <t>Prive</t>
        </is>
      </c>
      <c r="D497" s="29" t="inlineStr">
        <is>
          <t>Aboisso</t>
        </is>
      </c>
      <c r="E497" s="29" t="inlineStr">
        <is>
          <t>FACE CAFOP ABOISSO</t>
        </is>
      </c>
      <c r="F497" s="29" t="inlineStr">
        <is>
          <t>+225 07 08 62 07 72</t>
        </is>
      </c>
      <c r="G497" s="29" t="inlineStr">
        <is>
          <t>+225 05 05 70 47 61</t>
        </is>
      </c>
      <c r="H497" s="29" t="inlineStr">
        <is>
          <t>+225 07 08 62 07 72</t>
        </is>
      </c>
      <c r="I497" s="29" t="inlineStr">
        <is>
          <t>chapelleaboisso@yahoo.fr</t>
        </is>
      </c>
      <c r="J497" s="29" t="inlineStr"/>
      <c r="K497" s="29" t="inlineStr">
        <is>
          <t>Directeur des Etudes</t>
        </is>
      </c>
      <c r="L497" s="30" t="inlineStr">
        <is>
          <t>Haute</t>
        </is>
      </c>
      <c r="M497" s="29" t="inlineStr">
        <is>
          <t>MESRS - liste officielle grandes ecoles</t>
        </is>
      </c>
      <c r="N497" s="29" t="inlineStr">
        <is>
          <t>gratuite</t>
        </is>
      </c>
      <c r="O497" s="14" t="inlineStr">
        <is>
          <t>a verifier</t>
        </is>
      </c>
      <c r="P497" s="29" t="inlineStr">
        <is>
          <t>commerce</t>
        </is>
      </c>
    </row>
    <row r="498">
      <c r="A498" s="29" t="inlineStr">
        <is>
          <t>ISID ABOISSO</t>
        </is>
      </c>
      <c r="B498" s="29" t="inlineStr">
        <is>
          <t>Grande ecole BTS - agriculture tropicale, finances comptabilite, genie civil</t>
        </is>
      </c>
      <c r="C498" s="29" t="inlineStr">
        <is>
          <t>Prive</t>
        </is>
      </c>
      <c r="D498" s="29" t="inlineStr">
        <is>
          <t>Aboisso</t>
        </is>
      </c>
      <c r="E498" s="29" t="inlineStr">
        <is>
          <t>ABOISSO-Assouba Axe Assouba-Aboisso, après le Collège Dominique OUATTARA ASSOUBA</t>
        </is>
      </c>
      <c r="F498" s="29" t="inlineStr">
        <is>
          <t>+225 27 22 54 41 99</t>
        </is>
      </c>
      <c r="G498" s="29" t="inlineStr">
        <is>
          <t>+225 05 04 32 30 64</t>
        </is>
      </c>
      <c r="H498" s="29" t="inlineStr">
        <is>
          <t>+225 05 04 32 30 64</t>
        </is>
      </c>
      <c r="I498" s="29" t="inlineStr">
        <is>
          <t>isidaboisso@gmail.com</t>
        </is>
      </c>
      <c r="J498" s="29" t="inlineStr">
        <is>
          <t>https://www.isidaboisso.org</t>
        </is>
      </c>
      <c r="K498" s="29" t="inlineStr">
        <is>
          <t>Directeur des Etudes</t>
        </is>
      </c>
      <c r="L498" s="30" t="inlineStr">
        <is>
          <t>Haute</t>
        </is>
      </c>
      <c r="M498" s="29" t="inlineStr">
        <is>
          <t>MESRS - liste officielle grandes ecoles</t>
        </is>
      </c>
      <c r="N498" s="29" t="inlineStr">
        <is>
          <t>gratuite</t>
        </is>
      </c>
      <c r="O498" s="14" t="inlineStr">
        <is>
          <t>a verifier</t>
        </is>
      </c>
      <c r="P498" s="29" t="inlineStr">
        <is>
          <t>commerce</t>
        </is>
      </c>
    </row>
    <row r="499">
      <c r="A499" s="29" t="inlineStr">
        <is>
          <t>INSTITUT BENIS SUCCES FORMATION D'AFRIQUE (IBSFA-ADIAKE)</t>
        </is>
      </c>
      <c r="B499" s="29" t="inlineStr">
        <is>
          <t>Grande ecole BTS - assistanat de direction, agriculture tropicale, finances comptabilite</t>
        </is>
      </c>
      <c r="C499" s="29" t="inlineStr">
        <is>
          <t>Prive</t>
        </is>
      </c>
      <c r="D499" s="29" t="inlineStr">
        <is>
          <t>Adiake</t>
        </is>
      </c>
      <c r="E499" s="29" t="inlineStr"/>
      <c r="F499" s="29" t="inlineStr">
        <is>
          <t>+225 27 22 41 75 45</t>
        </is>
      </c>
      <c r="G499" s="29" t="inlineStr">
        <is>
          <t>+225 01 01 10 13 01</t>
        </is>
      </c>
      <c r="H499" s="29" t="inlineStr">
        <is>
          <t>+225 01 01 10 13 01</t>
        </is>
      </c>
      <c r="I499" s="29" t="inlineStr"/>
      <c r="J499" s="29" t="inlineStr"/>
      <c r="K499" s="29" t="inlineStr">
        <is>
          <t>Directeur des Etudes</t>
        </is>
      </c>
      <c r="L499" s="30" t="inlineStr">
        <is>
          <t>Haute</t>
        </is>
      </c>
      <c r="M499" s="29" t="inlineStr">
        <is>
          <t>MESRS - liste officielle grandes ecoles</t>
        </is>
      </c>
      <c r="N499" s="29" t="inlineStr"/>
      <c r="O499" s="31" t="inlineStr">
        <is>
          <t>sans email</t>
        </is>
      </c>
      <c r="P499" s="29" t="inlineStr">
        <is>
          <t>commerce</t>
        </is>
      </c>
    </row>
    <row r="500">
      <c r="A500" s="29" t="inlineStr">
        <is>
          <t>INSTITUT DE FORMATION PROFESSIONNELLE AGRICOLE D'ADIAKE (IFPA ADIAKE)</t>
        </is>
      </c>
      <c r="B500" s="29" t="inlineStr">
        <is>
          <t>Grande ecole BTS - agriculture tropicale</t>
        </is>
      </c>
      <c r="C500" s="29" t="inlineStr">
        <is>
          <t>Prive</t>
        </is>
      </c>
      <c r="D500" s="29" t="inlineStr">
        <is>
          <t>Adiake</t>
        </is>
      </c>
      <c r="E500" s="29" t="inlineStr">
        <is>
          <t>Adiake</t>
        </is>
      </c>
      <c r="F500" s="29" t="inlineStr"/>
      <c r="G500" s="29" t="inlineStr"/>
      <c r="H500" s="29" t="inlineStr"/>
      <c r="I500" s="29" t="inlineStr">
        <is>
          <t>ifp2a2012@gmail.com</t>
        </is>
      </c>
      <c r="J500" s="29" t="inlineStr">
        <is>
          <t>https://www.ifpaci.cpm</t>
        </is>
      </c>
      <c r="K500" s="29" t="inlineStr">
        <is>
          <t>Directeur des Etudes</t>
        </is>
      </c>
      <c r="L500" s="30" t="inlineStr">
        <is>
          <t>Haute</t>
        </is>
      </c>
      <c r="M500" s="29" t="inlineStr">
        <is>
          <t>MESRS - liste officielle grandes ecoles</t>
        </is>
      </c>
      <c r="N500" s="29" t="inlineStr">
        <is>
          <t>gratuite</t>
        </is>
      </c>
      <c r="O500" s="14" t="inlineStr">
        <is>
          <t>a verifier</t>
        </is>
      </c>
      <c r="P500" s="29" t="inlineStr">
        <is>
          <t>agro</t>
        </is>
      </c>
    </row>
    <row r="501">
      <c r="A501" s="29" t="inlineStr">
        <is>
          <t>INTERNATIONAL MANAGEMENT BUSINESS SCHOOL (IMBS ADIAKE)</t>
        </is>
      </c>
      <c r="B501" s="29" t="inlineStr">
        <is>
          <t>Grande ecole BTS - agriculture tropicale, finances comptabilite, genie civil</t>
        </is>
      </c>
      <c r="C501" s="29" t="inlineStr">
        <is>
          <t>Prive</t>
        </is>
      </c>
      <c r="D501" s="29" t="inlineStr">
        <is>
          <t>Adiake</t>
        </is>
      </c>
      <c r="E501" s="29" t="inlineStr"/>
      <c r="F501" s="29" t="inlineStr"/>
      <c r="G501" s="29" t="inlineStr"/>
      <c r="H501" s="29" t="inlineStr"/>
      <c r="I501" s="29" t="inlineStr"/>
      <c r="J501" s="29" t="inlineStr"/>
      <c r="K501" s="29" t="inlineStr">
        <is>
          <t>Directeur des Etudes</t>
        </is>
      </c>
      <c r="L501" s="30" t="inlineStr">
        <is>
          <t>Haute</t>
        </is>
      </c>
      <c r="M501" s="29" t="inlineStr">
        <is>
          <t>MESRS - liste officielle grandes ecoles</t>
        </is>
      </c>
      <c r="N501" s="29" t="inlineStr"/>
      <c r="O501" s="31" t="inlineStr">
        <is>
          <t>sans email</t>
        </is>
      </c>
      <c r="P501" s="29" t="inlineStr">
        <is>
          <t>commerce</t>
        </is>
      </c>
    </row>
    <row r="502">
      <c r="A502" s="29" t="inlineStr">
        <is>
          <t>GSMA INPRAT MIADZIN ADZOPE</t>
        </is>
      </c>
      <c r="B502" s="29" t="inlineStr">
        <is>
          <t>Grande ecole BTS - assistanat de direction, agriculture tropicale, finances comptabilite</t>
        </is>
      </c>
      <c r="C502" s="29" t="inlineStr">
        <is>
          <t>Prive</t>
        </is>
      </c>
      <c r="D502" s="29" t="inlineStr">
        <is>
          <t>Adzope</t>
        </is>
      </c>
      <c r="E502" s="29" t="inlineStr">
        <is>
          <t>ADZOPE</t>
        </is>
      </c>
      <c r="F502" s="29" t="inlineStr">
        <is>
          <t>+225 27 23 54 06 04</t>
        </is>
      </c>
      <c r="G502" s="29" t="inlineStr">
        <is>
          <t>+225 27 21 25 66 98</t>
        </is>
      </c>
      <c r="H502" s="29" t="inlineStr"/>
      <c r="I502" s="29" t="inlineStr">
        <is>
          <t>gsmabj2012@gmail.com</t>
        </is>
      </c>
      <c r="J502" s="29" t="inlineStr">
        <is>
          <t>http://inprat.com/</t>
        </is>
      </c>
      <c r="K502" s="29" t="inlineStr">
        <is>
          <t>Directeur des Etudes</t>
        </is>
      </c>
      <c r="L502" s="30" t="inlineStr">
        <is>
          <t>Haute</t>
        </is>
      </c>
      <c r="M502" s="29" t="inlineStr">
        <is>
          <t>MESRS - liste officielle grandes ecoles</t>
        </is>
      </c>
      <c r="N502" s="29" t="inlineStr">
        <is>
          <t>gratuite</t>
        </is>
      </c>
      <c r="O502" s="14" t="inlineStr">
        <is>
          <t>a verifier</t>
        </is>
      </c>
      <c r="P502" s="29" t="inlineStr">
        <is>
          <t>commerce</t>
        </is>
      </c>
    </row>
    <row r="503">
      <c r="A503" s="29" t="inlineStr">
        <is>
          <t>GSMA-IETA</t>
        </is>
      </c>
      <c r="B503" s="29" t="inlineStr">
        <is>
          <t>Grande ecole BTS - assistanat de direction, communication visuelle, finances comptabilite</t>
        </is>
      </c>
      <c r="C503" s="29" t="inlineStr">
        <is>
          <t>Prive</t>
        </is>
      </c>
      <c r="D503" s="29" t="inlineStr">
        <is>
          <t>Adzope</t>
        </is>
      </c>
      <c r="E503" s="29" t="inlineStr"/>
      <c r="F503" s="29" t="inlineStr"/>
      <c r="G503" s="29" t="inlineStr"/>
      <c r="H503" s="29" t="inlineStr"/>
      <c r="I503" s="29" t="inlineStr"/>
      <c r="J503" s="29" t="inlineStr"/>
      <c r="K503" s="29" t="inlineStr">
        <is>
          <t>Directeur des Etudes</t>
        </is>
      </c>
      <c r="L503" s="30" t="inlineStr">
        <is>
          <t>Haute</t>
        </is>
      </c>
      <c r="M503" s="29" t="inlineStr">
        <is>
          <t>MESRS - liste officielle grandes ecoles</t>
        </is>
      </c>
      <c r="N503" s="29" t="inlineStr"/>
      <c r="O503" s="31" t="inlineStr">
        <is>
          <t>sans email</t>
        </is>
      </c>
      <c r="P503" s="29" t="inlineStr">
        <is>
          <t>commerce</t>
        </is>
      </c>
    </row>
    <row r="504">
      <c r="A504" s="29" t="inlineStr">
        <is>
          <t>INSTITUT SUPERIEUR ATSE YAPI JOSEPH (ISAYJ) ADZOPE</t>
        </is>
      </c>
      <c r="B504" s="29" t="inlineStr">
        <is>
          <t>Grande ecole BTS - assistanat de direction, agriculture tropicale, communication visuelle</t>
        </is>
      </c>
      <c r="C504" s="29" t="inlineStr">
        <is>
          <t>Prive</t>
        </is>
      </c>
      <c r="D504" s="29" t="inlineStr">
        <is>
          <t>Adzope</t>
        </is>
      </c>
      <c r="E504" s="29" t="inlineStr">
        <is>
          <t>COMMERCE</t>
        </is>
      </c>
      <c r="F504" s="29" t="inlineStr">
        <is>
          <t>+225 07 77 17 17 26</t>
        </is>
      </c>
      <c r="G504" s="29" t="inlineStr">
        <is>
          <t>+225 01 43 51 79 32</t>
        </is>
      </c>
      <c r="H504" s="29" t="inlineStr">
        <is>
          <t>+225 07 77 17 17 26</t>
        </is>
      </c>
      <c r="I504" s="29" t="inlineStr">
        <is>
          <t>isayjainfo@gmail.com</t>
        </is>
      </c>
      <c r="J504" s="29" t="inlineStr">
        <is>
          <t>http://www.cayja.net</t>
        </is>
      </c>
      <c r="K504" s="29" t="inlineStr">
        <is>
          <t>Directeur des Etudes</t>
        </is>
      </c>
      <c r="L504" s="30" t="inlineStr">
        <is>
          <t>Haute</t>
        </is>
      </c>
      <c r="M504" s="29" t="inlineStr">
        <is>
          <t>MESRS - liste officielle grandes ecoles</t>
        </is>
      </c>
      <c r="N504" s="29" t="inlineStr">
        <is>
          <t>gratuite</t>
        </is>
      </c>
      <c r="O504" s="14" t="inlineStr">
        <is>
          <t>a verifier</t>
        </is>
      </c>
      <c r="P504" s="29" t="inlineStr">
        <is>
          <t>commerce</t>
        </is>
      </c>
    </row>
    <row r="505">
      <c r="A505" s="29" t="inlineStr">
        <is>
          <t>INSTITUT SUPERIEUR LES 3A DE LA ME (IS3AM ADZOPE)</t>
        </is>
      </c>
      <c r="B505" s="29" t="inlineStr">
        <is>
          <t>Grande ecole BTS - assistanat de direction, finances comptabilite, gestion commerciale</t>
        </is>
      </c>
      <c r="C505" s="29" t="inlineStr">
        <is>
          <t>Prive</t>
        </is>
      </c>
      <c r="D505" s="29" t="inlineStr">
        <is>
          <t>Adzope</t>
        </is>
      </c>
      <c r="E505" s="29" t="inlineStr">
        <is>
          <t>Au château , en face du grand portail des grandes endémies. ( district sanitaire)</t>
        </is>
      </c>
      <c r="F505" s="29" t="inlineStr">
        <is>
          <t>+225 07 48 68 34 80</t>
        </is>
      </c>
      <c r="G505" s="29" t="inlineStr">
        <is>
          <t>+225 01 02 94 76 78</t>
        </is>
      </c>
      <c r="H505" s="29" t="inlineStr">
        <is>
          <t>+225 07 48 68 34 80</t>
        </is>
      </c>
      <c r="I505" s="29" t="inlineStr">
        <is>
          <t>com@yahoo.com</t>
        </is>
      </c>
      <c r="J505" s="29" t="inlineStr"/>
      <c r="K505" s="29" t="inlineStr">
        <is>
          <t>Directeur des Etudes</t>
        </is>
      </c>
      <c r="L505" s="30" t="inlineStr">
        <is>
          <t>Haute</t>
        </is>
      </c>
      <c r="M505" s="29" t="inlineStr">
        <is>
          <t>MESRS - liste officielle grandes ecoles</t>
        </is>
      </c>
      <c r="N505" s="29" t="inlineStr">
        <is>
          <t>gratuite</t>
        </is>
      </c>
      <c r="O505" s="14" t="inlineStr">
        <is>
          <t>a verifier</t>
        </is>
      </c>
      <c r="P505" s="29" t="inlineStr">
        <is>
          <t>commerce</t>
        </is>
      </c>
    </row>
    <row r="506">
      <c r="A506" s="29" t="inlineStr">
        <is>
          <t>ECOLE SUPERIEURE DES TECHNOLOGIES AVANCEES ET DE MANAGEMENT AGBOVILLE (ESTAM AGBOVILLE)</t>
        </is>
      </c>
      <c r="B506" s="29" t="inlineStr">
        <is>
          <t>Grande ecole BTS - assistanat de direction, finances comptabilite, gestion commerciale</t>
        </is>
      </c>
      <c r="C506" s="29" t="inlineStr">
        <is>
          <t>Prive</t>
        </is>
      </c>
      <c r="D506" s="29" t="inlineStr">
        <is>
          <t>Agboville</t>
        </is>
      </c>
      <c r="E506" s="29" t="inlineStr">
        <is>
          <t>Quartier Monteiille-ville en face du stade de l'Agneby après le corridor sud, route de Rubino</t>
        </is>
      </c>
      <c r="F506" s="29" t="inlineStr">
        <is>
          <t>+225 27 22 42 93 69</t>
        </is>
      </c>
      <c r="G506" s="29" t="inlineStr">
        <is>
          <t>+225 27 22 42 48 70</t>
        </is>
      </c>
      <c r="H506" s="29" t="inlineStr"/>
      <c r="I506" s="29" t="inlineStr">
        <is>
          <t>estamtechnologie@aviso.ci</t>
        </is>
      </c>
      <c r="J506" s="29" t="inlineStr">
        <is>
          <t>https:// www.estamtechnologies.com</t>
        </is>
      </c>
      <c r="K506" s="29" t="inlineStr">
        <is>
          <t>Directeur des Etudes</t>
        </is>
      </c>
      <c r="L506" s="30" t="inlineStr">
        <is>
          <t>Haute</t>
        </is>
      </c>
      <c r="M506" s="29" t="inlineStr">
        <is>
          <t>MESRS - liste officielle grandes ecoles</t>
        </is>
      </c>
      <c r="N506" s="29" t="inlineStr">
        <is>
          <t>gratuite</t>
        </is>
      </c>
      <c r="O506" s="14" t="inlineStr">
        <is>
          <t>a verifier</t>
        </is>
      </c>
      <c r="P506" s="29" t="inlineStr">
        <is>
          <t>numerique</t>
        </is>
      </c>
    </row>
    <row r="507">
      <c r="A507" s="29" t="inlineStr">
        <is>
          <t>INTERNATIONAL BUSINESS SCHOOL COTE D'IVOIRE (IBS-CI) AGBOVILLE</t>
        </is>
      </c>
      <c r="B507" s="29" t="inlineStr">
        <is>
          <t>Grande ecole BTS - finances comptabilite, gestion commerciale, informatique developpeur d'applications</t>
        </is>
      </c>
      <c r="C507" s="29" t="inlineStr">
        <is>
          <t>Prive</t>
        </is>
      </c>
      <c r="D507" s="29" t="inlineStr">
        <is>
          <t>Agboville</t>
        </is>
      </c>
      <c r="E507" s="29" t="inlineStr"/>
      <c r="F507" s="29" t="inlineStr">
        <is>
          <t>+225 07 08 41 64 71</t>
        </is>
      </c>
      <c r="G507" s="29" t="inlineStr">
        <is>
          <t>+225 01 01 67 16 76</t>
        </is>
      </c>
      <c r="H507" s="29" t="inlineStr">
        <is>
          <t>+225 07 08 41 64 71</t>
        </is>
      </c>
      <c r="I507" s="29" t="inlineStr">
        <is>
          <t>ibsformation@yahoo.com</t>
        </is>
      </c>
      <c r="J507" s="29" t="inlineStr"/>
      <c r="K507" s="29" t="inlineStr">
        <is>
          <t>Directeur des Etudes</t>
        </is>
      </c>
      <c r="L507" s="30" t="inlineStr">
        <is>
          <t>Haute</t>
        </is>
      </c>
      <c r="M507" s="29" t="inlineStr">
        <is>
          <t>MESRS - liste officielle grandes ecoles</t>
        </is>
      </c>
      <c r="N507" s="29" t="inlineStr">
        <is>
          <t>gratuite</t>
        </is>
      </c>
      <c r="O507" s="14" t="inlineStr">
        <is>
          <t>a verifier</t>
        </is>
      </c>
      <c r="P507" s="29" t="inlineStr">
        <is>
          <t>commerce</t>
        </is>
      </c>
    </row>
    <row r="508">
      <c r="A508" s="29" t="inlineStr">
        <is>
          <t>FOANI ITS</t>
        </is>
      </c>
      <c r="B508" s="29" t="inlineStr">
        <is>
          <t>Grande ecole BTS - agriculture tropicale, gestion commerciale, industries agro-alimentaires</t>
        </is>
      </c>
      <c r="C508" s="29" t="inlineStr">
        <is>
          <t>Prive</t>
        </is>
      </c>
      <c r="D508" s="29" t="inlineStr">
        <is>
          <t>Agnibilekro</t>
        </is>
      </c>
      <c r="E508" s="29" t="inlineStr">
        <is>
          <t>AGNIBILEKROU REGION DU DJUABLIN</t>
        </is>
      </c>
      <c r="F508" s="29" t="inlineStr">
        <is>
          <t>+225 27 35 90 67 26</t>
        </is>
      </c>
      <c r="G508" s="29" t="inlineStr">
        <is>
          <t>+225 07 19 19 20 44</t>
        </is>
      </c>
      <c r="H508" s="29" t="inlineStr">
        <is>
          <t>+225 07 19 19 20 44</t>
        </is>
      </c>
      <c r="I508" s="29" t="inlineStr">
        <is>
          <t>info@foani-itc.com</t>
        </is>
      </c>
      <c r="J508" s="29" t="inlineStr">
        <is>
          <t>https://www.foani-itc.com</t>
        </is>
      </c>
      <c r="K508" s="29" t="inlineStr">
        <is>
          <t>Directeur des Etudes</t>
        </is>
      </c>
      <c r="L508" s="30" t="inlineStr">
        <is>
          <t>Haute</t>
        </is>
      </c>
      <c r="M508" s="29" t="inlineStr">
        <is>
          <t>MESRS - liste officielle grandes ecoles</t>
        </is>
      </c>
      <c r="N508" s="29" t="inlineStr">
        <is>
          <t>domaine propre</t>
        </is>
      </c>
      <c r="O508" s="14" t="inlineStr">
        <is>
          <t>a verifier</t>
        </is>
      </c>
      <c r="P508" s="29" t="inlineStr">
        <is>
          <t>agro</t>
        </is>
      </c>
    </row>
    <row r="509">
      <c r="A509" s="29" t="inlineStr">
        <is>
          <t>IST - MUPES INSTITUT SUPERIEUR DE TECHNOLOGIE MUPES</t>
        </is>
      </c>
      <c r="B509" s="29" t="inlineStr">
        <is>
          <t>Grande ecole BTS - assistanat de direction, agriculture tropicale, finances comptabilite</t>
        </is>
      </c>
      <c r="C509" s="29" t="inlineStr">
        <is>
          <t>Prive</t>
        </is>
      </c>
      <c r="D509" s="29" t="inlineStr">
        <is>
          <t>Agnibilekro</t>
        </is>
      </c>
      <c r="E509" s="29" t="inlineStr"/>
      <c r="F509" s="29" t="inlineStr">
        <is>
          <t>+225 07 58 39 78 12</t>
        </is>
      </c>
      <c r="G509" s="29" t="inlineStr"/>
      <c r="H509" s="29" t="inlineStr">
        <is>
          <t>+225 07 58 39 78 12</t>
        </is>
      </c>
      <c r="I509" s="29" t="inlineStr"/>
      <c r="J509" s="29" t="inlineStr"/>
      <c r="K509" s="29" t="inlineStr">
        <is>
          <t>Directeur des Etudes</t>
        </is>
      </c>
      <c r="L509" s="30" t="inlineStr">
        <is>
          <t>Haute</t>
        </is>
      </c>
      <c r="M509" s="29" t="inlineStr">
        <is>
          <t>MESRS - liste officielle grandes ecoles</t>
        </is>
      </c>
      <c r="N509" s="29" t="inlineStr"/>
      <c r="O509" s="31" t="inlineStr">
        <is>
          <t>sans email</t>
        </is>
      </c>
      <c r="P509" s="29" t="inlineStr">
        <is>
          <t>numerique</t>
        </is>
      </c>
    </row>
    <row r="510">
      <c r="A510" s="29" t="inlineStr">
        <is>
          <t>INSITUT SUPERIEUR DE FORMATION AKA KOUAME (ISFAK)</t>
        </is>
      </c>
      <c r="B510" s="29" t="inlineStr">
        <is>
          <t>Grande ecole BTS - finances comptabilite, genie civil, gestion commerciale</t>
        </is>
      </c>
      <c r="C510" s="29" t="inlineStr">
        <is>
          <t>Prive</t>
        </is>
      </c>
      <c r="D510" s="29" t="inlineStr">
        <is>
          <t>Akoupe</t>
        </is>
      </c>
      <c r="E510" s="29" t="inlineStr">
        <is>
          <t>QUARTIER RESIDENTIEL DERRIERE LA MAIRIE</t>
        </is>
      </c>
      <c r="F510" s="29" t="inlineStr">
        <is>
          <t>+225 01 02 03 79 65</t>
        </is>
      </c>
      <c r="G510" s="29" t="inlineStr">
        <is>
          <t>+225 07 48 02 04 21</t>
        </is>
      </c>
      <c r="H510" s="29" t="inlineStr">
        <is>
          <t>+225 01 02 03 79 65</t>
        </is>
      </c>
      <c r="I510" s="29" t="inlineStr"/>
      <c r="J510" s="29" t="inlineStr"/>
      <c r="K510" s="29" t="inlineStr">
        <is>
          <t>Directeur des Etudes</t>
        </is>
      </c>
      <c r="L510" s="30" t="inlineStr">
        <is>
          <t>Haute</t>
        </is>
      </c>
      <c r="M510" s="29" t="inlineStr">
        <is>
          <t>MESRS - liste officielle grandes ecoles</t>
        </is>
      </c>
      <c r="N510" s="29" t="inlineStr"/>
      <c r="O510" s="31" t="inlineStr">
        <is>
          <t>sans email</t>
        </is>
      </c>
      <c r="P510" s="29" t="inlineStr">
        <is>
          <t>commerce</t>
        </is>
      </c>
    </row>
    <row r="511">
      <c r="A511" s="29" t="inlineStr">
        <is>
          <t>INSTITUT SAINT SAUVEUR DE MEMNI (ISSM)</t>
        </is>
      </c>
      <c r="B511" s="29" t="inlineStr">
        <is>
          <t>Grande ecole BTS - assistanat de direction, agriculture tropicale, finances comptabilite</t>
        </is>
      </c>
      <c r="C511" s="29" t="inlineStr">
        <is>
          <t>Prive</t>
        </is>
      </c>
      <c r="D511" s="29" t="inlineStr">
        <is>
          <t>Alepe</t>
        </is>
      </c>
      <c r="E511" s="29" t="inlineStr">
        <is>
          <t>40km d'Abidjan après le village de Montézo</t>
        </is>
      </c>
      <c r="F511" s="29" t="inlineStr">
        <is>
          <t>+225 07 07 46 42 00</t>
        </is>
      </c>
      <c r="G511" s="29" t="inlineStr">
        <is>
          <t>+225 01 40 01 50 47</t>
        </is>
      </c>
      <c r="H511" s="29" t="inlineStr">
        <is>
          <t>+225 07 07 46 42 00</t>
        </is>
      </c>
      <c r="I511" s="29" t="inlineStr">
        <is>
          <t>collegesaintsauveurmemni@gmail.com</t>
        </is>
      </c>
      <c r="J511" s="29" t="inlineStr"/>
      <c r="K511" s="29" t="inlineStr">
        <is>
          <t>Directeur des Etudes</t>
        </is>
      </c>
      <c r="L511" s="30" t="inlineStr">
        <is>
          <t>Haute</t>
        </is>
      </c>
      <c r="M511" s="29" t="inlineStr">
        <is>
          <t>MESRS - liste officielle grandes ecoles</t>
        </is>
      </c>
      <c r="N511" s="29" t="inlineStr">
        <is>
          <t>gratuite</t>
        </is>
      </c>
      <c r="O511" s="14" t="inlineStr">
        <is>
          <t>a verifier</t>
        </is>
      </c>
      <c r="P511" s="29" t="inlineStr">
        <is>
          <t>commerce</t>
        </is>
      </c>
    </row>
    <row r="512">
      <c r="A512" s="29" t="inlineStr">
        <is>
          <t>INSTITUT DES NOUVELLES TECHNIQUES AGRICOLES (INTA)</t>
        </is>
      </c>
      <c r="B512" s="29" t="inlineStr">
        <is>
          <t>Grande ecole BTS - agriculture tropicale</t>
        </is>
      </c>
      <c r="C512" s="29" t="inlineStr">
        <is>
          <t>Prive</t>
        </is>
      </c>
      <c r="D512" s="29" t="inlineStr">
        <is>
          <t>Azaguie</t>
        </is>
      </c>
      <c r="E512" s="29" t="inlineStr">
        <is>
          <t>AZAGUIE à 5KM DU CORRIDOR D'AZAGUIE ROUTE D'AGBOVILLE</t>
        </is>
      </c>
      <c r="F512" s="29" t="inlineStr">
        <is>
          <t>+225 07 49 52 60 37</t>
        </is>
      </c>
      <c r="G512" s="29" t="inlineStr">
        <is>
          <t>+225 01 41 17 26 20</t>
        </is>
      </c>
      <c r="H512" s="29" t="inlineStr">
        <is>
          <t>+225 07 49 52 60 37</t>
        </is>
      </c>
      <c r="I512" s="29" t="inlineStr">
        <is>
          <t>intaformagro@hotmail.fr</t>
        </is>
      </c>
      <c r="J512" s="29" t="inlineStr">
        <is>
          <t>http://www.intaformations.net</t>
        </is>
      </c>
      <c r="K512" s="29" t="inlineStr">
        <is>
          <t>Directeur des Etudes</t>
        </is>
      </c>
      <c r="L512" s="30" t="inlineStr">
        <is>
          <t>Haute</t>
        </is>
      </c>
      <c r="M512" s="29" t="inlineStr">
        <is>
          <t>MESRS - liste officielle grandes ecoles</t>
        </is>
      </c>
      <c r="N512" s="29" t="inlineStr">
        <is>
          <t>gratuite</t>
        </is>
      </c>
      <c r="O512" s="14" t="inlineStr">
        <is>
          <t>a verifier</t>
        </is>
      </c>
      <c r="P512" s="29" t="inlineStr">
        <is>
          <t>agro</t>
        </is>
      </c>
    </row>
    <row r="513">
      <c r="A513" s="29" t="inlineStr">
        <is>
          <t>INSTITUT INTERNATIONAL DE FORMATION EN ENTREPRENEURIAT-2IAE AZAGUIE (2IFE-2IAE AZAGUIÉ) (Groupe 2IFE-2IAE)</t>
        </is>
      </c>
      <c r="B513" s="29" t="inlineStr">
        <is>
          <t>Grande ecole BTS - agriculture tropicale, finances comptabilite, genie civil</t>
        </is>
      </c>
      <c r="C513" s="29" t="inlineStr">
        <is>
          <t>Prive</t>
        </is>
      </c>
      <c r="D513" s="29" t="inlineStr">
        <is>
          <t>Azaguie</t>
        </is>
      </c>
      <c r="E513" s="29" t="inlineStr">
        <is>
          <t>AZAGUIE AHOUA</t>
        </is>
      </c>
      <c r="F513" s="29" t="inlineStr">
        <is>
          <t>+225 07 07 88 77 04</t>
        </is>
      </c>
      <c r="G513" s="29" t="inlineStr"/>
      <c r="H513" s="29" t="inlineStr">
        <is>
          <t>+225 07 07 88 77 04</t>
        </is>
      </c>
      <c r="I513" s="29" t="inlineStr">
        <is>
          <t>skoua2000@yahoo.fr</t>
        </is>
      </c>
      <c r="J513" s="29" t="inlineStr">
        <is>
          <t>http://www.2iae.com</t>
        </is>
      </c>
      <c r="K513" s="29" t="inlineStr">
        <is>
          <t>Directeur des Etudes</t>
        </is>
      </c>
      <c r="L513" s="30" t="inlineStr">
        <is>
          <t>Haute</t>
        </is>
      </c>
      <c r="M513" s="29" t="inlineStr">
        <is>
          <t>MESRS - liste officielle grandes ecoles</t>
        </is>
      </c>
      <c r="N513" s="29" t="inlineStr">
        <is>
          <t>gratuite</t>
        </is>
      </c>
      <c r="O513" s="14" t="inlineStr">
        <is>
          <t>a verifier</t>
        </is>
      </c>
      <c r="P513" s="29" t="inlineStr">
        <is>
          <t>commerce</t>
        </is>
      </c>
    </row>
    <row r="514">
      <c r="A514" s="29" t="inlineStr">
        <is>
          <t>ECOLE HOTELIERE DE GRAND-BASSAM (EHB)</t>
        </is>
      </c>
      <c r="B514" s="29" t="inlineStr">
        <is>
          <t>Grande ecole BTS - tourisme hotellerie</t>
        </is>
      </c>
      <c r="C514" s="29" t="inlineStr">
        <is>
          <t>Prive</t>
        </is>
      </c>
      <c r="D514" s="29" t="inlineStr">
        <is>
          <t>Bassam</t>
        </is>
      </c>
      <c r="E514" s="29" t="inlineStr"/>
      <c r="F514" s="29" t="inlineStr">
        <is>
          <t>+225 27 21 30 33 10</t>
        </is>
      </c>
      <c r="G514" s="29" t="inlineStr"/>
      <c r="H514" s="29" t="inlineStr"/>
      <c r="I514" s="29" t="inlineStr">
        <is>
          <t>infos@ehb.ci</t>
        </is>
      </c>
      <c r="J514" s="29" t="inlineStr"/>
      <c r="K514" s="29" t="inlineStr">
        <is>
          <t>Directeur des Etudes</t>
        </is>
      </c>
      <c r="L514" s="30" t="inlineStr">
        <is>
          <t>Haute</t>
        </is>
      </c>
      <c r="M514" s="29" t="inlineStr">
        <is>
          <t>MESRS - liste officielle grandes ecoles</t>
        </is>
      </c>
      <c r="N514" s="29" t="inlineStr">
        <is>
          <t>domaine propre</t>
        </is>
      </c>
      <c r="O514" s="14" t="inlineStr">
        <is>
          <t>a verifier</t>
        </is>
      </c>
      <c r="P514" s="29" t="inlineStr">
        <is>
          <t>hotellerie</t>
        </is>
      </c>
    </row>
    <row r="515">
      <c r="A515" s="29" t="inlineStr">
        <is>
          <t>HAUTE ECOLE GALILEE (HEG)</t>
        </is>
      </c>
      <c r="B515" s="29" t="inlineStr">
        <is>
          <t>Grande ecole BTS - finances comptabilite, informatique developpeur d'applications, ressources humaines</t>
        </is>
      </c>
      <c r="C515" s="29" t="inlineStr">
        <is>
          <t>Prive</t>
        </is>
      </c>
      <c r="D515" s="29" t="inlineStr">
        <is>
          <t>Bassam</t>
        </is>
      </c>
      <c r="E515" s="29" t="inlineStr">
        <is>
          <t>Quartier Mokey Ville</t>
        </is>
      </c>
      <c r="F515" s="29" t="inlineStr">
        <is>
          <t>+225 07 78 89 67 57</t>
        </is>
      </c>
      <c r="G515" s="29" t="inlineStr">
        <is>
          <t>+225 07 59 94 52 97</t>
        </is>
      </c>
      <c r="H515" s="29" t="inlineStr">
        <is>
          <t>+225 07 78 89 67 57</t>
        </is>
      </c>
      <c r="I515" s="29" t="inlineStr">
        <is>
          <t>infos@heg.ci</t>
        </is>
      </c>
      <c r="J515" s="29" t="inlineStr"/>
      <c r="K515" s="29" t="inlineStr">
        <is>
          <t>Directeur des Etudes</t>
        </is>
      </c>
      <c r="L515" s="30" t="inlineStr">
        <is>
          <t>Haute</t>
        </is>
      </c>
      <c r="M515" s="29" t="inlineStr">
        <is>
          <t>MESRS - liste officielle grandes ecoles</t>
        </is>
      </c>
      <c r="N515" s="29" t="inlineStr">
        <is>
          <t>domaine propre</t>
        </is>
      </c>
      <c r="O515" s="14" t="inlineStr">
        <is>
          <t>a verifier</t>
        </is>
      </c>
      <c r="P515" s="29" t="inlineStr">
        <is>
          <t>commerce</t>
        </is>
      </c>
    </row>
    <row r="516">
      <c r="A516" s="29" t="inlineStr">
        <is>
          <t>INSTITUT DES HAUTES ETUDES EN DIGITAL ET EN COMMUNICATION (IHEDC)</t>
        </is>
      </c>
      <c r="B516" s="29" t="inlineStr">
        <is>
          <t>Grande ecole BTS - assistanat de direction, agriculture tropicale, electrotechnique</t>
        </is>
      </c>
      <c r="C516" s="29" t="inlineStr">
        <is>
          <t>Prive</t>
        </is>
      </c>
      <c r="D516" s="29" t="inlineStr">
        <is>
          <t>Bassam</t>
        </is>
      </c>
      <c r="E516" s="29" t="inlineStr">
        <is>
          <t>MOKEYVILLE DERRIERE CAFOP 2</t>
        </is>
      </c>
      <c r="F516" s="29" t="inlineStr">
        <is>
          <t>+225 07 58 08 19 21</t>
        </is>
      </c>
      <c r="G516" s="29" t="inlineStr">
        <is>
          <t>+225 01 40 00 54 34</t>
        </is>
      </c>
      <c r="H516" s="29" t="inlineStr">
        <is>
          <t>+225 07 58 08 19 21</t>
        </is>
      </c>
      <c r="I516" s="29" t="inlineStr">
        <is>
          <t>info@ihedc-edu.com</t>
        </is>
      </c>
      <c r="J516" s="29" t="inlineStr">
        <is>
          <t>https://www.ihedc-edu.com</t>
        </is>
      </c>
      <c r="K516" s="29" t="inlineStr">
        <is>
          <t>Directeur des Etudes</t>
        </is>
      </c>
      <c r="L516" s="30" t="inlineStr">
        <is>
          <t>Haute</t>
        </is>
      </c>
      <c r="M516" s="29" t="inlineStr">
        <is>
          <t>MESRS - liste officielle grandes ecoles</t>
        </is>
      </c>
      <c r="N516" s="29" t="inlineStr">
        <is>
          <t>domaine propre</t>
        </is>
      </c>
      <c r="O516" s="14" t="inlineStr">
        <is>
          <t>a verifier</t>
        </is>
      </c>
      <c r="P516" s="29" t="inlineStr">
        <is>
          <t>communication</t>
        </is>
      </c>
    </row>
    <row r="517">
      <c r="A517" s="29" t="inlineStr">
        <is>
          <t>IMBA INTERNATIONAL BUSINESS SCHOOL</t>
        </is>
      </c>
      <c r="B517" s="29" t="inlineStr">
        <is>
          <t>Grande ecole BTS - assistanat de direction, finances comptabilite, gestion commerciale</t>
        </is>
      </c>
      <c r="C517" s="29" t="inlineStr">
        <is>
          <t>Prive</t>
        </is>
      </c>
      <c r="D517" s="29" t="inlineStr">
        <is>
          <t>Bingerville</t>
        </is>
      </c>
      <c r="E517" s="29" t="inlineStr">
        <is>
          <t>Derrière l’EMPT et la cité DELACEL</t>
        </is>
      </c>
      <c r="F517" s="29" t="inlineStr">
        <is>
          <t>+225 27 21 20 08 18</t>
        </is>
      </c>
      <c r="G517" s="29" t="inlineStr">
        <is>
          <t>+225 07 07 96 83 03</t>
        </is>
      </c>
      <c r="H517" s="29" t="inlineStr">
        <is>
          <t>+225 07 07 96 83 03</t>
        </is>
      </c>
      <c r="I517" s="29" t="inlineStr">
        <is>
          <t>info@imbabusinessschool.ci</t>
        </is>
      </c>
      <c r="J517" s="29" t="inlineStr">
        <is>
          <t>https://www.imbabusinessschool.ci</t>
        </is>
      </c>
      <c r="K517" s="29" t="inlineStr">
        <is>
          <t>Directeur des Etudes</t>
        </is>
      </c>
      <c r="L517" s="30" t="inlineStr">
        <is>
          <t>Haute</t>
        </is>
      </c>
      <c r="M517" s="29" t="inlineStr">
        <is>
          <t>MESRS - liste officielle grandes ecoles</t>
        </is>
      </c>
      <c r="N517" s="29" t="inlineStr">
        <is>
          <t>domaine propre</t>
        </is>
      </c>
      <c r="O517" s="14" t="inlineStr">
        <is>
          <t>a verifier</t>
        </is>
      </c>
      <c r="P517" s="29" t="inlineStr">
        <is>
          <t>commerce</t>
        </is>
      </c>
    </row>
    <row r="518">
      <c r="A518" s="29" t="inlineStr">
        <is>
          <t>ECOLE TECHNIQUE INFORMATIQUE ET COMMERCIALE BONDOUKOU (ETIC BONDOUKOU)</t>
        </is>
      </c>
      <c r="B518" s="29" t="inlineStr">
        <is>
          <t>Grande ecole BTS - assistanat de direction, agriculture tropicale, finances comptabilite</t>
        </is>
      </c>
      <c r="C518" s="29" t="inlineStr">
        <is>
          <t>Prive</t>
        </is>
      </c>
      <c r="D518" s="29" t="inlineStr">
        <is>
          <t>Bondoukou</t>
        </is>
      </c>
      <c r="E518" s="29" t="inlineStr"/>
      <c r="F518" s="29" t="inlineStr">
        <is>
          <t>+225 27 35 90 56 06</t>
        </is>
      </c>
      <c r="G518" s="29" t="inlineStr"/>
      <c r="H518" s="29" t="inlineStr"/>
      <c r="I518" s="29" t="inlineStr"/>
      <c r="J518" s="29" t="inlineStr"/>
      <c r="K518" s="29" t="inlineStr">
        <is>
          <t>Directeur des Etudes</t>
        </is>
      </c>
      <c r="L518" s="30" t="inlineStr">
        <is>
          <t>Haute</t>
        </is>
      </c>
      <c r="M518" s="29" t="inlineStr">
        <is>
          <t>MESRS - liste officielle grandes ecoles</t>
        </is>
      </c>
      <c r="N518" s="29" t="inlineStr"/>
      <c r="O518" s="31" t="inlineStr">
        <is>
          <t>sans email</t>
        </is>
      </c>
      <c r="P518" s="29" t="inlineStr">
        <is>
          <t>numerique</t>
        </is>
      </c>
    </row>
    <row r="519">
      <c r="A519" s="29" t="inlineStr">
        <is>
          <t>INSTITUT DE FORMATION CEFAT INTER BONDOUKOU (IFCI)</t>
        </is>
      </c>
      <c r="B519" s="29" t="inlineStr">
        <is>
          <t>Grande ecole BTS/Licence - assistanat de direction, electrotechnique, finances comptabilite</t>
        </is>
      </c>
      <c r="C519" s="29" t="inlineStr">
        <is>
          <t>Prive</t>
        </is>
      </c>
      <c r="D519" s="29" t="inlineStr">
        <is>
          <t>Bondoukou</t>
        </is>
      </c>
      <c r="E519" s="29" t="inlineStr">
        <is>
          <t>Bondoukou, route d'Abidjan, carrefour Nafana</t>
        </is>
      </c>
      <c r="F519" s="29" t="inlineStr">
        <is>
          <t>+225 07 68 02 98 04</t>
        </is>
      </c>
      <c r="G519" s="29" t="inlineStr">
        <is>
          <t>+225 05 66 27 31 43</t>
        </is>
      </c>
      <c r="H519" s="29" t="inlineStr">
        <is>
          <t>+225 07 68 02 98 04</t>
        </is>
      </c>
      <c r="I519" s="29" t="inlineStr">
        <is>
          <t>aessehonore@gmail.com</t>
        </is>
      </c>
      <c r="J519" s="29" t="inlineStr">
        <is>
          <t>https://www.ifciinternational.net</t>
        </is>
      </c>
      <c r="K519" s="29" t="inlineStr">
        <is>
          <t>Directeur des Etudes</t>
        </is>
      </c>
      <c r="L519" s="30" t="inlineStr">
        <is>
          <t>Haute</t>
        </is>
      </c>
      <c r="M519" s="29" t="inlineStr">
        <is>
          <t>MESRS - liste officielle grandes ecoles</t>
        </is>
      </c>
      <c r="N519" s="29" t="inlineStr">
        <is>
          <t>gratuite</t>
        </is>
      </c>
      <c r="O519" s="14" t="inlineStr">
        <is>
          <t>a verifier</t>
        </is>
      </c>
      <c r="P519" s="29" t="inlineStr">
        <is>
          <t>commerce</t>
        </is>
      </c>
    </row>
    <row r="520">
      <c r="A520" s="29" t="inlineStr">
        <is>
          <t>INSTITUT SUPERIEUR DES TECHNOLOGIES APPLIQUEES DE BONDOUKOU (ITAB)</t>
        </is>
      </c>
      <c r="B520" s="29" t="inlineStr">
        <is>
          <t>Grande ecole BTS - assistanat de direction, electrotechnique, finances comptabilite</t>
        </is>
      </c>
      <c r="C520" s="29" t="inlineStr">
        <is>
          <t>Prive</t>
        </is>
      </c>
      <c r="D520" s="29" t="inlineStr">
        <is>
          <t>Bondoukou</t>
        </is>
      </c>
      <c r="E520" s="29" t="inlineStr">
        <is>
          <t>Quartier résidentiel route d'Abidjan derrière le collège DUA KOBENAN</t>
        </is>
      </c>
      <c r="F520" s="29" t="inlineStr">
        <is>
          <t>+225 07 49 25 50 32</t>
        </is>
      </c>
      <c r="G520" s="29" t="inlineStr">
        <is>
          <t>+225 05 64 65 96 08</t>
        </is>
      </c>
      <c r="H520" s="29" t="inlineStr">
        <is>
          <t>+225 07 49 25 50 32</t>
        </is>
      </c>
      <c r="I520" s="29" t="inlineStr">
        <is>
          <t>itabondoukou@gmail.com</t>
        </is>
      </c>
      <c r="J520" s="29" t="inlineStr"/>
      <c r="K520" s="29" t="inlineStr">
        <is>
          <t>Directeur des Etudes</t>
        </is>
      </c>
      <c r="L520" s="30" t="inlineStr">
        <is>
          <t>Haute</t>
        </is>
      </c>
      <c r="M520" s="29" t="inlineStr">
        <is>
          <t>MESRS - liste officielle grandes ecoles</t>
        </is>
      </c>
      <c r="N520" s="29" t="inlineStr">
        <is>
          <t>gratuite</t>
        </is>
      </c>
      <c r="O520" s="14" t="inlineStr">
        <is>
          <t>a verifier</t>
        </is>
      </c>
      <c r="P520" s="29" t="inlineStr">
        <is>
          <t>numerique</t>
        </is>
      </c>
    </row>
    <row r="521">
      <c r="A521" s="29" t="inlineStr">
        <is>
          <t>INSTITUT POLYTECHNIQUE DES METIERS DE BONGOUANOU (INPM-B)</t>
        </is>
      </c>
      <c r="B521" s="29" t="inlineStr">
        <is>
          <t>Grande ecole BTS - assistanat de direction, agriculture tropicale, finances comptabilite</t>
        </is>
      </c>
      <c r="C521" s="29" t="inlineStr">
        <is>
          <t>Prive</t>
        </is>
      </c>
      <c r="D521" s="29" t="inlineStr">
        <is>
          <t>Bongouanou</t>
        </is>
      </c>
      <c r="E521" s="29" t="inlineStr"/>
      <c r="F521" s="29" t="inlineStr">
        <is>
          <t>+225 07 07 02 86 47</t>
        </is>
      </c>
      <c r="G521" s="29" t="inlineStr">
        <is>
          <t>+225 07 47 73 26 11</t>
        </is>
      </c>
      <c r="H521" s="29" t="inlineStr">
        <is>
          <t>+225 07 07 02 86 47</t>
        </is>
      </c>
      <c r="I521" s="29" t="inlineStr">
        <is>
          <t>inpmb.ens.sup@gmail.com</t>
        </is>
      </c>
      <c r="J521" s="29" t="inlineStr"/>
      <c r="K521" s="29" t="inlineStr">
        <is>
          <t>Directeur des Etudes</t>
        </is>
      </c>
      <c r="L521" s="30" t="inlineStr">
        <is>
          <t>Haute</t>
        </is>
      </c>
      <c r="M521" s="29" t="inlineStr">
        <is>
          <t>MESRS - liste officielle grandes ecoles</t>
        </is>
      </c>
      <c r="N521" s="29" t="inlineStr">
        <is>
          <t>gratuite</t>
        </is>
      </c>
      <c r="O521" s="14" t="inlineStr">
        <is>
          <t>a verifier</t>
        </is>
      </c>
      <c r="P521" s="29" t="inlineStr">
        <is>
          <t>ingenieur</t>
        </is>
      </c>
    </row>
    <row r="522">
      <c r="A522" s="29" t="inlineStr">
        <is>
          <t>CHANTIERS ECOLE DES METIERS DU BATIMENT ET DES TRAVAUX PUBLICS (CEM-BTP)</t>
        </is>
      </c>
      <c r="B522" s="29" t="inlineStr">
        <is>
          <t>Grande ecole BTS - arts, genie civil, urbanisme</t>
        </is>
      </c>
      <c r="C522" s="29" t="inlineStr">
        <is>
          <t>Prive</t>
        </is>
      </c>
      <c r="D522" s="29" t="inlineStr">
        <is>
          <t>Bonoua</t>
        </is>
      </c>
      <c r="E522" s="29" t="inlineStr"/>
      <c r="F522" s="29" t="inlineStr">
        <is>
          <t>+225 07 07 54 77 48</t>
        </is>
      </c>
      <c r="G522" s="29" t="inlineStr">
        <is>
          <t>+225 01 01 32 25 15</t>
        </is>
      </c>
      <c r="H522" s="29" t="inlineStr">
        <is>
          <t>+225 07 07 54 77 48</t>
        </is>
      </c>
      <c r="I522" s="29" t="inlineStr">
        <is>
          <t>cembtpbonoua@gmail.com</t>
        </is>
      </c>
      <c r="J522" s="29" t="inlineStr"/>
      <c r="K522" s="29" t="inlineStr">
        <is>
          <t>Directeur des Etudes</t>
        </is>
      </c>
      <c r="L522" s="30" t="inlineStr">
        <is>
          <t>Haute</t>
        </is>
      </c>
      <c r="M522" s="29" t="inlineStr">
        <is>
          <t>MESRS - liste officielle grandes ecoles</t>
        </is>
      </c>
      <c r="N522" s="29" t="inlineStr">
        <is>
          <t>gratuite</t>
        </is>
      </c>
      <c r="O522" s="14" t="inlineStr">
        <is>
          <t>a verifier</t>
        </is>
      </c>
      <c r="P522" s="29" t="inlineStr">
        <is>
          <t>btp</t>
        </is>
      </c>
    </row>
    <row r="523">
      <c r="A523" s="29" t="inlineStr">
        <is>
          <t>ECOLE POLYTECHNIQUE BOUAFLE (EPA)</t>
        </is>
      </c>
      <c r="B523" s="29" t="inlineStr">
        <is>
          <t>Grande ecole BTS - agriculture tropicale, electrotechnique, finances comptabilite</t>
        </is>
      </c>
      <c r="C523" s="29" t="inlineStr">
        <is>
          <t>Prive</t>
        </is>
      </c>
      <c r="D523" s="29" t="inlineStr">
        <is>
          <t>Bouafle</t>
        </is>
      </c>
      <c r="E523" s="29" t="inlineStr"/>
      <c r="F523" s="29" t="inlineStr"/>
      <c r="G523" s="29" t="inlineStr"/>
      <c r="H523" s="29" t="inlineStr"/>
      <c r="I523" s="29" t="inlineStr"/>
      <c r="J523" s="29" t="inlineStr"/>
      <c r="K523" s="29" t="inlineStr">
        <is>
          <t>Directeur des Etudes</t>
        </is>
      </c>
      <c r="L523" s="30" t="inlineStr">
        <is>
          <t>Haute</t>
        </is>
      </c>
      <c r="M523" s="29" t="inlineStr">
        <is>
          <t>MESRS - liste officielle grandes ecoles</t>
        </is>
      </c>
      <c r="N523" s="29" t="inlineStr"/>
      <c r="O523" s="31" t="inlineStr">
        <is>
          <t>sans email</t>
        </is>
      </c>
      <c r="P523" s="29" t="inlineStr">
        <is>
          <t>ingenieur</t>
        </is>
      </c>
    </row>
    <row r="524">
      <c r="A524" s="29" t="inlineStr">
        <is>
          <t>ECOLE SUPÉRIEURE DE PRATIQUES DES AFFAIRES COMMERCIALES ET COMPTABLES (ESPACC BOUAFLE)</t>
        </is>
      </c>
      <c r="B524" s="29" t="inlineStr">
        <is>
          <t>Grande ecole BTS - assistanat de direction, finances comptabilite, gestion commerciale</t>
        </is>
      </c>
      <c r="C524" s="29" t="inlineStr">
        <is>
          <t>Prive</t>
        </is>
      </c>
      <c r="D524" s="29" t="inlineStr">
        <is>
          <t>Bouafle</t>
        </is>
      </c>
      <c r="E524" s="29" t="inlineStr">
        <is>
          <t>QUATIER RÉSIDENTIEL, EN FACE DE LA PRÉFECTURE</t>
        </is>
      </c>
      <c r="F524" s="29" t="inlineStr">
        <is>
          <t>+225 07 07 86 14 92</t>
        </is>
      </c>
      <c r="G524" s="29" t="inlineStr">
        <is>
          <t>+225 07 08 98 58 69</t>
        </is>
      </c>
      <c r="H524" s="29" t="inlineStr">
        <is>
          <t>+225 07 07 86 14 92</t>
        </is>
      </c>
      <c r="I524" s="29" t="inlineStr">
        <is>
          <t>espaccbouafle@gmail.com</t>
        </is>
      </c>
      <c r="J524" s="29" t="inlineStr"/>
      <c r="K524" s="29" t="inlineStr">
        <is>
          <t>Directeur des Etudes</t>
        </is>
      </c>
      <c r="L524" s="30" t="inlineStr">
        <is>
          <t>Haute</t>
        </is>
      </c>
      <c r="M524" s="29" t="inlineStr">
        <is>
          <t>MESRS - liste officielle grandes ecoles</t>
        </is>
      </c>
      <c r="N524" s="29" t="inlineStr">
        <is>
          <t>gratuite</t>
        </is>
      </c>
      <c r="O524" s="14" t="inlineStr">
        <is>
          <t>a verifier</t>
        </is>
      </c>
      <c r="P524" s="29" t="inlineStr">
        <is>
          <t>commerce</t>
        </is>
      </c>
    </row>
    <row r="525">
      <c r="A525" s="29" t="inlineStr">
        <is>
          <t>INSTITUT SEL DU MONDE BOUAFLE (ISM)</t>
        </is>
      </c>
      <c r="B525" s="29" t="inlineStr">
        <is>
          <t>Grande ecole BTS - agriculture tropicale, finances comptabilite, genie civil</t>
        </is>
      </c>
      <c r="C525" s="29" t="inlineStr">
        <is>
          <t>Prive</t>
        </is>
      </c>
      <c r="D525" s="29" t="inlineStr">
        <is>
          <t>Bouafle</t>
        </is>
      </c>
      <c r="E525" s="29" t="inlineStr">
        <is>
          <t>QUARTIER COMMERCE, Immeuble Duncan</t>
        </is>
      </c>
      <c r="F525" s="29" t="inlineStr">
        <is>
          <t>+225 07 08 16 54 53</t>
        </is>
      </c>
      <c r="G525" s="29" t="inlineStr">
        <is>
          <t>+225 27 24 33 67 68</t>
        </is>
      </c>
      <c r="H525" s="29" t="inlineStr">
        <is>
          <t>+225 07 08 16 54 53</t>
        </is>
      </c>
      <c r="I525" s="29" t="inlineStr">
        <is>
          <t>seldumonde@gmail.com</t>
        </is>
      </c>
      <c r="J525" s="29" t="inlineStr"/>
      <c r="K525" s="29" t="inlineStr">
        <is>
          <t>Directeur des Etudes</t>
        </is>
      </c>
      <c r="L525" s="30" t="inlineStr">
        <is>
          <t>Haute</t>
        </is>
      </c>
      <c r="M525" s="29" t="inlineStr">
        <is>
          <t>MESRS - liste officielle grandes ecoles</t>
        </is>
      </c>
      <c r="N525" s="29" t="inlineStr">
        <is>
          <t>gratuite</t>
        </is>
      </c>
      <c r="O525" s="14" t="inlineStr">
        <is>
          <t>a verifier</t>
        </is>
      </c>
      <c r="P525" s="29" t="inlineStr">
        <is>
          <t>commerce</t>
        </is>
      </c>
    </row>
    <row r="526">
      <c r="A526" s="29" t="inlineStr">
        <is>
          <t>INSTITUT SUPERIEUR D'ETUDES COMMERCIALES (ISEC)</t>
        </is>
      </c>
      <c r="B526" s="29" t="inlineStr">
        <is>
          <t>Grande ecole BTS - assistanat de direction, agriculture tropicale, finances comptabilite</t>
        </is>
      </c>
      <c r="C526" s="29" t="inlineStr">
        <is>
          <t>Prive</t>
        </is>
      </c>
      <c r="D526" s="29" t="inlineStr">
        <is>
          <t>Bouafle</t>
        </is>
      </c>
      <c r="E526" s="29" t="inlineStr">
        <is>
          <t>BOUAFLE QUARTIER MILLIONNAIRE NON LOIN DE LA PREFECTURE</t>
        </is>
      </c>
      <c r="F526" s="29" t="inlineStr">
        <is>
          <t>+225 01 42 71 23 88</t>
        </is>
      </c>
      <c r="G526" s="29" t="inlineStr">
        <is>
          <t>+225 07 08 33 31 51</t>
        </is>
      </c>
      <c r="H526" s="29" t="inlineStr">
        <is>
          <t>+225 01 42 71 23 88</t>
        </is>
      </c>
      <c r="I526" s="29" t="inlineStr"/>
      <c r="J526" s="29" t="inlineStr"/>
      <c r="K526" s="29" t="inlineStr">
        <is>
          <t>Directeur des Etudes</t>
        </is>
      </c>
      <c r="L526" s="30" t="inlineStr">
        <is>
          <t>Haute</t>
        </is>
      </c>
      <c r="M526" s="29" t="inlineStr">
        <is>
          <t>MESRS - liste officielle grandes ecoles</t>
        </is>
      </c>
      <c r="N526" s="29" t="inlineStr"/>
      <c r="O526" s="31" t="inlineStr">
        <is>
          <t>sans email</t>
        </is>
      </c>
      <c r="P526" s="29" t="inlineStr">
        <is>
          <t>commerce</t>
        </is>
      </c>
    </row>
    <row r="527">
      <c r="A527" s="29" t="inlineStr">
        <is>
          <t>ACADEMIE INTERNATIONALE DES SCIENCES ET TECHNIQUES (AIST BOUAKE)</t>
        </is>
      </c>
      <c r="B527" s="29" t="inlineStr">
        <is>
          <t>Grande ecole BTS - assistanat de direction, agriculture tropicale, finances comptabilite</t>
        </is>
      </c>
      <c r="C527" s="29" t="inlineStr">
        <is>
          <t>Prive</t>
        </is>
      </c>
      <c r="D527" s="29" t="inlineStr">
        <is>
          <t>Bouake</t>
        </is>
      </c>
      <c r="E527" s="29" t="inlineStr"/>
      <c r="F527" s="29" t="inlineStr">
        <is>
          <t>+225 05 64 93 07 78</t>
        </is>
      </c>
      <c r="G527" s="29" t="inlineStr"/>
      <c r="H527" s="29" t="inlineStr">
        <is>
          <t>+225 05 64 93 07 78</t>
        </is>
      </c>
      <c r="I527" s="29" t="inlineStr">
        <is>
          <t>aistbouake@yahoo.fr</t>
        </is>
      </c>
      <c r="J527" s="29" t="inlineStr"/>
      <c r="K527" s="29" t="inlineStr">
        <is>
          <t>Directeur des Etudes</t>
        </is>
      </c>
      <c r="L527" s="30" t="inlineStr">
        <is>
          <t>Haute</t>
        </is>
      </c>
      <c r="M527" s="29" t="inlineStr">
        <is>
          <t>MESRS - liste officielle grandes ecoles</t>
        </is>
      </c>
      <c r="N527" s="29" t="inlineStr">
        <is>
          <t>gratuite</t>
        </is>
      </c>
      <c r="O527" s="14" t="inlineStr">
        <is>
          <t>a verifier</t>
        </is>
      </c>
      <c r="P527" s="29" t="inlineStr">
        <is>
          <t>commerce</t>
        </is>
      </c>
    </row>
    <row r="528">
      <c r="A528" s="29" t="inlineStr">
        <is>
          <t>ECOLE INTERNATIONALE TERTIAIRE DES NOUVELLES TECHNOLOGIES DE L'INFORMATION ET DE LA COMMUNICATION BOUAKE (EIT-NTIC BOUAKE)</t>
        </is>
      </c>
      <c r="B528" s="29" t="inlineStr">
        <is>
          <t>Grande ecole BTS - agriculture tropicale, electrotechnique, finances comptabilite</t>
        </is>
      </c>
      <c r="C528" s="29" t="inlineStr">
        <is>
          <t>Prive</t>
        </is>
      </c>
      <c r="D528" s="29" t="inlineStr">
        <is>
          <t>Bouake</t>
        </is>
      </c>
      <c r="E528" s="29" t="inlineStr">
        <is>
          <t>AHOUGNANSSOU DERRIERE LE STADE</t>
        </is>
      </c>
      <c r="F528" s="29" t="inlineStr">
        <is>
          <t>+225 27 31 63 03 36</t>
        </is>
      </c>
      <c r="G528" s="29" t="inlineStr"/>
      <c r="H528" s="29" t="inlineStr"/>
      <c r="I528" s="29" t="inlineStr">
        <is>
          <t>eitnticbouake@gmail.com</t>
        </is>
      </c>
      <c r="J528" s="29" t="inlineStr"/>
      <c r="K528" s="29" t="inlineStr">
        <is>
          <t>Directeur des Etudes</t>
        </is>
      </c>
      <c r="L528" s="30" t="inlineStr">
        <is>
          <t>Haute</t>
        </is>
      </c>
      <c r="M528" s="29" t="inlineStr">
        <is>
          <t>MESRS - liste officielle grandes ecoles</t>
        </is>
      </c>
      <c r="N528" s="29" t="inlineStr">
        <is>
          <t>gratuite</t>
        </is>
      </c>
      <c r="O528" s="14" t="inlineStr">
        <is>
          <t>a verifier</t>
        </is>
      </c>
      <c r="P528" s="29" t="inlineStr">
        <is>
          <t>communication</t>
        </is>
      </c>
    </row>
    <row r="529">
      <c r="A529" s="29" t="inlineStr">
        <is>
          <t>ECOLE POLYTECHNIQUE LES OSCARS</t>
        </is>
      </c>
      <c r="B529" s="29" t="inlineStr">
        <is>
          <t>Grande ecole BTS - agriculture tropicale, electrotechnique, finances comptabilite</t>
        </is>
      </c>
      <c r="C529" s="29" t="inlineStr">
        <is>
          <t>Prive</t>
        </is>
      </c>
      <c r="D529" s="29" t="inlineStr">
        <is>
          <t>Bouake</t>
        </is>
      </c>
      <c r="E529" s="29" t="inlineStr">
        <is>
          <t>Quartier Municipal secteur Lycée Technique Bouaké</t>
        </is>
      </c>
      <c r="F529" s="29" t="inlineStr">
        <is>
          <t>+225 07 07 93 95 81</t>
        </is>
      </c>
      <c r="G529" s="29" t="inlineStr">
        <is>
          <t>+225 07 08 01 13 16</t>
        </is>
      </c>
      <c r="H529" s="29" t="inlineStr">
        <is>
          <t>+225 07 07 93 95 81</t>
        </is>
      </c>
      <c r="I529" s="29" t="inlineStr">
        <is>
          <t>ecolepolytechniqueoscars85@gmail.com</t>
        </is>
      </c>
      <c r="J529" s="29" t="inlineStr">
        <is>
          <t>https://www.eposcars.net</t>
        </is>
      </c>
      <c r="K529" s="29" t="inlineStr">
        <is>
          <t>Directeur des Etudes</t>
        </is>
      </c>
      <c r="L529" s="30" t="inlineStr">
        <is>
          <t>Haute</t>
        </is>
      </c>
      <c r="M529" s="29" t="inlineStr">
        <is>
          <t>MESRS - liste officielle grandes ecoles</t>
        </is>
      </c>
      <c r="N529" s="29" t="inlineStr">
        <is>
          <t>gratuite</t>
        </is>
      </c>
      <c r="O529" s="14" t="inlineStr">
        <is>
          <t>a verifier</t>
        </is>
      </c>
      <c r="P529" s="29" t="inlineStr">
        <is>
          <t>ingenieur</t>
        </is>
      </c>
    </row>
    <row r="530">
      <c r="A530" s="29" t="inlineStr">
        <is>
          <t>ECOLE SPECIALE DU BÂTIMENT ET DES TRAVAUX PUBLICS BOUAKE (ESBTP BOUAKE)</t>
        </is>
      </c>
      <c r="B530" s="29" t="inlineStr">
        <is>
          <t>Grande ecole BTS - genie civil, mines geologie, urbanisme</t>
        </is>
      </c>
      <c r="C530" s="29" t="inlineStr">
        <is>
          <t>Prive</t>
        </is>
      </c>
      <c r="D530" s="29" t="inlineStr">
        <is>
          <t>Bouake</t>
        </is>
      </c>
      <c r="E530" s="29" t="inlineStr">
        <is>
          <t>Air France 3, 100m en arrière de l’hôtel lac vert</t>
        </is>
      </c>
      <c r="F530" s="29" t="inlineStr">
        <is>
          <t>+225 07 58 29 07 62</t>
        </is>
      </c>
      <c r="G530" s="29" t="inlineStr">
        <is>
          <t>+225 27 32 61 48 95</t>
        </is>
      </c>
      <c r="H530" s="29" t="inlineStr">
        <is>
          <t>+225 07 58 29 07 62</t>
        </is>
      </c>
      <c r="I530" s="29" t="inlineStr">
        <is>
          <t>esbtpbouake@esbtp-ci.net</t>
        </is>
      </c>
      <c r="J530" s="29" t="inlineStr">
        <is>
          <t>http://esbtp-ci.net</t>
        </is>
      </c>
      <c r="K530" s="29" t="inlineStr">
        <is>
          <t>Directeur des Etudes</t>
        </is>
      </c>
      <c r="L530" s="30" t="inlineStr">
        <is>
          <t>Haute</t>
        </is>
      </c>
      <c r="M530" s="29" t="inlineStr">
        <is>
          <t>MESRS - liste officielle grandes ecoles</t>
        </is>
      </c>
      <c r="N530" s="29" t="inlineStr">
        <is>
          <t>domaine propre</t>
        </is>
      </c>
      <c r="O530" s="14" t="inlineStr">
        <is>
          <t>a verifier</t>
        </is>
      </c>
      <c r="P530" s="29" t="inlineStr">
        <is>
          <t>btp</t>
        </is>
      </c>
    </row>
    <row r="531">
      <c r="A531" s="29" t="inlineStr">
        <is>
          <t>ECOLE SUPERIEURE DE COMMERCE D'ADMINISTRATION ET DE MANAGEMENT BOUAKE (ESCAM BOUAKE)</t>
        </is>
      </c>
      <c r="B531" s="29" t="inlineStr">
        <is>
          <t>Grande ecole BTS - finances comptabilite, gestion commerciale, informatique developpeur d'applications</t>
        </is>
      </c>
      <c r="C531" s="29" t="inlineStr">
        <is>
          <t>Prive</t>
        </is>
      </c>
      <c r="D531" s="29" t="inlineStr">
        <is>
          <t>Bouake</t>
        </is>
      </c>
      <c r="E531" s="29" t="inlineStr">
        <is>
          <t>située au quartier commerce non loin de la direction de la CIE</t>
        </is>
      </c>
      <c r="F531" s="29" t="inlineStr">
        <is>
          <t>+225 07 07 21 86 32</t>
        </is>
      </c>
      <c r="G531" s="29" t="inlineStr"/>
      <c r="H531" s="29" t="inlineStr">
        <is>
          <t>+225 07 07 21 86 32</t>
        </is>
      </c>
      <c r="I531" s="29" t="inlineStr"/>
      <c r="J531" s="29" t="inlineStr"/>
      <c r="K531" s="29" t="inlineStr">
        <is>
          <t>Directeur des Etudes</t>
        </is>
      </c>
      <c r="L531" s="30" t="inlineStr">
        <is>
          <t>Haute</t>
        </is>
      </c>
      <c r="M531" s="29" t="inlineStr">
        <is>
          <t>MESRS - liste officielle grandes ecoles</t>
        </is>
      </c>
      <c r="N531" s="29" t="inlineStr"/>
      <c r="O531" s="31" t="inlineStr">
        <is>
          <t>sans email</t>
        </is>
      </c>
      <c r="P531" s="29" t="inlineStr">
        <is>
          <t>commerce</t>
        </is>
      </c>
    </row>
    <row r="532">
      <c r="A532" s="29" t="inlineStr">
        <is>
          <t>ECOLE SUPERIEURE DE GESTION ET ENTREPRENEURIAT DE BOUAKE (ESGEB)</t>
        </is>
      </c>
      <c r="B532" s="29" t="inlineStr">
        <is>
          <t>Grande ecole BTS - assistanat de direction, electrotechnique, finances comptabilite</t>
        </is>
      </c>
      <c r="C532" s="29" t="inlineStr">
        <is>
          <t>Prive</t>
        </is>
      </c>
      <c r="D532" s="29" t="inlineStr">
        <is>
          <t>Bouake</t>
        </is>
      </c>
      <c r="E532" s="29" t="inlineStr">
        <is>
          <t>PRÈS DE INFAS BOUAKE</t>
        </is>
      </c>
      <c r="F532" s="29" t="inlineStr">
        <is>
          <t>+225 07 67 59 96 88</t>
        </is>
      </c>
      <c r="G532" s="29" t="inlineStr">
        <is>
          <t>+225 05 86 56 62 84</t>
        </is>
      </c>
      <c r="H532" s="29" t="inlineStr">
        <is>
          <t>+225 07 67 59 96 88</t>
        </is>
      </c>
      <c r="I532" s="29" t="inlineStr">
        <is>
          <t>esgeb.bouake@gmail.com</t>
        </is>
      </c>
      <c r="J532" s="29" t="inlineStr">
        <is>
          <t>https://www.esgeb.ci</t>
        </is>
      </c>
      <c r="K532" s="29" t="inlineStr">
        <is>
          <t>Directeur des Etudes</t>
        </is>
      </c>
      <c r="L532" s="30" t="inlineStr">
        <is>
          <t>Haute</t>
        </is>
      </c>
      <c r="M532" s="29" t="inlineStr">
        <is>
          <t>MESRS - liste officielle grandes ecoles</t>
        </is>
      </c>
      <c r="N532" s="29" t="inlineStr">
        <is>
          <t>gratuite</t>
        </is>
      </c>
      <c r="O532" s="14" t="inlineStr">
        <is>
          <t>a verifier</t>
        </is>
      </c>
      <c r="P532" s="29" t="inlineStr">
        <is>
          <t>commerce</t>
        </is>
      </c>
    </row>
    <row r="533">
      <c r="A533" s="29" t="inlineStr">
        <is>
          <t>ECOLE SUPERIEURE DES SCIENCES ECONOMIQUES COMMERCIALES ET DE TECHNOLOGIES POINCARE BOUAKE (ESSECT POINCARE BOUAKE)</t>
        </is>
      </c>
      <c r="B533" s="29" t="inlineStr">
        <is>
          <t>Grande ecole BTS - assistanat de direction, agriculture tropicale, communication visuelle</t>
        </is>
      </c>
      <c r="C533" s="29" t="inlineStr">
        <is>
          <t>Prive</t>
        </is>
      </c>
      <c r="D533" s="29" t="inlineStr">
        <is>
          <t>Bouake</t>
        </is>
      </c>
      <c r="E533" s="29" t="inlineStr">
        <is>
          <t>Bouaké Rue Fourniez Bidoz, Non loin du petit stade municipal</t>
        </is>
      </c>
      <c r="F533" s="29" t="inlineStr">
        <is>
          <t>+225 07 57 79 31 22</t>
        </is>
      </c>
      <c r="G533" s="29" t="inlineStr">
        <is>
          <t>+225 07 08 27 17 82</t>
        </is>
      </c>
      <c r="H533" s="29" t="inlineStr">
        <is>
          <t>+225 07 57 79 31 22</t>
        </is>
      </c>
      <c r="I533" s="29" t="inlineStr">
        <is>
          <t>poincarebouake@yahoo.fr</t>
        </is>
      </c>
      <c r="J533" s="29" t="inlineStr">
        <is>
          <t>https://www.etablissementshenripoincare.net</t>
        </is>
      </c>
      <c r="K533" s="29" t="inlineStr">
        <is>
          <t>Directeur des Etudes</t>
        </is>
      </c>
      <c r="L533" s="30" t="inlineStr">
        <is>
          <t>Haute</t>
        </is>
      </c>
      <c r="M533" s="29" t="inlineStr">
        <is>
          <t>MESRS - liste officielle grandes ecoles</t>
        </is>
      </c>
      <c r="N533" s="29" t="inlineStr">
        <is>
          <t>gratuite</t>
        </is>
      </c>
      <c r="O533" s="14" t="inlineStr">
        <is>
          <t>a verifier</t>
        </is>
      </c>
      <c r="P533" s="29" t="inlineStr">
        <is>
          <t>numerique</t>
        </is>
      </c>
    </row>
    <row r="534">
      <c r="A534" s="29" t="inlineStr">
        <is>
          <t>ECOLE SUPERIEURE DES TECHNOLOGIES AVANCEES ET DE MANAGEMENT BOUAKE (ESTAM BOUAKE)</t>
        </is>
      </c>
      <c r="B534" s="29" t="inlineStr">
        <is>
          <t>Grande ecole BTS - assistanat de direction, finances comptabilite, gestion commerciale</t>
        </is>
      </c>
      <c r="C534" s="29" t="inlineStr">
        <is>
          <t>Prive</t>
        </is>
      </c>
      <c r="D534" s="29" t="inlineStr">
        <is>
          <t>Bouake</t>
        </is>
      </c>
      <c r="E534" s="29" t="inlineStr">
        <is>
          <t>Bouaké, quartier Kennedy ancien bureau de l'UNICEF</t>
        </is>
      </c>
      <c r="F534" s="29" t="inlineStr"/>
      <c r="G534" s="29" t="inlineStr"/>
      <c r="H534" s="29" t="inlineStr"/>
      <c r="I534" s="29" t="inlineStr"/>
      <c r="J534" s="29" t="inlineStr">
        <is>
          <t>https://estam.ci</t>
        </is>
      </c>
      <c r="K534" s="29" t="inlineStr">
        <is>
          <t>Directeur des Etudes</t>
        </is>
      </c>
      <c r="L534" s="30" t="inlineStr">
        <is>
          <t>Haute</t>
        </is>
      </c>
      <c r="M534" s="29" t="inlineStr">
        <is>
          <t>MESRS - liste officielle grandes ecoles</t>
        </is>
      </c>
      <c r="N534" s="29" t="inlineStr"/>
      <c r="O534" s="31" t="inlineStr">
        <is>
          <t>sans email</t>
        </is>
      </c>
      <c r="P534" s="29" t="inlineStr">
        <is>
          <t>numerique</t>
        </is>
      </c>
    </row>
    <row r="535">
      <c r="A535" s="29" t="inlineStr">
        <is>
          <t>EDUCATECH BOUAKE</t>
        </is>
      </c>
      <c r="B535" s="29" t="inlineStr">
        <is>
          <t>Grande ecole BTS - finances comptabilite, gestion commerciale, informatique developpeur d'applications</t>
        </is>
      </c>
      <c r="C535" s="29" t="inlineStr">
        <is>
          <t>Prive</t>
        </is>
      </c>
      <c r="D535" s="29" t="inlineStr">
        <is>
          <t>Bouake</t>
        </is>
      </c>
      <c r="E535" s="29" t="inlineStr"/>
      <c r="F535" s="29" t="inlineStr">
        <is>
          <t>+225 07 57 88 92 55</t>
        </is>
      </c>
      <c r="G535" s="29" t="inlineStr">
        <is>
          <t>+225 01 51 93 22 39</t>
        </is>
      </c>
      <c r="H535" s="29" t="inlineStr">
        <is>
          <t>+225 07 57 88 92 55</t>
        </is>
      </c>
      <c r="I535" s="29" t="inlineStr"/>
      <c r="J535" s="29" t="inlineStr"/>
      <c r="K535" s="29" t="inlineStr">
        <is>
          <t>Directeur des Etudes</t>
        </is>
      </c>
      <c r="L535" s="30" t="inlineStr">
        <is>
          <t>Haute</t>
        </is>
      </c>
      <c r="M535" s="29" t="inlineStr">
        <is>
          <t>MESRS - liste officielle grandes ecoles</t>
        </is>
      </c>
      <c r="N535" s="29" t="inlineStr"/>
      <c r="O535" s="31" t="inlineStr">
        <is>
          <t>sans email</t>
        </is>
      </c>
      <c r="P535" s="29" t="inlineStr">
        <is>
          <t>commerce</t>
        </is>
      </c>
    </row>
    <row r="536">
      <c r="A536" s="29" t="inlineStr">
        <is>
          <t>EPCT BOUAKE</t>
        </is>
      </c>
      <c r="B536" s="29" t="inlineStr">
        <is>
          <t>Grande ecole BTS - assistanat de direction, finances comptabilite, gestion commerciale</t>
        </is>
      </c>
      <c r="C536" s="29" t="inlineStr">
        <is>
          <t>Prive</t>
        </is>
      </c>
      <c r="D536" s="29" t="inlineStr">
        <is>
          <t>Bouake</t>
        </is>
      </c>
      <c r="E536" s="29" t="inlineStr">
        <is>
          <t>Quartier Commerce - Rue de Carnaval - A côté de CGI</t>
        </is>
      </c>
      <c r="F536" s="29" t="inlineStr">
        <is>
          <t>+225 27 31 63 40 68</t>
        </is>
      </c>
      <c r="G536" s="29" t="inlineStr"/>
      <c r="H536" s="29" t="inlineStr"/>
      <c r="I536" s="29" t="inlineStr">
        <is>
          <t>epctbouake@gmail.com</t>
        </is>
      </c>
      <c r="J536" s="29" t="inlineStr"/>
      <c r="K536" s="29" t="inlineStr">
        <is>
          <t>Directeur des Etudes</t>
        </is>
      </c>
      <c r="L536" s="30" t="inlineStr">
        <is>
          <t>Haute</t>
        </is>
      </c>
      <c r="M536" s="29" t="inlineStr">
        <is>
          <t>MESRS - liste officielle grandes ecoles</t>
        </is>
      </c>
      <c r="N536" s="29" t="inlineStr">
        <is>
          <t>gratuite</t>
        </is>
      </c>
      <c r="O536" s="14" t="inlineStr">
        <is>
          <t>a verifier</t>
        </is>
      </c>
      <c r="P536" s="29" t="inlineStr">
        <is>
          <t>commerce</t>
        </is>
      </c>
    </row>
    <row r="537">
      <c r="A537" s="29" t="inlineStr">
        <is>
          <t>ESCT BOUAKE</t>
        </is>
      </c>
      <c r="B537" s="29" t="inlineStr">
        <is>
          <t>Grande ecole BTS - agriculture tropicale, electrotechnique, finances comptabilite</t>
        </is>
      </c>
      <c r="C537" s="29" t="inlineStr">
        <is>
          <t>Prive</t>
        </is>
      </c>
      <c r="D537" s="29" t="inlineStr">
        <is>
          <t>Bouake</t>
        </is>
      </c>
      <c r="E537" s="29" t="inlineStr">
        <is>
          <t>AHOUGNANSSOU DERRIERE LE STADE</t>
        </is>
      </c>
      <c r="F537" s="29" t="inlineStr">
        <is>
          <t>+225 27 31 63 03 36</t>
        </is>
      </c>
      <c r="G537" s="29" t="inlineStr"/>
      <c r="H537" s="29" t="inlineStr"/>
      <c r="I537" s="29" t="inlineStr">
        <is>
          <t>esctbouake@gmail.com</t>
        </is>
      </c>
      <c r="J537" s="29" t="inlineStr"/>
      <c r="K537" s="29" t="inlineStr">
        <is>
          <t>Directeur des Etudes</t>
        </is>
      </c>
      <c r="L537" s="30" t="inlineStr">
        <is>
          <t>Haute</t>
        </is>
      </c>
      <c r="M537" s="29" t="inlineStr">
        <is>
          <t>MESRS - liste officielle grandes ecoles</t>
        </is>
      </c>
      <c r="N537" s="29" t="inlineStr">
        <is>
          <t>gratuite</t>
        </is>
      </c>
      <c r="O537" s="14" t="inlineStr">
        <is>
          <t>a verifier</t>
        </is>
      </c>
      <c r="P537" s="29" t="inlineStr">
        <is>
          <t>commerce</t>
        </is>
      </c>
    </row>
    <row r="538">
      <c r="A538" s="29" t="inlineStr">
        <is>
          <t>ESIC AFRIQUE</t>
        </is>
      </c>
      <c r="B538" s="29" t="inlineStr">
        <is>
          <t>Grande ecole BTS - assistanat de direction, finances comptabilite, gestion commerciale</t>
        </is>
      </c>
      <c r="C538" s="29" t="inlineStr">
        <is>
          <t>Prive</t>
        </is>
      </c>
      <c r="D538" s="29" t="inlineStr">
        <is>
          <t>Bouake</t>
        </is>
      </c>
      <c r="E538" s="29" t="inlineStr">
        <is>
          <t>BOUAKE HABITAT GONFREVILLE</t>
        </is>
      </c>
      <c r="F538" s="29" t="inlineStr">
        <is>
          <t>+225 01 01 38 26 22</t>
        </is>
      </c>
      <c r="G538" s="29" t="inlineStr"/>
      <c r="H538" s="29" t="inlineStr">
        <is>
          <t>+225 01 01 38 26 22</t>
        </is>
      </c>
      <c r="I538" s="29" t="inlineStr">
        <is>
          <t>divinesourceguy@gmail.com</t>
        </is>
      </c>
      <c r="J538" s="29" t="inlineStr"/>
      <c r="K538" s="29" t="inlineStr">
        <is>
          <t>Directeur des Etudes</t>
        </is>
      </c>
      <c r="L538" s="30" t="inlineStr">
        <is>
          <t>Haute</t>
        </is>
      </c>
      <c r="M538" s="29" t="inlineStr">
        <is>
          <t>MESRS - liste officielle grandes ecoles</t>
        </is>
      </c>
      <c r="N538" s="29" t="inlineStr">
        <is>
          <t>gratuite</t>
        </is>
      </c>
      <c r="O538" s="14" t="inlineStr">
        <is>
          <t>a verifier</t>
        </is>
      </c>
      <c r="P538" s="29" t="inlineStr">
        <is>
          <t>commerce</t>
        </is>
      </c>
    </row>
    <row r="539">
      <c r="A539" s="29" t="inlineStr">
        <is>
          <t>ESMA ANNEXE BOUAKE</t>
        </is>
      </c>
      <c r="B539" s="29" t="inlineStr">
        <is>
          <t>Grande ecole BTS - communication visuelle, gestion commerciale, informatique developpeur d'applications</t>
        </is>
      </c>
      <c r="C539" s="29" t="inlineStr">
        <is>
          <t>Prive</t>
        </is>
      </c>
      <c r="D539" s="29" t="inlineStr">
        <is>
          <t>Bouake</t>
        </is>
      </c>
      <c r="E539" s="29" t="inlineStr">
        <is>
          <t>Quartier Air France 1</t>
        </is>
      </c>
      <c r="F539" s="29" t="inlineStr">
        <is>
          <t>+225 27 31 61 64 42</t>
        </is>
      </c>
      <c r="G539" s="29" t="inlineStr">
        <is>
          <t>+225 07 47 04 76 02</t>
        </is>
      </c>
      <c r="H539" s="29" t="inlineStr">
        <is>
          <t>+225 07 47 04 76 02</t>
        </is>
      </c>
      <c r="I539" s="29" t="inlineStr">
        <is>
          <t>kra.koffi@esma-edu.net</t>
        </is>
      </c>
      <c r="J539" s="29" t="inlineStr">
        <is>
          <t>http://www.esma-edu.net</t>
        </is>
      </c>
      <c r="K539" s="29" t="inlineStr">
        <is>
          <t>Directeur des Etudes</t>
        </is>
      </c>
      <c r="L539" s="30" t="inlineStr">
        <is>
          <t>Haute</t>
        </is>
      </c>
      <c r="M539" s="29" t="inlineStr">
        <is>
          <t>MESRS - liste officielle grandes ecoles</t>
        </is>
      </c>
      <c r="N539" s="29" t="inlineStr">
        <is>
          <t>domaine propre</t>
        </is>
      </c>
      <c r="O539" s="14" t="inlineStr">
        <is>
          <t>a verifier</t>
        </is>
      </c>
      <c r="P539" s="29" t="inlineStr">
        <is>
          <t>communication</t>
        </is>
      </c>
    </row>
    <row r="540">
      <c r="A540" s="29" t="inlineStr">
        <is>
          <t>GROUPE ECOLE DES HAUTES ETUDES DE GESTION BOUAKE (GROUPE EDHEG BOUAKE)</t>
        </is>
      </c>
      <c r="B540" s="29" t="inlineStr">
        <is>
          <t>Grande ecole BTS - finances comptabilite, gestion commerciale, informatique developpeur d'applications</t>
        </is>
      </c>
      <c r="C540" s="29" t="inlineStr">
        <is>
          <t>Prive</t>
        </is>
      </c>
      <c r="D540" s="29" t="inlineStr">
        <is>
          <t>Bouake</t>
        </is>
      </c>
      <c r="E540" s="29" t="inlineStr">
        <is>
          <t>BOUAKE, commerce face BHCI</t>
        </is>
      </c>
      <c r="F540" s="29" t="inlineStr">
        <is>
          <t>+225 27 31 63 71 63</t>
        </is>
      </c>
      <c r="G540" s="29" t="inlineStr"/>
      <c r="H540" s="29" t="inlineStr"/>
      <c r="I540" s="29" t="inlineStr">
        <is>
          <t>infos@gpeedhec-abidjan.com</t>
        </is>
      </c>
      <c r="J540" s="29" t="inlineStr">
        <is>
          <t>https://www.gpeedhec-abidjan.com</t>
        </is>
      </c>
      <c r="K540" s="29" t="inlineStr">
        <is>
          <t>Directeur des Etudes</t>
        </is>
      </c>
      <c r="L540" s="30" t="inlineStr">
        <is>
          <t>Haute</t>
        </is>
      </c>
      <c r="M540" s="29" t="inlineStr">
        <is>
          <t>MESRS - liste officielle grandes ecoles</t>
        </is>
      </c>
      <c r="N540" s="29" t="inlineStr">
        <is>
          <t>domaine propre</t>
        </is>
      </c>
      <c r="O540" s="14" t="inlineStr">
        <is>
          <t>a verifier</t>
        </is>
      </c>
      <c r="P540" s="29" t="inlineStr">
        <is>
          <t>commerce</t>
        </is>
      </c>
    </row>
    <row r="541">
      <c r="A541" s="29" t="inlineStr">
        <is>
          <t>GROUPE ECOLE INTERNATIONALE DE COMMERCE ET DE GESTION (GPE EICG)</t>
        </is>
      </c>
      <c r="B541" s="29" t="inlineStr">
        <is>
          <t>Grande ecole BTS - assistanat de direction, electrotechnique, finances comptabilite</t>
        </is>
      </c>
      <c r="C541" s="29" t="inlineStr">
        <is>
          <t>Prive</t>
        </is>
      </c>
      <c r="D541" s="29" t="inlineStr">
        <is>
          <t>Bouake</t>
        </is>
      </c>
      <c r="E541" s="29" t="inlineStr">
        <is>
          <t>QUARTIER KENNEDY</t>
        </is>
      </c>
      <c r="F541" s="29" t="inlineStr"/>
      <c r="G541" s="29" t="inlineStr"/>
      <c r="H541" s="29" t="inlineStr"/>
      <c r="I541" s="29" t="inlineStr">
        <is>
          <t>eicgbouake01@gmail.com</t>
        </is>
      </c>
      <c r="J541" s="29" t="inlineStr">
        <is>
          <t>http://www.groupe-eicg.com</t>
        </is>
      </c>
      <c r="K541" s="29" t="inlineStr">
        <is>
          <t>Directeur des Etudes</t>
        </is>
      </c>
      <c r="L541" s="30" t="inlineStr">
        <is>
          <t>Haute</t>
        </is>
      </c>
      <c r="M541" s="29" t="inlineStr">
        <is>
          <t>MESRS - liste officielle grandes ecoles</t>
        </is>
      </c>
      <c r="N541" s="29" t="inlineStr">
        <is>
          <t>gratuite</t>
        </is>
      </c>
      <c r="O541" s="14" t="inlineStr">
        <is>
          <t>a verifier</t>
        </is>
      </c>
      <c r="P541" s="29" t="inlineStr">
        <is>
          <t>commerce</t>
        </is>
      </c>
    </row>
    <row r="542">
      <c r="A542" s="29" t="inlineStr">
        <is>
          <t>GROUPE ESC BOUAKE</t>
        </is>
      </c>
      <c r="B542" s="29" t="inlineStr">
        <is>
          <t>Grande ecole BTS - assistanat de direction, agriculture tropicale, finances comptabilite</t>
        </is>
      </c>
      <c r="C542" s="29" t="inlineStr">
        <is>
          <t>Prive</t>
        </is>
      </c>
      <c r="D542" s="29" t="inlineStr">
        <is>
          <t>Bouake</t>
        </is>
      </c>
      <c r="E542" s="29" t="inlineStr"/>
      <c r="F542" s="29" t="inlineStr">
        <is>
          <t>+225 27 31 60 66 07</t>
        </is>
      </c>
      <c r="G542" s="29" t="inlineStr"/>
      <c r="H542" s="29" t="inlineStr"/>
      <c r="I542" s="29" t="inlineStr">
        <is>
          <t>escbouake@gmail.com</t>
        </is>
      </c>
      <c r="J542" s="29" t="inlineStr"/>
      <c r="K542" s="29" t="inlineStr">
        <is>
          <t>Directeur des Etudes</t>
        </is>
      </c>
      <c r="L542" s="30" t="inlineStr">
        <is>
          <t>Haute</t>
        </is>
      </c>
      <c r="M542" s="29" t="inlineStr">
        <is>
          <t>MESRS - liste officielle grandes ecoles</t>
        </is>
      </c>
      <c r="N542" s="29" t="inlineStr">
        <is>
          <t>gratuite</t>
        </is>
      </c>
      <c r="O542" s="14" t="inlineStr">
        <is>
          <t>a verifier</t>
        </is>
      </c>
      <c r="P542" s="29" t="inlineStr">
        <is>
          <t>commerce</t>
        </is>
      </c>
    </row>
    <row r="543">
      <c r="A543" s="29" t="inlineStr">
        <is>
          <t>GROUPE ITA-INGENIERIE SA ANTENNE BOUAKÉ (G2I BOUAKE)</t>
        </is>
      </c>
      <c r="B543" s="29" t="inlineStr">
        <is>
          <t>Grande ecole BTS - agriculture tropicale, electrotechnique, finances comptabilite</t>
        </is>
      </c>
      <c r="C543" s="29" t="inlineStr">
        <is>
          <t>Prive</t>
        </is>
      </c>
      <c r="D543" s="29" t="inlineStr">
        <is>
          <t>Bouake</t>
        </is>
      </c>
      <c r="E543" s="29" t="inlineStr">
        <is>
          <t>Rue des banques jouxtant la banque BACI</t>
        </is>
      </c>
      <c r="F543" s="29" t="inlineStr">
        <is>
          <t>+225 07 09 28 00 56</t>
        </is>
      </c>
      <c r="G543" s="29" t="inlineStr">
        <is>
          <t>+225 07 07 61 05 46</t>
        </is>
      </c>
      <c r="H543" s="29" t="inlineStr">
        <is>
          <t>+225 07 09 28 00 56</t>
        </is>
      </c>
      <c r="I543" s="29" t="inlineStr">
        <is>
          <t>assehou2000@yahoo.fr</t>
        </is>
      </c>
      <c r="J543" s="29" t="inlineStr">
        <is>
          <t>https://www.ita-education.ci</t>
        </is>
      </c>
      <c r="K543" s="29" t="inlineStr">
        <is>
          <t>Directeur des Etudes</t>
        </is>
      </c>
      <c r="L543" s="30" t="inlineStr">
        <is>
          <t>Haute</t>
        </is>
      </c>
      <c r="M543" s="29" t="inlineStr">
        <is>
          <t>MESRS - liste officielle grandes ecoles</t>
        </is>
      </c>
      <c r="N543" s="29" t="inlineStr">
        <is>
          <t>gratuite</t>
        </is>
      </c>
      <c r="O543" s="14" t="inlineStr">
        <is>
          <t>a verifier</t>
        </is>
      </c>
      <c r="P543" s="29" t="inlineStr">
        <is>
          <t>commerce</t>
        </is>
      </c>
    </row>
    <row r="544">
      <c r="A544" s="29" t="inlineStr">
        <is>
          <t>HAUTES ETUDES PROFESSIONNELLES (HEP)</t>
        </is>
      </c>
      <c r="B544" s="29" t="inlineStr">
        <is>
          <t>Grande ecole BTS - assistanat de direction, electrotechnique, finances comptabilite</t>
        </is>
      </c>
      <c r="C544" s="29" t="inlineStr">
        <is>
          <t>Prive</t>
        </is>
      </c>
      <c r="D544" s="29" t="inlineStr">
        <is>
          <t>Bouake</t>
        </is>
      </c>
      <c r="E544" s="29" t="inlineStr">
        <is>
          <t>QUARTIER KENNEDY</t>
        </is>
      </c>
      <c r="F544" s="29" t="inlineStr">
        <is>
          <t>+225 27 31 63 20 52</t>
        </is>
      </c>
      <c r="G544" s="29" t="inlineStr">
        <is>
          <t>+225 07 48 28 21 50</t>
        </is>
      </c>
      <c r="H544" s="29" t="inlineStr">
        <is>
          <t>+225 07 48 28 21 50</t>
        </is>
      </c>
      <c r="I544" s="29" t="inlineStr">
        <is>
          <t>infos@groupeatlantique.com</t>
        </is>
      </c>
      <c r="J544" s="29" t="inlineStr">
        <is>
          <t>https://www.uatlantique.org</t>
        </is>
      </c>
      <c r="K544" s="29" t="inlineStr">
        <is>
          <t>Directeur des Etudes</t>
        </is>
      </c>
      <c r="L544" s="30" t="inlineStr">
        <is>
          <t>Haute</t>
        </is>
      </c>
      <c r="M544" s="29" t="inlineStr">
        <is>
          <t>MESRS - liste officielle grandes ecoles</t>
        </is>
      </c>
      <c r="N544" s="29" t="inlineStr">
        <is>
          <t>domaine propre</t>
        </is>
      </c>
      <c r="O544" s="14" t="inlineStr">
        <is>
          <t>a verifier</t>
        </is>
      </c>
      <c r="P544" s="29" t="inlineStr">
        <is>
          <t>commerce</t>
        </is>
      </c>
    </row>
    <row r="545">
      <c r="A545" s="29" t="inlineStr">
        <is>
          <t>HETEC BOUAKE</t>
        </is>
      </c>
      <c r="B545" s="29" t="inlineStr">
        <is>
          <t>Grande ecole BTS - assistanat de direction, electrotechnique, finances comptabilite</t>
        </is>
      </c>
      <c r="C545" s="29" t="inlineStr">
        <is>
          <t>Prive</t>
        </is>
      </c>
      <c r="D545" s="29" t="inlineStr">
        <is>
          <t>Bouake</t>
        </is>
      </c>
      <c r="E545" s="29" t="inlineStr">
        <is>
          <t>Bouaké(CÔTE D'IVOIRE) Quartier Houphouët-Ville sur la route d'abidjan non loin de l'anncienne MAIRIE occupée par l'ONUCI</t>
        </is>
      </c>
      <c r="F545" s="29" t="inlineStr">
        <is>
          <t>+225 27 31 63 17 17</t>
        </is>
      </c>
      <c r="G545" s="29" t="inlineStr">
        <is>
          <t>+225 27 31 63 57 40</t>
        </is>
      </c>
      <c r="H545" s="29" t="inlineStr"/>
      <c r="I545" s="29" t="inlineStr">
        <is>
          <t>hetecbouake@gmail.com</t>
        </is>
      </c>
      <c r="J545" s="29" t="inlineStr"/>
      <c r="K545" s="29" t="inlineStr">
        <is>
          <t>Directeur des Etudes</t>
        </is>
      </c>
      <c r="L545" s="30" t="inlineStr">
        <is>
          <t>Haute</t>
        </is>
      </c>
      <c r="M545" s="29" t="inlineStr">
        <is>
          <t>MESRS - liste officielle grandes ecoles</t>
        </is>
      </c>
      <c r="N545" s="29" t="inlineStr">
        <is>
          <t>gratuite</t>
        </is>
      </c>
      <c r="O545" s="14" t="inlineStr">
        <is>
          <t>a verifier</t>
        </is>
      </c>
      <c r="P545" s="29" t="inlineStr">
        <is>
          <t>commerce</t>
        </is>
      </c>
    </row>
    <row r="546">
      <c r="A546" s="29" t="inlineStr">
        <is>
          <t>IHEM-SO BOUAKE</t>
        </is>
      </c>
      <c r="B546" s="29" t="inlineStr">
        <is>
          <t>Grande ecole BTS - finances comptabilite, gestion commerciale, informatique developpeur d'applications</t>
        </is>
      </c>
      <c r="C546" s="29" t="inlineStr">
        <is>
          <t>Prive</t>
        </is>
      </c>
      <c r="D546" s="29" t="inlineStr">
        <is>
          <t>Bouake</t>
        </is>
      </c>
      <c r="E546" s="29" t="inlineStr"/>
      <c r="F546" s="29" t="inlineStr">
        <is>
          <t>+225 01 40 24 23 10</t>
        </is>
      </c>
      <c r="G546" s="29" t="inlineStr"/>
      <c r="H546" s="29" t="inlineStr">
        <is>
          <t>+225 01 40 24 23 10</t>
        </is>
      </c>
      <c r="I546" s="29" t="inlineStr">
        <is>
          <t>ihemsobouake@yahoo.fr</t>
        </is>
      </c>
      <c r="J546" s="29" t="inlineStr"/>
      <c r="K546" s="29" t="inlineStr">
        <is>
          <t>Directeur des Etudes</t>
        </is>
      </c>
      <c r="L546" s="30" t="inlineStr">
        <is>
          <t>Haute</t>
        </is>
      </c>
      <c r="M546" s="29" t="inlineStr">
        <is>
          <t>MESRS - liste officielle grandes ecoles</t>
        </is>
      </c>
      <c r="N546" s="29" t="inlineStr">
        <is>
          <t>gratuite</t>
        </is>
      </c>
      <c r="O546" s="14" t="inlineStr">
        <is>
          <t>a verifier</t>
        </is>
      </c>
      <c r="P546" s="29" t="inlineStr">
        <is>
          <t>commerce</t>
        </is>
      </c>
    </row>
    <row r="547">
      <c r="A547" s="29" t="inlineStr">
        <is>
          <t>INSTITUT D'ENSEIGNEMENT SUPERIEUR LE CAMPUS BOUAKE (IES-LE CAMPUS BOUAKE)</t>
        </is>
      </c>
      <c r="B547" s="29" t="inlineStr">
        <is>
          <t>Grande ecole BTS - assistanat de direction, electrotechnique, finances comptabilite</t>
        </is>
      </c>
      <c r="C547" s="29" t="inlineStr">
        <is>
          <t>Prive</t>
        </is>
      </c>
      <c r="D547" s="29" t="inlineStr">
        <is>
          <t>Bouake</t>
        </is>
      </c>
      <c r="E547" s="29" t="inlineStr">
        <is>
          <t>Quartier Municipal à 200 mètres du Lycée Technique entre le Garage ANOUANZE et l’église Dehima</t>
        </is>
      </c>
      <c r="F547" s="29" t="inlineStr">
        <is>
          <t>+225 07 99 23 63 83</t>
        </is>
      </c>
      <c r="G547" s="29" t="inlineStr">
        <is>
          <t>+225 07 57 92 04 98</t>
        </is>
      </c>
      <c r="H547" s="29" t="inlineStr">
        <is>
          <t>+225 07 99 23 63 83</t>
        </is>
      </c>
      <c r="I547" s="29" t="inlineStr">
        <is>
          <t>ieslecampusbouake@gmail.com</t>
        </is>
      </c>
      <c r="J547" s="29" t="inlineStr"/>
      <c r="K547" s="29" t="inlineStr">
        <is>
          <t>Directeur des Etudes</t>
        </is>
      </c>
      <c r="L547" s="30" t="inlineStr">
        <is>
          <t>Haute</t>
        </is>
      </c>
      <c r="M547" s="29" t="inlineStr">
        <is>
          <t>MESRS - liste officielle grandes ecoles</t>
        </is>
      </c>
      <c r="N547" s="29" t="inlineStr">
        <is>
          <t>gratuite</t>
        </is>
      </c>
      <c r="O547" s="14" t="inlineStr">
        <is>
          <t>a verifier</t>
        </is>
      </c>
      <c r="P547" s="29" t="inlineStr">
        <is>
          <t>commerce</t>
        </is>
      </c>
    </row>
    <row r="548">
      <c r="A548" s="29" t="inlineStr">
        <is>
          <t>INSTITUT DE FORMATION SUPERIEUR ICK BOUAKE (IFS-ICK)</t>
        </is>
      </c>
      <c r="B548" s="29" t="inlineStr">
        <is>
          <t>Grande ecole BTS - assistanat de direction, electrotechnique, finances comptabilite</t>
        </is>
      </c>
      <c r="C548" s="29" t="inlineStr">
        <is>
          <t>Prive</t>
        </is>
      </c>
      <c r="D548" s="29" t="inlineStr">
        <is>
          <t>Bouake</t>
        </is>
      </c>
      <c r="E548" s="29" t="inlineStr">
        <is>
          <t>Bouaké air-france 3 ancien corridor sud, route du lac</t>
        </is>
      </c>
      <c r="F548" s="29" t="inlineStr">
        <is>
          <t>+225 07 07 59 53 73</t>
        </is>
      </c>
      <c r="G548" s="29" t="inlineStr">
        <is>
          <t>+225 07 07 26 10 50</t>
        </is>
      </c>
      <c r="H548" s="29" t="inlineStr">
        <is>
          <t>+225 07 07 59 53 73</t>
        </is>
      </c>
      <c r="I548" s="29" t="inlineStr">
        <is>
          <t>institutipf@yahoo.fr</t>
        </is>
      </c>
      <c r="J548" s="29" t="inlineStr">
        <is>
          <t>http://www.groupeick.com</t>
        </is>
      </c>
      <c r="K548" s="29" t="inlineStr">
        <is>
          <t>Directeur des Etudes</t>
        </is>
      </c>
      <c r="L548" s="30" t="inlineStr">
        <is>
          <t>Haute</t>
        </is>
      </c>
      <c r="M548" s="29" t="inlineStr">
        <is>
          <t>MESRS - liste officielle grandes ecoles</t>
        </is>
      </c>
      <c r="N548" s="29" t="inlineStr">
        <is>
          <t>gratuite</t>
        </is>
      </c>
      <c r="O548" s="14" t="inlineStr">
        <is>
          <t>a verifier</t>
        </is>
      </c>
      <c r="P548" s="29" t="inlineStr">
        <is>
          <t>commerce</t>
        </is>
      </c>
    </row>
    <row r="549">
      <c r="A549" s="29" t="inlineStr">
        <is>
          <t>INSTITUT FAMAH BOUAKE (IF BOUAKE)</t>
        </is>
      </c>
      <c r="B549" s="29" t="inlineStr">
        <is>
          <t>Grande ecole BTS - assistanat de direction, agriculture tropicale, communication visuelle</t>
        </is>
      </c>
      <c r="C549" s="29" t="inlineStr">
        <is>
          <t>Prive</t>
        </is>
      </c>
      <c r="D549" s="29" t="inlineStr">
        <is>
          <t>Bouake</t>
        </is>
      </c>
      <c r="E549" s="29" t="inlineStr">
        <is>
          <t>Quartier KENNEDY, Ancien bureau de UNICEF, avant le carrefour de l'hôtel mon Afrique.</t>
        </is>
      </c>
      <c r="F549" s="29" t="inlineStr">
        <is>
          <t>+225 07 98 94 15 40</t>
        </is>
      </c>
      <c r="G549" s="29" t="inlineStr">
        <is>
          <t>+225 07 98 94 15 29</t>
        </is>
      </c>
      <c r="H549" s="29" t="inlineStr">
        <is>
          <t>+225 07 98 94 15 40</t>
        </is>
      </c>
      <c r="I549" s="29" t="inlineStr">
        <is>
          <t>coulibalyraymond555@gmail.com</t>
        </is>
      </c>
      <c r="J549" s="29" t="inlineStr">
        <is>
          <t>https://www.uns-if.ci</t>
        </is>
      </c>
      <c r="K549" s="29" t="inlineStr">
        <is>
          <t>Directeur des Etudes</t>
        </is>
      </c>
      <c r="L549" s="30" t="inlineStr">
        <is>
          <t>Haute</t>
        </is>
      </c>
      <c r="M549" s="29" t="inlineStr">
        <is>
          <t>MESRS - liste officielle grandes ecoles</t>
        </is>
      </c>
      <c r="N549" s="29" t="inlineStr">
        <is>
          <t>gratuite</t>
        </is>
      </c>
      <c r="O549" s="14" t="inlineStr">
        <is>
          <t>a verifier</t>
        </is>
      </c>
      <c r="P549" s="29" t="inlineStr">
        <is>
          <t>commerce</t>
        </is>
      </c>
    </row>
    <row r="550">
      <c r="A550" s="29" t="inlineStr">
        <is>
          <t>INSTITUT INTERNATIONAL DE TECHNOLOGIE SUPERIEURE BOUAKR (2ITS BOUAKE)</t>
        </is>
      </c>
      <c r="B550" s="29" t="inlineStr">
        <is>
          <t>Grande ecole BTS - finances comptabilite, gestion commerciale, informatique developpeur d'applications</t>
        </is>
      </c>
      <c r="C550" s="29" t="inlineStr">
        <is>
          <t>Prive</t>
        </is>
      </c>
      <c r="D550" s="29" t="inlineStr">
        <is>
          <t>Bouake</t>
        </is>
      </c>
      <c r="E550" s="29" t="inlineStr">
        <is>
          <t>Quartier Kennedy non loin de l’ONI</t>
        </is>
      </c>
      <c r="F550" s="29" t="inlineStr">
        <is>
          <t>+225 01 43 09 49 49</t>
        </is>
      </c>
      <c r="G550" s="29" t="inlineStr">
        <is>
          <t>+225 05 84 10 77 77</t>
        </is>
      </c>
      <c r="H550" s="29" t="inlineStr">
        <is>
          <t>+225 01 43 09 49 49</t>
        </is>
      </c>
      <c r="I550" s="29" t="inlineStr"/>
      <c r="J550" s="29" t="inlineStr"/>
      <c r="K550" s="29" t="inlineStr">
        <is>
          <t>Directeur des Etudes</t>
        </is>
      </c>
      <c r="L550" s="30" t="inlineStr">
        <is>
          <t>Haute</t>
        </is>
      </c>
      <c r="M550" s="29" t="inlineStr">
        <is>
          <t>MESRS - liste officielle grandes ecoles</t>
        </is>
      </c>
      <c r="N550" s="29" t="inlineStr"/>
      <c r="O550" s="31" t="inlineStr">
        <is>
          <t>sans email</t>
        </is>
      </c>
      <c r="P550" s="29" t="inlineStr">
        <is>
          <t>numerique</t>
        </is>
      </c>
    </row>
    <row r="551">
      <c r="A551" s="29" t="inlineStr">
        <is>
          <t>INSTITUT LEADER BOUAKE (IL BOUAKÉ (ESUMAG))</t>
        </is>
      </c>
      <c r="B551" s="29" t="inlineStr">
        <is>
          <t>Grande ecole BTS - finances comptabilite, gestion commerciale, informatique developpeur d'applications</t>
        </is>
      </c>
      <c r="C551" s="29" t="inlineStr">
        <is>
          <t>Prive</t>
        </is>
      </c>
      <c r="D551" s="29" t="inlineStr">
        <is>
          <t>Bouake</t>
        </is>
      </c>
      <c r="E551" s="29" t="inlineStr">
        <is>
          <t>RUE DU CARNAVAL, à côté du centre de gestion intégrée (CGI)</t>
        </is>
      </c>
      <c r="F551" s="29" t="inlineStr"/>
      <c r="G551" s="29" t="inlineStr"/>
      <c r="H551" s="29" t="inlineStr"/>
      <c r="I551" s="29" t="inlineStr">
        <is>
          <t>reactengroupsarl@yahoo.com</t>
        </is>
      </c>
      <c r="J551" s="29" t="inlineStr">
        <is>
          <t>https://www.esumag.com</t>
        </is>
      </c>
      <c r="K551" s="29" t="inlineStr">
        <is>
          <t>Directeur des Etudes</t>
        </is>
      </c>
      <c r="L551" s="30" t="inlineStr">
        <is>
          <t>Haute</t>
        </is>
      </c>
      <c r="M551" s="29" t="inlineStr">
        <is>
          <t>MESRS - liste officielle grandes ecoles</t>
        </is>
      </c>
      <c r="N551" s="29" t="inlineStr">
        <is>
          <t>gratuite</t>
        </is>
      </c>
      <c r="O551" s="14" t="inlineStr">
        <is>
          <t>a verifier</t>
        </is>
      </c>
      <c r="P551" s="29" t="inlineStr">
        <is>
          <t>commerce</t>
        </is>
      </c>
    </row>
    <row r="552">
      <c r="A552" s="29" t="inlineStr">
        <is>
          <t>INSTITUT SUPERIEUR DE FORMATION PROFESSIONNELLE HARIEL (ISFPH) (ISFP-HARIEL)</t>
        </is>
      </c>
      <c r="B552" s="29" t="inlineStr">
        <is>
          <t>Grande ecole BTS - finances comptabilite, gestion commerciale, informatique developpeur d'applications</t>
        </is>
      </c>
      <c r="C552" s="29" t="inlineStr">
        <is>
          <t>Prive</t>
        </is>
      </c>
      <c r="D552" s="29" t="inlineStr">
        <is>
          <t>Bouake</t>
        </is>
      </c>
      <c r="E552" s="29" t="inlineStr">
        <is>
          <t>Habitat Gonfrevile</t>
        </is>
      </c>
      <c r="F552" s="29" t="inlineStr">
        <is>
          <t>+225 07 47 47 47 99</t>
        </is>
      </c>
      <c r="G552" s="29" t="inlineStr"/>
      <c r="H552" s="29" t="inlineStr">
        <is>
          <t>+225 07 47 47 47 99</t>
        </is>
      </c>
      <c r="I552" s="29" t="inlineStr">
        <is>
          <t>insfpha@gmail.com</t>
        </is>
      </c>
      <c r="J552" s="29" t="inlineStr"/>
      <c r="K552" s="29" t="inlineStr">
        <is>
          <t>Directeur des Etudes</t>
        </is>
      </c>
      <c r="L552" s="30" t="inlineStr">
        <is>
          <t>Haute</t>
        </is>
      </c>
      <c r="M552" s="29" t="inlineStr">
        <is>
          <t>MESRS - liste officielle grandes ecoles</t>
        </is>
      </c>
      <c r="N552" s="29" t="inlineStr">
        <is>
          <t>gratuite</t>
        </is>
      </c>
      <c r="O552" s="14" t="inlineStr">
        <is>
          <t>a verifier</t>
        </is>
      </c>
      <c r="P552" s="29" t="inlineStr">
        <is>
          <t>commerce</t>
        </is>
      </c>
    </row>
    <row r="553">
      <c r="A553" s="29" t="inlineStr">
        <is>
          <t>INSTITUT SUPERIEUR LOUIS LE GRAND (ISLG)</t>
        </is>
      </c>
      <c r="B553" s="29" t="inlineStr">
        <is>
          <t>Grande ecole BTS - assistanat de direction, agriculture tropicale, electrotechnique</t>
        </is>
      </c>
      <c r="C553" s="29" t="inlineStr">
        <is>
          <t>Prive</t>
        </is>
      </c>
      <c r="D553" s="29" t="inlineStr">
        <is>
          <t>Bouake</t>
        </is>
      </c>
      <c r="E553" s="29" t="inlineStr"/>
      <c r="F553" s="29" t="inlineStr">
        <is>
          <t>+225 27 31 63 01 60</t>
        </is>
      </c>
      <c r="G553" s="29" t="inlineStr">
        <is>
          <t>+225 07 08 35 42 54</t>
        </is>
      </c>
      <c r="H553" s="29" t="inlineStr">
        <is>
          <t>+225 07 08 35 42 54</t>
        </is>
      </c>
      <c r="I553" s="29" t="inlineStr"/>
      <c r="J553" s="29" t="inlineStr"/>
      <c r="K553" s="29" t="inlineStr">
        <is>
          <t>Directeur des Etudes</t>
        </is>
      </c>
      <c r="L553" s="30" t="inlineStr">
        <is>
          <t>Haute</t>
        </is>
      </c>
      <c r="M553" s="29" t="inlineStr">
        <is>
          <t>MESRS - liste officielle grandes ecoles</t>
        </is>
      </c>
      <c r="N553" s="29" t="inlineStr"/>
      <c r="O553" s="31" t="inlineStr">
        <is>
          <t>sans email</t>
        </is>
      </c>
      <c r="P553" s="29" t="inlineStr">
        <is>
          <t>commerce</t>
        </is>
      </c>
    </row>
    <row r="554">
      <c r="A554" s="29" t="inlineStr">
        <is>
          <t>INSTITUT SUPERIEUR POLYTECHNIQUE WASSA BOUAKE (ISP WASSA BOUAKE)</t>
        </is>
      </c>
      <c r="B554" s="29" t="inlineStr">
        <is>
          <t>Grande ecole BTS - assistanat de direction, electrotechnique, finances comptabilite</t>
        </is>
      </c>
      <c r="C554" s="29" t="inlineStr">
        <is>
          <t>Prive</t>
        </is>
      </c>
      <c r="D554" s="29" t="inlineStr">
        <is>
          <t>Bouake</t>
        </is>
      </c>
      <c r="E554" s="29" t="inlineStr">
        <is>
          <t>Dar-es-salam cité de l'air, ancien consulat du MALI.</t>
        </is>
      </c>
      <c r="F554" s="29" t="inlineStr">
        <is>
          <t>+225 07 07 47 49 50</t>
        </is>
      </c>
      <c r="G554" s="29" t="inlineStr">
        <is>
          <t>+225 07 87 36 32 42</t>
        </is>
      </c>
      <c r="H554" s="29" t="inlineStr">
        <is>
          <t>+225 07 07 47 49 50</t>
        </is>
      </c>
      <c r="I554" s="29" t="inlineStr">
        <is>
          <t>ispwassa.info@gmail.com</t>
        </is>
      </c>
      <c r="J554" s="29" t="inlineStr">
        <is>
          <t>https://www.ispwassa.com</t>
        </is>
      </c>
      <c r="K554" s="29" t="inlineStr">
        <is>
          <t>Directeur des Etudes</t>
        </is>
      </c>
      <c r="L554" s="30" t="inlineStr">
        <is>
          <t>Haute</t>
        </is>
      </c>
      <c r="M554" s="29" t="inlineStr">
        <is>
          <t>MESRS - liste officielle grandes ecoles</t>
        </is>
      </c>
      <c r="N554" s="29" t="inlineStr">
        <is>
          <t>gratuite</t>
        </is>
      </c>
      <c r="O554" s="14" t="inlineStr">
        <is>
          <t>a verifier</t>
        </is>
      </c>
      <c r="P554" s="29" t="inlineStr">
        <is>
          <t>ingenieur</t>
        </is>
      </c>
    </row>
    <row r="555">
      <c r="A555" s="29" t="inlineStr">
        <is>
          <t>IST SAINT JACQUES BOUAKE (ISTSJBKE)</t>
        </is>
      </c>
      <c r="B555" s="29" t="inlineStr">
        <is>
          <t>Grande ecole BTS - assistanat de direction, finances comptabilite, gestion commerciale</t>
        </is>
      </c>
      <c r="C555" s="29" t="inlineStr">
        <is>
          <t>Prive</t>
        </is>
      </c>
      <c r="D555" s="29" t="inlineStr">
        <is>
          <t>Bouake</t>
        </is>
      </c>
      <c r="E555" s="29" t="inlineStr">
        <is>
          <t>Immeuble Capitole, quartier Commerce, Bouaké</t>
        </is>
      </c>
      <c r="F555" s="29" t="inlineStr">
        <is>
          <t>+225 01 42 12 12 06</t>
        </is>
      </c>
      <c r="G555" s="29" t="inlineStr">
        <is>
          <t>+225 05 55 13 55 43</t>
        </is>
      </c>
      <c r="H555" s="29" t="inlineStr">
        <is>
          <t>+225 01 42 12 12 06</t>
        </is>
      </c>
      <c r="I555" s="29" t="inlineStr">
        <is>
          <t>istsjbke@gmail.com</t>
        </is>
      </c>
      <c r="J555" s="29" t="inlineStr"/>
      <c r="K555" s="29" t="inlineStr">
        <is>
          <t>Directeur des Etudes</t>
        </is>
      </c>
      <c r="L555" s="30" t="inlineStr">
        <is>
          <t>Haute</t>
        </is>
      </c>
      <c r="M555" s="29" t="inlineStr">
        <is>
          <t>MESRS - liste officielle grandes ecoles</t>
        </is>
      </c>
      <c r="N555" s="29" t="inlineStr">
        <is>
          <t>gratuite</t>
        </is>
      </c>
      <c r="O555" s="14" t="inlineStr">
        <is>
          <t>a verifier</t>
        </is>
      </c>
      <c r="P555" s="29" t="inlineStr">
        <is>
          <t>commerce</t>
        </is>
      </c>
    </row>
    <row r="556">
      <c r="A556" s="29" t="inlineStr">
        <is>
          <t>Universite Alassane Ouattara (UAO)</t>
        </is>
      </c>
      <c r="B556" s="29" t="inlineStr">
        <is>
          <t>Universite publique</t>
        </is>
      </c>
      <c r="C556" s="29" t="inlineStr">
        <is>
          <t>Public</t>
        </is>
      </c>
      <c r="D556" s="29" t="inlineStr">
        <is>
          <t>Bouake</t>
        </is>
      </c>
      <c r="E556" s="29" t="inlineStr">
        <is>
          <t>BP V 18 Bouake 01 Ahougnassou route de Beoumi</t>
        </is>
      </c>
      <c r="F556" s="29" t="inlineStr">
        <is>
          <t>+225 27 31 60 50 24</t>
        </is>
      </c>
      <c r="G556" s="29" t="inlineStr"/>
      <c r="H556" s="29" t="inlineStr"/>
      <c r="I556" s="29" t="inlineStr">
        <is>
          <t>infoline@uao.edu.ci</t>
        </is>
      </c>
      <c r="J556" s="29" t="inlineStr">
        <is>
          <t>univ-ao.edu.ci</t>
        </is>
      </c>
      <c r="K556" s="29" t="inlineStr">
        <is>
          <t>Directeur des Etudes</t>
        </is>
      </c>
      <c r="L556" s="30" t="inlineStr">
        <is>
          <t>Haute</t>
        </is>
      </c>
      <c r="M556" s="29" t="inlineStr">
        <is>
          <t>univ-ao.edu.ci</t>
        </is>
      </c>
      <c r="N556" s="29" t="inlineStr">
        <is>
          <t>domaine propre</t>
        </is>
      </c>
      <c r="O556" s="30" t="inlineStr">
        <is>
          <t>valide</t>
        </is>
      </c>
      <c r="P556" s="29" t="inlineStr">
        <is>
          <t>universite</t>
        </is>
      </c>
    </row>
    <row r="557">
      <c r="A557" s="29" t="inlineStr">
        <is>
          <t>ECOLE SUPERIEURE TENIN KARNA (ESTK BOUNDIALI)</t>
        </is>
      </c>
      <c r="B557" s="29" t="inlineStr">
        <is>
          <t>Grande ecole BTS - agriculture tropicale, finances comptabilite, genie civil</t>
        </is>
      </c>
      <c r="C557" s="29" t="inlineStr">
        <is>
          <t>Prive</t>
        </is>
      </c>
      <c r="D557" s="29" t="inlineStr">
        <is>
          <t>Boundiali</t>
        </is>
      </c>
      <c r="E557" s="29" t="inlineStr">
        <is>
          <t>À 200 m du collège Moderne</t>
        </is>
      </c>
      <c r="F557" s="29" t="inlineStr">
        <is>
          <t>+225 01 72 72 07 07</t>
        </is>
      </c>
      <c r="G557" s="29" t="inlineStr">
        <is>
          <t>+225 01 61 61 61 55</t>
        </is>
      </c>
      <c r="H557" s="29" t="inlineStr">
        <is>
          <t>+225 01 72 72 07 07</t>
        </is>
      </c>
      <c r="I557" s="29" t="inlineStr">
        <is>
          <t>ecolesuperieureteninkarna@gmail.com</t>
        </is>
      </c>
      <c r="J557" s="29" t="inlineStr">
        <is>
          <t>https://www.fondationteninkarna.com/estk</t>
        </is>
      </c>
      <c r="K557" s="29" t="inlineStr">
        <is>
          <t>Directeur des Etudes</t>
        </is>
      </c>
      <c r="L557" s="30" t="inlineStr">
        <is>
          <t>Haute</t>
        </is>
      </c>
      <c r="M557" s="29" t="inlineStr">
        <is>
          <t>MESRS - liste officielle grandes ecoles</t>
        </is>
      </c>
      <c r="N557" s="29" t="inlineStr">
        <is>
          <t>gratuite</t>
        </is>
      </c>
      <c r="O557" s="14" t="inlineStr">
        <is>
          <t>a verifier</t>
        </is>
      </c>
      <c r="P557" s="29" t="inlineStr">
        <is>
          <t>commerce</t>
        </is>
      </c>
    </row>
    <row r="558">
      <c r="A558" s="29" t="inlineStr">
        <is>
          <t>ECOLE D'ENSEIGNEMENT SUPERIEUR SAINT JEAN MAMEN (ESP-SJM)</t>
        </is>
      </c>
      <c r="B558" s="29" t="inlineStr">
        <is>
          <t>Grande ecole BTS - assistanat de direction, agriculture tropicale, finances comptabilite</t>
        </is>
      </c>
      <c r="C558" s="29" t="inlineStr">
        <is>
          <t>Prive</t>
        </is>
      </c>
      <c r="D558" s="29" t="inlineStr">
        <is>
          <t>Dabou</t>
        </is>
      </c>
      <c r="E558" s="29" t="inlineStr">
        <is>
          <t>DABOU QUARTIER CAFOP, NON LOIN DU CONSEIL REGIONAL DES GRANDS PONTS</t>
        </is>
      </c>
      <c r="F558" s="29" t="inlineStr">
        <is>
          <t>+225 27 24 38 33 01</t>
        </is>
      </c>
      <c r="G558" s="29" t="inlineStr">
        <is>
          <t>+225 07 09 75 05 11</t>
        </is>
      </c>
      <c r="H558" s="29" t="inlineStr">
        <is>
          <t>+225 07 09 75 05 11</t>
        </is>
      </c>
      <c r="I558" s="29" t="inlineStr">
        <is>
          <t>ees_stjeanmamen@yahoo.com</t>
        </is>
      </c>
      <c r="J558" s="29" t="inlineStr"/>
      <c r="K558" s="29" t="inlineStr">
        <is>
          <t>Directeur des Etudes</t>
        </is>
      </c>
      <c r="L558" s="30" t="inlineStr">
        <is>
          <t>Haute</t>
        </is>
      </c>
      <c r="M558" s="29" t="inlineStr">
        <is>
          <t>MESRS - liste officielle grandes ecoles</t>
        </is>
      </c>
      <c r="N558" s="29" t="inlineStr">
        <is>
          <t>gratuite</t>
        </is>
      </c>
      <c r="O558" s="14" t="inlineStr">
        <is>
          <t>a verifier</t>
        </is>
      </c>
      <c r="P558" s="29" t="inlineStr">
        <is>
          <t>commerce</t>
        </is>
      </c>
    </row>
    <row r="559">
      <c r="A559" s="29" t="inlineStr">
        <is>
          <t>ECOLE SUPERIEURE NAYEBA DE DABOU (ESN)</t>
        </is>
      </c>
      <c r="B559" s="29" t="inlineStr">
        <is>
          <t>Grande ecole BTS - assistanat de direction, agriculture tropicale, finances comptabilite</t>
        </is>
      </c>
      <c r="C559" s="29" t="inlineStr">
        <is>
          <t>Prive</t>
        </is>
      </c>
      <c r="D559" s="29" t="inlineStr">
        <is>
          <t>Dabou</t>
        </is>
      </c>
      <c r="E559" s="29" t="inlineStr">
        <is>
          <t>DABOU QUARTIER CAFOP NON LOIN DU CONSEIL REGIONAL</t>
        </is>
      </c>
      <c r="F559" s="29" t="inlineStr">
        <is>
          <t>+225 27 20 24 52 38</t>
        </is>
      </c>
      <c r="G559" s="29" t="inlineStr">
        <is>
          <t>+225 01 03 12 35 35</t>
        </is>
      </c>
      <c r="H559" s="29" t="inlineStr">
        <is>
          <t>+225 01 03 12 35 35</t>
        </is>
      </c>
      <c r="I559" s="29" t="inlineStr">
        <is>
          <t>ecolesuperieurenayeba@gmail.com</t>
        </is>
      </c>
      <c r="J559" s="29" t="inlineStr"/>
      <c r="K559" s="29" t="inlineStr">
        <is>
          <t>Directeur des Etudes</t>
        </is>
      </c>
      <c r="L559" s="30" t="inlineStr">
        <is>
          <t>Haute</t>
        </is>
      </c>
      <c r="M559" s="29" t="inlineStr">
        <is>
          <t>MESRS - liste officielle grandes ecoles</t>
        </is>
      </c>
      <c r="N559" s="29" t="inlineStr">
        <is>
          <t>gratuite</t>
        </is>
      </c>
      <c r="O559" s="14" t="inlineStr">
        <is>
          <t>a verifier</t>
        </is>
      </c>
      <c r="P559" s="29" t="inlineStr">
        <is>
          <t>commerce</t>
        </is>
      </c>
    </row>
    <row r="560">
      <c r="A560" s="29" t="inlineStr">
        <is>
          <t>INSTITUT DE FORMATION AUX METIERS (IMF) DABOU</t>
        </is>
      </c>
      <c r="B560" s="29" t="inlineStr">
        <is>
          <t>Grande ecole BTS - assistanat de direction, agriculture tropicale, electrotechnique</t>
        </is>
      </c>
      <c r="C560" s="29" t="inlineStr">
        <is>
          <t>Prive</t>
        </is>
      </c>
      <c r="D560" s="29" t="inlineStr">
        <is>
          <t>Dabou</t>
        </is>
      </c>
      <c r="E560" s="29" t="inlineStr"/>
      <c r="F560" s="29" t="inlineStr">
        <is>
          <t>+225 05 05 09 36 65</t>
        </is>
      </c>
      <c r="G560" s="29" t="inlineStr">
        <is>
          <t>+225 07 08 00 55 51</t>
        </is>
      </c>
      <c r="H560" s="29" t="inlineStr">
        <is>
          <t>+225 05 05 09 36 65</t>
        </is>
      </c>
      <c r="I560" s="29" t="inlineStr">
        <is>
          <t>cjuslin@yahoo.fr</t>
        </is>
      </c>
      <c r="J560" s="29" t="inlineStr"/>
      <c r="K560" s="29" t="inlineStr">
        <is>
          <t>Directeur des Etudes</t>
        </is>
      </c>
      <c r="L560" s="30" t="inlineStr">
        <is>
          <t>Haute</t>
        </is>
      </c>
      <c r="M560" s="29" t="inlineStr">
        <is>
          <t>MESRS - liste officielle grandes ecoles</t>
        </is>
      </c>
      <c r="N560" s="29" t="inlineStr">
        <is>
          <t>gratuite</t>
        </is>
      </c>
      <c r="O560" s="14" t="inlineStr">
        <is>
          <t>a verifier</t>
        </is>
      </c>
      <c r="P560" s="29" t="inlineStr">
        <is>
          <t>commerce</t>
        </is>
      </c>
    </row>
    <row r="561">
      <c r="A561" s="29" t="inlineStr">
        <is>
          <t>INSTITUT SUPERIEUR AFRICAIN DE MANAGEMENT ET DE TECHNOLOGIE (ISAMAT)</t>
        </is>
      </c>
      <c r="B561" s="29" t="inlineStr">
        <is>
          <t>Grande ecole BTS - assistanat de direction, finances comptabilite, genie civil</t>
        </is>
      </c>
      <c r="C561" s="29" t="inlineStr">
        <is>
          <t>Prive</t>
        </is>
      </c>
      <c r="D561" s="29" t="inlineStr">
        <is>
          <t>Dabou</t>
        </is>
      </c>
      <c r="E561" s="29" t="inlineStr">
        <is>
          <t>DERRIERE LE LYCEE LEBOUTOU</t>
        </is>
      </c>
      <c r="F561" s="29" t="inlineStr">
        <is>
          <t>+225 07 07 31 63 28</t>
        </is>
      </c>
      <c r="G561" s="29" t="inlineStr">
        <is>
          <t>+225 07 49 03 74 45</t>
        </is>
      </c>
      <c r="H561" s="29" t="inlineStr">
        <is>
          <t>+225 07 07 31 63 28</t>
        </is>
      </c>
      <c r="I561" s="29" t="inlineStr">
        <is>
          <t>isamatdabou@gmail.com</t>
        </is>
      </c>
      <c r="J561" s="29" t="inlineStr"/>
      <c r="K561" s="29" t="inlineStr">
        <is>
          <t>Directeur des Etudes</t>
        </is>
      </c>
      <c r="L561" s="30" t="inlineStr">
        <is>
          <t>Haute</t>
        </is>
      </c>
      <c r="M561" s="29" t="inlineStr">
        <is>
          <t>MESRS - liste officielle grandes ecoles</t>
        </is>
      </c>
      <c r="N561" s="29" t="inlineStr">
        <is>
          <t>gratuite</t>
        </is>
      </c>
      <c r="O561" s="14" t="inlineStr">
        <is>
          <t>a verifier</t>
        </is>
      </c>
      <c r="P561" s="29" t="inlineStr">
        <is>
          <t>numerique</t>
        </is>
      </c>
    </row>
    <row r="562">
      <c r="A562" s="29" t="inlineStr">
        <is>
          <t>INSTITUT SUPERIEUR DE TECHNOLOGIE DE DÉVELOPPEMENT DURABLE (IST2D)</t>
        </is>
      </c>
      <c r="B562" s="29" t="inlineStr">
        <is>
          <t>Grande ecole BTS - agriculture tropicale, finances comptabilite, gestion commerciale</t>
        </is>
      </c>
      <c r="C562" s="29" t="inlineStr">
        <is>
          <t>Prive</t>
        </is>
      </c>
      <c r="D562" s="29" t="inlineStr">
        <is>
          <t>Dabou</t>
        </is>
      </c>
      <c r="E562" s="29" t="inlineStr">
        <is>
          <t>DABOU CENTRE VILLE VERS LA COOPEC</t>
        </is>
      </c>
      <c r="F562" s="29" t="inlineStr">
        <is>
          <t>+225 05 45 56 32 14</t>
        </is>
      </c>
      <c r="G562" s="29" t="inlineStr">
        <is>
          <t>+225 07 48 05 88 19</t>
        </is>
      </c>
      <c r="H562" s="29" t="inlineStr">
        <is>
          <t>+225 05 45 56 32 14</t>
        </is>
      </c>
      <c r="I562" s="29" t="inlineStr"/>
      <c r="J562" s="29" t="inlineStr"/>
      <c r="K562" s="29" t="inlineStr">
        <is>
          <t>Directeur des Etudes</t>
        </is>
      </c>
      <c r="L562" s="30" t="inlineStr">
        <is>
          <t>Haute</t>
        </is>
      </c>
      <c r="M562" s="29" t="inlineStr">
        <is>
          <t>MESRS - liste officielle grandes ecoles</t>
        </is>
      </c>
      <c r="N562" s="29" t="inlineStr"/>
      <c r="O562" s="31" t="inlineStr">
        <is>
          <t>sans email</t>
        </is>
      </c>
      <c r="P562" s="29" t="inlineStr">
        <is>
          <t>numerique</t>
        </is>
      </c>
    </row>
    <row r="563">
      <c r="A563" s="29" t="inlineStr">
        <is>
          <t>CENTRE DE FORMATION DES CADRES (CFC)</t>
        </is>
      </c>
      <c r="B563" s="29" t="inlineStr">
        <is>
          <t>Grande ecole BTS - finances comptabilite, gestion commerciale</t>
        </is>
      </c>
      <c r="C563" s="29" t="inlineStr">
        <is>
          <t>Prive</t>
        </is>
      </c>
      <c r="D563" s="29" t="inlineStr">
        <is>
          <t>Daloa</t>
        </is>
      </c>
      <c r="E563" s="29" t="inlineStr">
        <is>
          <t>DALOA GBEULIVILLE</t>
        </is>
      </c>
      <c r="F563" s="29" t="inlineStr">
        <is>
          <t>+225 27 32 76 71 77</t>
        </is>
      </c>
      <c r="G563" s="29" t="inlineStr"/>
      <c r="H563" s="29" t="inlineStr"/>
      <c r="I563" s="29" t="inlineStr">
        <is>
          <t>collegepierremendesdaloa@gmail.c</t>
        </is>
      </c>
      <c r="J563" s="29" t="inlineStr">
        <is>
          <t>https://site: www.cifcabidjan.com</t>
        </is>
      </c>
      <c r="K563" s="29" t="inlineStr">
        <is>
          <t>Directeur des Etudes</t>
        </is>
      </c>
      <c r="L563" s="30" t="inlineStr">
        <is>
          <t>Haute</t>
        </is>
      </c>
      <c r="M563" s="29" t="inlineStr">
        <is>
          <t>MESRS - liste officielle grandes ecoles</t>
        </is>
      </c>
      <c r="N563" s="29" t="inlineStr">
        <is>
          <t>domaine propre</t>
        </is>
      </c>
      <c r="O563" s="14" t="inlineStr">
        <is>
          <t>a verifier</t>
        </is>
      </c>
      <c r="P563" s="29" t="inlineStr">
        <is>
          <t>commerce</t>
        </is>
      </c>
    </row>
    <row r="564">
      <c r="A564" s="29" t="inlineStr">
        <is>
          <t>ECOLE INTERNATIONALE DES AFFAIRES DES FINANCES ET DE LA COMPTABILITE (EIAFC)</t>
        </is>
      </c>
      <c r="B564" s="29" t="inlineStr">
        <is>
          <t>Grande ecole BTS - assistanat de direction, finances comptabilite, genie civil</t>
        </is>
      </c>
      <c r="C564" s="29" t="inlineStr">
        <is>
          <t>Prive</t>
        </is>
      </c>
      <c r="D564" s="29" t="inlineStr">
        <is>
          <t>Daloa</t>
        </is>
      </c>
      <c r="E564" s="29" t="inlineStr">
        <is>
          <t>DALOA commerce près de la place de la solidarité, rond-point CIE</t>
        </is>
      </c>
      <c r="F564" s="29" t="inlineStr">
        <is>
          <t>+225 07 48 01 70 01</t>
        </is>
      </c>
      <c r="G564" s="29" t="inlineStr">
        <is>
          <t>+225 27 35 95 40 07</t>
        </is>
      </c>
      <c r="H564" s="29" t="inlineStr">
        <is>
          <t>+225 07 48 01 70 01</t>
        </is>
      </c>
      <c r="I564" s="29" t="inlineStr">
        <is>
          <t>eifac.ecoleinternationale@gmail.com</t>
        </is>
      </c>
      <c r="J564" s="29" t="inlineStr">
        <is>
          <t>https://eifac-ecoleinternationale.com</t>
        </is>
      </c>
      <c r="K564" s="29" t="inlineStr">
        <is>
          <t>Directeur des Etudes</t>
        </is>
      </c>
      <c r="L564" s="30" t="inlineStr">
        <is>
          <t>Haute</t>
        </is>
      </c>
      <c r="M564" s="29" t="inlineStr">
        <is>
          <t>MESRS - liste officielle grandes ecoles</t>
        </is>
      </c>
      <c r="N564" s="29" t="inlineStr">
        <is>
          <t>gratuite</t>
        </is>
      </c>
      <c r="O564" s="14" t="inlineStr">
        <is>
          <t>a verifier</t>
        </is>
      </c>
      <c r="P564" s="29" t="inlineStr">
        <is>
          <t>commerce</t>
        </is>
      </c>
    </row>
    <row r="565">
      <c r="A565" s="29" t="inlineStr">
        <is>
          <t>ECOLE POLYTECHNIQUE LEONARD DE VINCI (EPLDV)</t>
        </is>
      </c>
      <c r="B565" s="29" t="inlineStr">
        <is>
          <t>Grande ecole BTS - assistanat de direction, agriculture tropicale, finances comptabilite</t>
        </is>
      </c>
      <c r="C565" s="29" t="inlineStr">
        <is>
          <t>Prive</t>
        </is>
      </c>
      <c r="D565" s="29" t="inlineStr">
        <is>
          <t>Daloa</t>
        </is>
      </c>
      <c r="E565" s="29" t="inlineStr">
        <is>
          <t>Quartier SOLEIL 1 Non Loin De la caserne des Sapeurs Pompiers, sur l'axe Carrefour TROPIC-COLLEGE TOURE NASSANABA</t>
        </is>
      </c>
      <c r="F565" s="29" t="inlineStr">
        <is>
          <t>+225 07 49 81 89 07</t>
        </is>
      </c>
      <c r="G565" s="29" t="inlineStr">
        <is>
          <t>+225 05 05 78 05 64</t>
        </is>
      </c>
      <c r="H565" s="29" t="inlineStr">
        <is>
          <t>+225 07 49 81 89 07</t>
        </is>
      </c>
      <c r="I565" s="29" t="inlineStr">
        <is>
          <t>epldvd.ci@gmail.com</t>
        </is>
      </c>
      <c r="J565" s="29" t="inlineStr"/>
      <c r="K565" s="29" t="inlineStr">
        <is>
          <t>Directeur des Etudes</t>
        </is>
      </c>
      <c r="L565" s="30" t="inlineStr">
        <is>
          <t>Haute</t>
        </is>
      </c>
      <c r="M565" s="29" t="inlineStr">
        <is>
          <t>MESRS - liste officielle grandes ecoles</t>
        </is>
      </c>
      <c r="N565" s="29" t="inlineStr">
        <is>
          <t>gratuite</t>
        </is>
      </c>
      <c r="O565" s="14" t="inlineStr">
        <is>
          <t>a verifier</t>
        </is>
      </c>
      <c r="P565" s="29" t="inlineStr">
        <is>
          <t>ingenieur</t>
        </is>
      </c>
    </row>
    <row r="566">
      <c r="A566" s="29" t="inlineStr">
        <is>
          <t>ECOLE SUPERIEURE CENTRALE D'EBURNIE DALOA (ESCE DALOA)</t>
        </is>
      </c>
      <c r="B566" s="29" t="inlineStr">
        <is>
          <t>Grande ecole BTS - agriculture tropicale, finances comptabilite, genie civil</t>
        </is>
      </c>
      <c r="C566" s="29" t="inlineStr">
        <is>
          <t>Prive</t>
        </is>
      </c>
      <c r="D566" s="29" t="inlineStr">
        <is>
          <t>Daloa</t>
        </is>
      </c>
      <c r="E566" s="29" t="inlineStr">
        <is>
          <t>QUARTIER TAZIBOUO EN FACE DE L'IEP LABIA</t>
        </is>
      </c>
      <c r="F566" s="29" t="inlineStr">
        <is>
          <t>+225 05 86 40 90 90</t>
        </is>
      </c>
      <c r="G566" s="29" t="inlineStr">
        <is>
          <t>+225 07 49 08 75 17</t>
        </is>
      </c>
      <c r="H566" s="29" t="inlineStr">
        <is>
          <t>+225 05 86 40 90 90</t>
        </is>
      </c>
      <c r="I566" s="29" t="inlineStr">
        <is>
          <t>ecolesuperieurecentraleeburnie@gmail.com</t>
        </is>
      </c>
      <c r="J566" s="29" t="inlineStr"/>
      <c r="K566" s="29" t="inlineStr">
        <is>
          <t>Directeur des Etudes</t>
        </is>
      </c>
      <c r="L566" s="30" t="inlineStr">
        <is>
          <t>Haute</t>
        </is>
      </c>
      <c r="M566" s="29" t="inlineStr">
        <is>
          <t>MESRS - liste officielle grandes ecoles</t>
        </is>
      </c>
      <c r="N566" s="29" t="inlineStr">
        <is>
          <t>gratuite</t>
        </is>
      </c>
      <c r="O566" s="14" t="inlineStr">
        <is>
          <t>a verifier</t>
        </is>
      </c>
      <c r="P566" s="29" t="inlineStr">
        <is>
          <t>commerce</t>
        </is>
      </c>
    </row>
    <row r="567">
      <c r="A567" s="29" t="inlineStr">
        <is>
          <t>ECOLE SUPERIEURE DE TECHNOLOGIES ET DE MANAGEMENT MARCEL HUSSER (ESTM MARCEL HUSSER)</t>
        </is>
      </c>
      <c r="B567" s="29" t="inlineStr">
        <is>
          <t>Grande ecole BTS - assistanat de direction, electrotechnique, finances comptabilite</t>
        </is>
      </c>
      <c r="C567" s="29" t="inlineStr">
        <is>
          <t>Prive</t>
        </is>
      </c>
      <c r="D567" s="29" t="inlineStr">
        <is>
          <t>Daloa</t>
        </is>
      </c>
      <c r="E567" s="29" t="inlineStr">
        <is>
          <t>Tazibouo/Copro</t>
        </is>
      </c>
      <c r="F567" s="29" t="inlineStr"/>
      <c r="G567" s="29" t="inlineStr"/>
      <c r="H567" s="29" t="inlineStr"/>
      <c r="I567" s="29" t="inlineStr">
        <is>
          <t>estmmarcelhusser@gmail.com</t>
        </is>
      </c>
      <c r="J567" s="29" t="inlineStr"/>
      <c r="K567" s="29" t="inlineStr">
        <is>
          <t>Directeur des Etudes</t>
        </is>
      </c>
      <c r="L567" s="30" t="inlineStr">
        <is>
          <t>Haute</t>
        </is>
      </c>
      <c r="M567" s="29" t="inlineStr">
        <is>
          <t>MESRS - liste officielle grandes ecoles</t>
        </is>
      </c>
      <c r="N567" s="29" t="inlineStr">
        <is>
          <t>gratuite</t>
        </is>
      </c>
      <c r="O567" s="14" t="inlineStr">
        <is>
          <t>a verifier</t>
        </is>
      </c>
      <c r="P567" s="29" t="inlineStr">
        <is>
          <t>numerique</t>
        </is>
      </c>
    </row>
    <row r="568">
      <c r="A568" s="29" t="inlineStr">
        <is>
          <t>ESCOM ESPACE FLORA</t>
        </is>
      </c>
      <c r="B568" s="29" t="inlineStr">
        <is>
          <t>Grande ecole BTS - assistanat de direction, agriculture tropicale, finances comptabilite</t>
        </is>
      </c>
      <c r="C568" s="29" t="inlineStr">
        <is>
          <t>Prive</t>
        </is>
      </c>
      <c r="D568" s="29" t="inlineStr">
        <is>
          <t>Daloa</t>
        </is>
      </c>
      <c r="E568" s="29" t="inlineStr">
        <is>
          <t>Quartier Tazibouo 1 petit marché (ancien CROU)</t>
        </is>
      </c>
      <c r="F568" s="29" t="inlineStr">
        <is>
          <t>+225 07 08 95 80 10</t>
        </is>
      </c>
      <c r="G568" s="29" t="inlineStr">
        <is>
          <t>+225 07 47 94 11 69</t>
        </is>
      </c>
      <c r="H568" s="29" t="inlineStr">
        <is>
          <t>+225 07 08 95 80 10</t>
        </is>
      </c>
      <c r="I568" s="29" t="inlineStr">
        <is>
          <t>escomfloradaloa@gmail.com</t>
        </is>
      </c>
      <c r="J568" s="29" t="inlineStr"/>
      <c r="K568" s="29" t="inlineStr">
        <is>
          <t>Directeur des Etudes</t>
        </is>
      </c>
      <c r="L568" s="30" t="inlineStr">
        <is>
          <t>Haute</t>
        </is>
      </c>
      <c r="M568" s="29" t="inlineStr">
        <is>
          <t>MESRS - liste officielle grandes ecoles</t>
        </is>
      </c>
      <c r="N568" s="29" t="inlineStr">
        <is>
          <t>gratuite</t>
        </is>
      </c>
      <c r="O568" s="14" t="inlineStr">
        <is>
          <t>a verifier</t>
        </is>
      </c>
      <c r="P568" s="29" t="inlineStr">
        <is>
          <t>commerce</t>
        </is>
      </c>
    </row>
    <row r="569">
      <c r="A569" s="29" t="inlineStr">
        <is>
          <t>ESMAT LE GROUPE BOWL DALOA</t>
        </is>
      </c>
      <c r="B569" s="29" t="inlineStr">
        <is>
          <t>Grande ecole BTS - assistanat de direction, agriculture tropicale, finances comptabilite</t>
        </is>
      </c>
      <c r="C569" s="29" t="inlineStr">
        <is>
          <t>Prive</t>
        </is>
      </c>
      <c r="D569" s="29" t="inlineStr">
        <is>
          <t>Daloa</t>
        </is>
      </c>
      <c r="E569" s="29" t="inlineStr">
        <is>
          <t>GUEYA EXTENSION ROUTE DE VAVOUA</t>
        </is>
      </c>
      <c r="F569" s="29" t="inlineStr">
        <is>
          <t>+225 07 07 98 30 99</t>
        </is>
      </c>
      <c r="G569" s="29" t="inlineStr">
        <is>
          <t>+225 07 07 38 40 84</t>
        </is>
      </c>
      <c r="H569" s="29" t="inlineStr">
        <is>
          <t>+225 07 07 98 30 99</t>
        </is>
      </c>
      <c r="I569" s="29" t="inlineStr">
        <is>
          <t>pjdodo2002@yahoo.fr</t>
        </is>
      </c>
      <c r="J569" s="29" t="inlineStr">
        <is>
          <t>http://www.legroupebowl.com</t>
        </is>
      </c>
      <c r="K569" s="29" t="inlineStr">
        <is>
          <t>Directeur des Etudes</t>
        </is>
      </c>
      <c r="L569" s="30" t="inlineStr">
        <is>
          <t>Haute</t>
        </is>
      </c>
      <c r="M569" s="29" t="inlineStr">
        <is>
          <t>MESRS - liste officielle grandes ecoles</t>
        </is>
      </c>
      <c r="N569" s="29" t="inlineStr">
        <is>
          <t>gratuite</t>
        </is>
      </c>
      <c r="O569" s="14" t="inlineStr">
        <is>
          <t>a verifier</t>
        </is>
      </c>
      <c r="P569" s="29" t="inlineStr">
        <is>
          <t>commerce</t>
        </is>
      </c>
    </row>
    <row r="570">
      <c r="A570" s="29" t="inlineStr">
        <is>
          <t>GROUPE AFFOUBENOU - DALOA</t>
        </is>
      </c>
      <c r="B570" s="29" t="inlineStr">
        <is>
          <t>Grande ecole BTS - assistanat de direction, agriculture tropicale, electrotechnique</t>
        </is>
      </c>
      <c r="C570" s="29" t="inlineStr">
        <is>
          <t>Prive</t>
        </is>
      </c>
      <c r="D570" s="29" t="inlineStr">
        <is>
          <t>Daloa</t>
        </is>
      </c>
      <c r="E570" s="29" t="inlineStr">
        <is>
          <t>DALOA, Quartier: Tazibouo 1 Boulangerie (ancienne), juste derrière l’Hôtel Sonia et/ou la Pâtisserie KF</t>
        </is>
      </c>
      <c r="F570" s="29" t="inlineStr">
        <is>
          <t>+225 07 07 64 80 06</t>
        </is>
      </c>
      <c r="G570" s="29" t="inlineStr">
        <is>
          <t>+225 05 44 36 88 65</t>
        </is>
      </c>
      <c r="H570" s="29" t="inlineStr">
        <is>
          <t>+225 07 07 64 80 06</t>
        </is>
      </c>
      <c r="I570" s="29" t="inlineStr">
        <is>
          <t>groupe.affoubenou.5@gmail.com</t>
        </is>
      </c>
      <c r="J570" s="29" t="inlineStr"/>
      <c r="K570" s="29" t="inlineStr">
        <is>
          <t>Directeur des Etudes</t>
        </is>
      </c>
      <c r="L570" s="30" t="inlineStr">
        <is>
          <t>Haute</t>
        </is>
      </c>
      <c r="M570" s="29" t="inlineStr">
        <is>
          <t>MESRS - liste officielle grandes ecoles</t>
        </is>
      </c>
      <c r="N570" s="29" t="inlineStr">
        <is>
          <t>gratuite</t>
        </is>
      </c>
      <c r="O570" s="14" t="inlineStr">
        <is>
          <t>a verifier</t>
        </is>
      </c>
      <c r="P570" s="29" t="inlineStr">
        <is>
          <t>commerce</t>
        </is>
      </c>
    </row>
    <row r="571">
      <c r="A571" s="29" t="inlineStr">
        <is>
          <t>GROUPE DE FORMATION EN COMMERCE ET GESTION DES ENTREPRISES DALOA (GROUPE CGE DALOA) (GCGE DALOA)</t>
        </is>
      </c>
      <c r="B571" s="29" t="inlineStr">
        <is>
          <t>Grande ecole BTS - assistanat de direction, finances comptabilite, gestion commerciale</t>
        </is>
      </c>
      <c r="C571" s="29" t="inlineStr">
        <is>
          <t>Prive</t>
        </is>
      </c>
      <c r="D571" s="29" t="inlineStr">
        <is>
          <t>Daloa</t>
        </is>
      </c>
      <c r="E571" s="29" t="inlineStr">
        <is>
          <t>Quartier commerce ,Centre ville,Rond point de la CIE pres de la place de la solidarité , derrière la préfecture de DALOA</t>
        </is>
      </c>
      <c r="F571" s="29" t="inlineStr">
        <is>
          <t>+225 27 32 78 47 48</t>
        </is>
      </c>
      <c r="G571" s="29" t="inlineStr"/>
      <c r="H571" s="29" t="inlineStr"/>
      <c r="I571" s="29" t="inlineStr">
        <is>
          <t>groupecgedaloa@yahoo.fr</t>
        </is>
      </c>
      <c r="J571" s="29" t="inlineStr"/>
      <c r="K571" s="29" t="inlineStr">
        <is>
          <t>Directeur des Etudes</t>
        </is>
      </c>
      <c r="L571" s="30" t="inlineStr">
        <is>
          <t>Haute</t>
        </is>
      </c>
      <c r="M571" s="29" t="inlineStr">
        <is>
          <t>MESRS - liste officielle grandes ecoles</t>
        </is>
      </c>
      <c r="N571" s="29" t="inlineStr">
        <is>
          <t>gratuite</t>
        </is>
      </c>
      <c r="O571" s="14" t="inlineStr">
        <is>
          <t>a verifier</t>
        </is>
      </c>
      <c r="P571" s="29" t="inlineStr">
        <is>
          <t>commerce</t>
        </is>
      </c>
    </row>
    <row r="572">
      <c r="A572" s="29" t="inlineStr">
        <is>
          <t>GROUPE E-CAMBONOU</t>
        </is>
      </c>
      <c r="B572" s="29" t="inlineStr">
        <is>
          <t>Grande ecole BTS - moteur, agriculture tropicale, communication visuelle</t>
        </is>
      </c>
      <c r="C572" s="29" t="inlineStr">
        <is>
          <t>Prive</t>
        </is>
      </c>
      <c r="D572" s="29" t="inlineStr">
        <is>
          <t>Daloa</t>
        </is>
      </c>
      <c r="E572" s="29" t="inlineStr">
        <is>
          <t>DALOA, QUARTIER DIGBEU LOUE, LOT 2000 à 2010 ILOT</t>
        </is>
      </c>
      <c r="F572" s="29" t="inlineStr">
        <is>
          <t>+225 07 07 49 53 59</t>
        </is>
      </c>
      <c r="G572" s="29" t="inlineStr">
        <is>
          <t>+225 07 48 69 39 83</t>
        </is>
      </c>
      <c r="H572" s="29" t="inlineStr">
        <is>
          <t>+225 07 07 49 53 59</t>
        </is>
      </c>
      <c r="I572" s="29" t="inlineStr">
        <is>
          <t>groupe.ecambonou@gmail.com</t>
        </is>
      </c>
      <c r="J572" s="29" t="inlineStr"/>
      <c r="K572" s="29" t="inlineStr">
        <is>
          <t>Directeur des Etudes</t>
        </is>
      </c>
      <c r="L572" s="30" t="inlineStr">
        <is>
          <t>Haute</t>
        </is>
      </c>
      <c r="M572" s="29" t="inlineStr">
        <is>
          <t>MESRS - liste officielle grandes ecoles</t>
        </is>
      </c>
      <c r="N572" s="29" t="inlineStr">
        <is>
          <t>gratuite</t>
        </is>
      </c>
      <c r="O572" s="14" t="inlineStr">
        <is>
          <t>a verifier</t>
        </is>
      </c>
      <c r="P572" s="29" t="inlineStr">
        <is>
          <t>commerce</t>
        </is>
      </c>
    </row>
    <row r="573">
      <c r="A573" s="29" t="inlineStr">
        <is>
          <t>GROUPE ONYX EXCELLENCE DALOA (GOED)</t>
        </is>
      </c>
      <c r="B573" s="29" t="inlineStr">
        <is>
          <t>Grande ecole BTS - assistanat de direction, finances comptabilite, gestion commerciale</t>
        </is>
      </c>
      <c r="C573" s="29" t="inlineStr">
        <is>
          <t>Prive</t>
        </is>
      </c>
      <c r="D573" s="29" t="inlineStr">
        <is>
          <t>Daloa</t>
        </is>
      </c>
      <c r="E573" s="29" t="inlineStr"/>
      <c r="F573" s="29" t="inlineStr">
        <is>
          <t>+225 07 07 31 36 17</t>
        </is>
      </c>
      <c r="G573" s="29" t="inlineStr"/>
      <c r="H573" s="29" t="inlineStr">
        <is>
          <t>+225 07 07 31 36 17</t>
        </is>
      </c>
      <c r="I573" s="29" t="inlineStr"/>
      <c r="J573" s="29" t="inlineStr"/>
      <c r="K573" s="29" t="inlineStr">
        <is>
          <t>Directeur des Etudes</t>
        </is>
      </c>
      <c r="L573" s="30" t="inlineStr">
        <is>
          <t>Haute</t>
        </is>
      </c>
      <c r="M573" s="29" t="inlineStr">
        <is>
          <t>MESRS - liste officielle grandes ecoles</t>
        </is>
      </c>
      <c r="N573" s="29" t="inlineStr"/>
      <c r="O573" s="31" t="inlineStr">
        <is>
          <t>sans email</t>
        </is>
      </c>
      <c r="P573" s="29" t="inlineStr">
        <is>
          <t>commerce</t>
        </is>
      </c>
    </row>
    <row r="574">
      <c r="A574" s="29" t="inlineStr">
        <is>
          <t>IFED - Institut de Formation et d'Education de Daloa</t>
        </is>
      </c>
      <c r="B574" s="29" t="inlineStr">
        <is>
          <t>Institut de formation</t>
        </is>
      </c>
      <c r="C574" s="29" t="inlineStr">
        <is>
          <t>Prive</t>
        </is>
      </c>
      <c r="D574" s="29" t="inlineStr">
        <is>
          <t>Daloa</t>
        </is>
      </c>
      <c r="E574" s="29" t="inlineStr">
        <is>
          <t>Abattoir 2 BP 2350 Daloa</t>
        </is>
      </c>
      <c r="F574" s="29" t="inlineStr">
        <is>
          <t>+225 27 32 78 09 88</t>
        </is>
      </c>
      <c r="G574" s="29" t="inlineStr"/>
      <c r="H574" s="29" t="inlineStr"/>
      <c r="I574" s="29" t="inlineStr"/>
      <c r="J574" s="29" t="inlineStr"/>
      <c r="K574" s="29" t="inlineStr">
        <is>
          <t>Directeur des Etudes</t>
        </is>
      </c>
      <c r="L574" s="29" t="inlineStr">
        <is>
          <t>Moyenne</t>
        </is>
      </c>
      <c r="M574" s="29" t="inlineStr">
        <is>
          <t>AnnuaireCI + CiTrade</t>
        </is>
      </c>
      <c r="N574" s="29" t="inlineStr"/>
      <c r="O574" s="31" t="inlineStr">
        <is>
          <t>sans email</t>
        </is>
      </c>
      <c r="P574" s="29" t="inlineStr">
        <is>
          <t>formation</t>
        </is>
      </c>
    </row>
    <row r="575">
      <c r="A575" s="29" t="inlineStr">
        <is>
          <t>INSTITUT NATIONAL D'INTELLIGENCE NUMERIQUE ECONOMIQUE ET COMMERCIALE (INEC)</t>
        </is>
      </c>
      <c r="B575" s="29" t="inlineStr">
        <is>
          <t>Grande ecole BTS - agriculture tropicale, electrotechnique, finances comptabilite</t>
        </is>
      </c>
      <c r="C575" s="29" t="inlineStr">
        <is>
          <t>Public</t>
        </is>
      </c>
      <c r="D575" s="29" t="inlineStr">
        <is>
          <t>Daloa</t>
        </is>
      </c>
      <c r="E575" s="29" t="inlineStr">
        <is>
          <t>Daloa quartier Evêché, 200 mètres derrière la pharmacie Evêché.</t>
        </is>
      </c>
      <c r="F575" s="29" t="inlineStr">
        <is>
          <t>+225 07 89 98 00 00</t>
        </is>
      </c>
      <c r="G575" s="29" t="inlineStr">
        <is>
          <t>+225 01 71 64 67 67</t>
        </is>
      </c>
      <c r="H575" s="29" t="inlineStr">
        <is>
          <t>+225 07 89 98 00 00</t>
        </is>
      </c>
      <c r="I575" s="29" t="inlineStr">
        <is>
          <t>inecsadaloa@gmail.com</t>
        </is>
      </c>
      <c r="J575" s="29" t="inlineStr">
        <is>
          <t>https://www.inecgroupe.com</t>
        </is>
      </c>
      <c r="K575" s="29" t="inlineStr">
        <is>
          <t>Directeur des Etudes</t>
        </is>
      </c>
      <c r="L575" s="30" t="inlineStr">
        <is>
          <t>Haute</t>
        </is>
      </c>
      <c r="M575" s="29" t="inlineStr">
        <is>
          <t>MESRS - liste officielle grandes ecoles</t>
        </is>
      </c>
      <c r="N575" s="29" t="inlineStr">
        <is>
          <t>gratuite</t>
        </is>
      </c>
      <c r="O575" s="14" t="inlineStr">
        <is>
          <t>a verifier</t>
        </is>
      </c>
      <c r="P575" s="29" t="inlineStr">
        <is>
          <t>numerique</t>
        </is>
      </c>
    </row>
    <row r="576">
      <c r="A576" s="29" t="inlineStr">
        <is>
          <t>INSTITUT SUPERIEUR DE GESTION ET DE COMMERCE (ISGC) DALOA</t>
        </is>
      </c>
      <c r="B576" s="29" t="inlineStr">
        <is>
          <t>Grande ecole BTS - assistanat de direction, finances comptabilite, genie civil</t>
        </is>
      </c>
      <c r="C576" s="29" t="inlineStr">
        <is>
          <t>Prive</t>
        </is>
      </c>
      <c r="D576" s="29" t="inlineStr">
        <is>
          <t>Daloa</t>
        </is>
      </c>
      <c r="E576" s="29" t="inlineStr">
        <is>
          <t>QUARTIER TAZIBOUO 1 DALOA</t>
        </is>
      </c>
      <c r="F576" s="29" t="inlineStr">
        <is>
          <t>+225 27 32 76 76 67</t>
        </is>
      </c>
      <c r="G576" s="29" t="inlineStr"/>
      <c r="H576" s="29" t="inlineStr"/>
      <c r="I576" s="29" t="inlineStr">
        <is>
          <t>isgcmicroformation@gmail.com</t>
        </is>
      </c>
      <c r="J576" s="29" t="inlineStr"/>
      <c r="K576" s="29" t="inlineStr">
        <is>
          <t>Directeur des Etudes</t>
        </is>
      </c>
      <c r="L576" s="30" t="inlineStr">
        <is>
          <t>Haute</t>
        </is>
      </c>
      <c r="M576" s="29" t="inlineStr">
        <is>
          <t>MESRS - liste officielle grandes ecoles</t>
        </is>
      </c>
      <c r="N576" s="29" t="inlineStr">
        <is>
          <t>gratuite</t>
        </is>
      </c>
      <c r="O576" s="14" t="inlineStr">
        <is>
          <t>a verifier</t>
        </is>
      </c>
      <c r="P576" s="29" t="inlineStr">
        <is>
          <t>commerce</t>
        </is>
      </c>
    </row>
    <row r="577">
      <c r="A577" s="29" t="inlineStr">
        <is>
          <t>INSTITUT SUPÉRIEUR DE MARKETING ET DE COMPTABILITE DALOA (ISMC DALOA)</t>
        </is>
      </c>
      <c r="B577" s="29" t="inlineStr">
        <is>
          <t>Grande ecole BTS - assistanat de direction, agriculture tropicale, finances comptabilite</t>
        </is>
      </c>
      <c r="C577" s="29" t="inlineStr">
        <is>
          <t>Prive</t>
        </is>
      </c>
      <c r="D577" s="29" t="inlineStr">
        <is>
          <t>Daloa</t>
        </is>
      </c>
      <c r="E577" s="29" t="inlineStr">
        <is>
          <t>DALOA QUARTIER COMMERCE</t>
        </is>
      </c>
      <c r="F577" s="29" t="inlineStr"/>
      <c r="G577" s="29" t="inlineStr"/>
      <c r="H577" s="29" t="inlineStr"/>
      <c r="I577" s="29" t="inlineStr">
        <is>
          <t>ismcd.ci@gmail.com</t>
        </is>
      </c>
      <c r="J577" s="29" t="inlineStr"/>
      <c r="K577" s="29" t="inlineStr">
        <is>
          <t>Directeur des Etudes</t>
        </is>
      </c>
      <c r="L577" s="30" t="inlineStr">
        <is>
          <t>Haute</t>
        </is>
      </c>
      <c r="M577" s="29" t="inlineStr">
        <is>
          <t>MESRS - liste officielle grandes ecoles</t>
        </is>
      </c>
      <c r="N577" s="29" t="inlineStr">
        <is>
          <t>gratuite</t>
        </is>
      </c>
      <c r="O577" s="14" t="inlineStr">
        <is>
          <t>a verifier</t>
        </is>
      </c>
      <c r="P577" s="29" t="inlineStr">
        <is>
          <t>commerce</t>
        </is>
      </c>
    </row>
    <row r="578">
      <c r="A578" s="29" t="inlineStr">
        <is>
          <t>IT ACADEMY DALOA (INTERNATIONAL TECHNOLOGY ACADEMY)</t>
        </is>
      </c>
      <c r="B578" s="29" t="inlineStr">
        <is>
          <t>Grande ecole BTS - assistanat de direction, finances comptabilite, genie civil</t>
        </is>
      </c>
      <c r="C578" s="29" t="inlineStr">
        <is>
          <t>Prive</t>
        </is>
      </c>
      <c r="D578" s="29" t="inlineStr">
        <is>
          <t>Daloa</t>
        </is>
      </c>
      <c r="E578" s="29" t="inlineStr">
        <is>
          <t>Eveche en face du lac Bra Kanon</t>
        </is>
      </c>
      <c r="F578" s="29" t="inlineStr">
        <is>
          <t>+225 07 08 56 92 45</t>
        </is>
      </c>
      <c r="G578" s="29" t="inlineStr">
        <is>
          <t>+225 07 08 71 70 55</t>
        </is>
      </c>
      <c r="H578" s="29" t="inlineStr">
        <is>
          <t>+225 07 08 56 92 45</t>
        </is>
      </c>
      <c r="I578" s="29" t="inlineStr">
        <is>
          <t>infos@itacademyci.com</t>
        </is>
      </c>
      <c r="J578" s="29" t="inlineStr">
        <is>
          <t>https://www.itacademyci.com</t>
        </is>
      </c>
      <c r="K578" s="29" t="inlineStr">
        <is>
          <t>Directeur des Etudes</t>
        </is>
      </c>
      <c r="L578" s="30" t="inlineStr">
        <is>
          <t>Haute</t>
        </is>
      </c>
      <c r="M578" s="29" t="inlineStr">
        <is>
          <t>MESRS - liste officielle grandes ecoles</t>
        </is>
      </c>
      <c r="N578" s="29" t="inlineStr">
        <is>
          <t>domaine propre</t>
        </is>
      </c>
      <c r="O578" s="14" t="inlineStr">
        <is>
          <t>a verifier</t>
        </is>
      </c>
      <c r="P578" s="29" t="inlineStr">
        <is>
          <t>numerique</t>
        </is>
      </c>
    </row>
    <row r="579">
      <c r="A579" s="29" t="inlineStr">
        <is>
          <t>SUP'INTER DALOA</t>
        </is>
      </c>
      <c r="B579" s="29" t="inlineStr">
        <is>
          <t>Grande ecole BTS - assistanat de direction, electrotechnique, finances comptabilite</t>
        </is>
      </c>
      <c r="C579" s="29" t="inlineStr">
        <is>
          <t>Prive</t>
        </is>
      </c>
      <c r="D579" s="29" t="inlineStr">
        <is>
          <t>Daloa</t>
        </is>
      </c>
      <c r="E579" s="29" t="inlineStr">
        <is>
          <t>Daloa -Zaguiguia à 20 mètres du centre commercial G3 (espace G3)</t>
        </is>
      </c>
      <c r="F579" s="29" t="inlineStr">
        <is>
          <t>+225 07 00 80 52 28</t>
        </is>
      </c>
      <c r="G579" s="29" t="inlineStr">
        <is>
          <t>+225 05 54 39 19 46</t>
        </is>
      </c>
      <c r="H579" s="29" t="inlineStr">
        <is>
          <t>+225 07 00 80 52 28</t>
        </is>
      </c>
      <c r="I579" s="29" t="inlineStr">
        <is>
          <t>sup.interdaloa19@gmail.com</t>
        </is>
      </c>
      <c r="J579" s="29" t="inlineStr">
        <is>
          <t>https://www.ecolesupinter.net</t>
        </is>
      </c>
      <c r="K579" s="29" t="inlineStr">
        <is>
          <t>Directeur des Etudes</t>
        </is>
      </c>
      <c r="L579" s="30" t="inlineStr">
        <is>
          <t>Haute</t>
        </is>
      </c>
      <c r="M579" s="29" t="inlineStr">
        <is>
          <t>MESRS - liste officielle grandes ecoles</t>
        </is>
      </c>
      <c r="N579" s="29" t="inlineStr">
        <is>
          <t>gratuite</t>
        </is>
      </c>
      <c r="O579" s="14" t="inlineStr">
        <is>
          <t>a verifier</t>
        </is>
      </c>
      <c r="P579" s="29" t="inlineStr">
        <is>
          <t>commerce</t>
        </is>
      </c>
    </row>
    <row r="580">
      <c r="A580" s="29" t="inlineStr">
        <is>
          <t>Universite Jean Lorougnon Guede (UJLoG)</t>
        </is>
      </c>
      <c r="B580" s="29" t="inlineStr">
        <is>
          <t>Universite publique</t>
        </is>
      </c>
      <c r="C580" s="29" t="inlineStr">
        <is>
          <t>Public</t>
        </is>
      </c>
      <c r="D580" s="29" t="inlineStr">
        <is>
          <t>Daloa</t>
        </is>
      </c>
      <c r="E580" s="29" t="inlineStr">
        <is>
          <t>Quartier Lobia BP 150 Daloa</t>
        </is>
      </c>
      <c r="F580" s="29" t="inlineStr">
        <is>
          <t>+225 27 32 78 75 83</t>
        </is>
      </c>
      <c r="G580" s="29" t="inlineStr"/>
      <c r="H580" s="29" t="inlineStr"/>
      <c r="I580" s="29" t="inlineStr">
        <is>
          <t>sercom@ujlg.edu.ci</t>
        </is>
      </c>
      <c r="J580" s="29" t="inlineStr">
        <is>
          <t>ujlog.edu.ci</t>
        </is>
      </c>
      <c r="K580" s="29" t="inlineStr">
        <is>
          <t>Directeur des Etudes</t>
        </is>
      </c>
      <c r="L580" s="30" t="inlineStr">
        <is>
          <t>Haute</t>
        </is>
      </c>
      <c r="M580" s="29" t="inlineStr">
        <is>
          <t>ujlog.edu.ci</t>
        </is>
      </c>
      <c r="N580" s="29" t="inlineStr">
        <is>
          <t>domaine propre</t>
        </is>
      </c>
      <c r="O580" s="30" t="inlineStr">
        <is>
          <t>valide</t>
        </is>
      </c>
      <c r="P580" s="29" t="inlineStr">
        <is>
          <t>universite</t>
        </is>
      </c>
    </row>
    <row r="581">
      <c r="A581" s="29" t="inlineStr">
        <is>
          <t>ECOLE SUPERIEURE ESDRAS (ES-ESDRAS)</t>
        </is>
      </c>
      <c r="B581" s="29" t="inlineStr">
        <is>
          <t>Grande ecole BTS - assistanat de direction, electrotechnique, finances comptabilite</t>
        </is>
      </c>
      <c r="C581" s="29" t="inlineStr">
        <is>
          <t>Prive</t>
        </is>
      </c>
      <c r="D581" s="29" t="inlineStr">
        <is>
          <t>Daoukro</t>
        </is>
      </c>
      <c r="E581" s="29" t="inlineStr"/>
      <c r="F581" s="29" t="inlineStr">
        <is>
          <t>+225 05 44 50 50 72</t>
        </is>
      </c>
      <c r="G581" s="29" t="inlineStr">
        <is>
          <t>+225 07 07 58 18 18</t>
        </is>
      </c>
      <c r="H581" s="29" t="inlineStr">
        <is>
          <t>+225 05 44 50 50 72</t>
        </is>
      </c>
      <c r="I581" s="29" t="inlineStr"/>
      <c r="J581" s="29" t="inlineStr"/>
      <c r="K581" s="29" t="inlineStr">
        <is>
          <t>Directeur des Etudes</t>
        </is>
      </c>
      <c r="L581" s="30" t="inlineStr">
        <is>
          <t>Haute</t>
        </is>
      </c>
      <c r="M581" s="29" t="inlineStr">
        <is>
          <t>MESRS - liste officielle grandes ecoles</t>
        </is>
      </c>
      <c r="N581" s="29" t="inlineStr"/>
      <c r="O581" s="31" t="inlineStr">
        <is>
          <t>sans email</t>
        </is>
      </c>
      <c r="P581" s="29" t="inlineStr">
        <is>
          <t>commerce</t>
        </is>
      </c>
    </row>
    <row r="582">
      <c r="A582" s="29" t="inlineStr">
        <is>
          <t>INSTITUT SUPERIEUR AWOSI DAOUKRO (ISAD)</t>
        </is>
      </c>
      <c r="B582" s="29" t="inlineStr">
        <is>
          <t>Grande ecole BTS - assistanat de direction, agriculture tropicale, communication visuelle</t>
        </is>
      </c>
      <c r="C582" s="29" t="inlineStr">
        <is>
          <t>Prive</t>
        </is>
      </c>
      <c r="D582" s="29" t="inlineStr">
        <is>
          <t>Daoukro</t>
        </is>
      </c>
      <c r="E582" s="29" t="inlineStr"/>
      <c r="F582" s="29" t="inlineStr">
        <is>
          <t>+225 07 48 88 09 99</t>
        </is>
      </c>
      <c r="G582" s="29" t="inlineStr">
        <is>
          <t>+225 01 02 75 47 11</t>
        </is>
      </c>
      <c r="H582" s="29" t="inlineStr">
        <is>
          <t>+225 07 48 88 09 99</t>
        </is>
      </c>
      <c r="I582" s="29" t="inlineStr"/>
      <c r="J582" s="29" t="inlineStr"/>
      <c r="K582" s="29" t="inlineStr">
        <is>
          <t>Directeur des Etudes</t>
        </is>
      </c>
      <c r="L582" s="30" t="inlineStr">
        <is>
          <t>Haute</t>
        </is>
      </c>
      <c r="M582" s="29" t="inlineStr">
        <is>
          <t>MESRS - liste officielle grandes ecoles</t>
        </is>
      </c>
      <c r="N582" s="29" t="inlineStr"/>
      <c r="O582" s="31" t="inlineStr">
        <is>
          <t>sans email</t>
        </is>
      </c>
      <c r="P582" s="29" t="inlineStr">
        <is>
          <t>commerce</t>
        </is>
      </c>
    </row>
    <row r="583">
      <c r="A583" s="29" t="inlineStr">
        <is>
          <t>INSTITUT SUPERIEUR DE TECHNOLOGIE DE L'IFFOU (ISTI)</t>
        </is>
      </c>
      <c r="B583" s="29" t="inlineStr">
        <is>
          <t>Grande ecole BTS - agriculture tropicale, finances comptabilite, genie civil</t>
        </is>
      </c>
      <c r="C583" s="29" t="inlineStr">
        <is>
          <t>Prive</t>
        </is>
      </c>
      <c r="D583" s="29" t="inlineStr">
        <is>
          <t>Daoukro</t>
        </is>
      </c>
      <c r="E583" s="29" t="inlineStr"/>
      <c r="F583" s="29" t="inlineStr">
        <is>
          <t>+225 07 07 50 57 29</t>
        </is>
      </c>
      <c r="G583" s="29" t="inlineStr">
        <is>
          <t>+225 07 09 20 15 75</t>
        </is>
      </c>
      <c r="H583" s="29" t="inlineStr">
        <is>
          <t>+225 07 07 50 57 29</t>
        </is>
      </c>
      <c r="I583" s="29" t="inlineStr"/>
      <c r="J583" s="29" t="inlineStr"/>
      <c r="K583" s="29" t="inlineStr">
        <is>
          <t>Directeur des Etudes</t>
        </is>
      </c>
      <c r="L583" s="30" t="inlineStr">
        <is>
          <t>Haute</t>
        </is>
      </c>
      <c r="M583" s="29" t="inlineStr">
        <is>
          <t>MESRS - liste officielle grandes ecoles</t>
        </is>
      </c>
      <c r="N583" s="29" t="inlineStr"/>
      <c r="O583" s="31" t="inlineStr">
        <is>
          <t>sans email</t>
        </is>
      </c>
      <c r="P583" s="29" t="inlineStr">
        <is>
          <t>numerique</t>
        </is>
      </c>
    </row>
    <row r="584">
      <c r="A584" s="29" t="inlineStr">
        <is>
          <t>INSTITUT FAMAH DIMBOKRO (IF DIMBOKRO)</t>
        </is>
      </c>
      <c r="B584" s="29" t="inlineStr">
        <is>
          <t>Grande ecole BTS - assistanat de direction, agriculture tropicale, electrotechnique</t>
        </is>
      </c>
      <c r="C584" s="29" t="inlineStr">
        <is>
          <t>Prive</t>
        </is>
      </c>
      <c r="D584" s="29" t="inlineStr">
        <is>
          <t>Dimbokro</t>
        </is>
      </c>
      <c r="E584" s="29" t="inlineStr">
        <is>
          <t>QUARTIER COMMERCE</t>
        </is>
      </c>
      <c r="F584" s="29" t="inlineStr">
        <is>
          <t>+225 07 79 80 20 77</t>
        </is>
      </c>
      <c r="G584" s="29" t="inlineStr">
        <is>
          <t>+225 07 77 31 16 34</t>
        </is>
      </c>
      <c r="H584" s="29" t="inlineStr">
        <is>
          <t>+225 07 79 80 20 77</t>
        </is>
      </c>
      <c r="I584" s="29" t="inlineStr">
        <is>
          <t>vincentdidia2014@gmail.com</t>
        </is>
      </c>
      <c r="J584" s="29" t="inlineStr">
        <is>
          <t>https://www.uns-if.ci</t>
        </is>
      </c>
      <c r="K584" s="29" t="inlineStr">
        <is>
          <t>Directeur des Etudes</t>
        </is>
      </c>
      <c r="L584" s="30" t="inlineStr">
        <is>
          <t>Haute</t>
        </is>
      </c>
      <c r="M584" s="29" t="inlineStr">
        <is>
          <t>MESRS - liste officielle grandes ecoles</t>
        </is>
      </c>
      <c r="N584" s="29" t="inlineStr">
        <is>
          <t>gratuite</t>
        </is>
      </c>
      <c r="O584" s="14" t="inlineStr">
        <is>
          <t>a verifier</t>
        </is>
      </c>
      <c r="P584" s="29" t="inlineStr">
        <is>
          <t>commerce</t>
        </is>
      </c>
    </row>
    <row r="585">
      <c r="A585" s="29" t="inlineStr">
        <is>
          <t>ECOLE SUPERIEURE DE MANAGEMENT ET DES TECHNOLOGIES (ESUMAT DIVO)</t>
        </is>
      </c>
      <c r="B585" s="29" t="inlineStr">
        <is>
          <t>Grande ecole BTS - assistanat de direction, agriculture tropicale, finances comptabilite</t>
        </is>
      </c>
      <c r="C585" s="29" t="inlineStr">
        <is>
          <t>Prive</t>
        </is>
      </c>
      <c r="D585" s="29" t="inlineStr">
        <is>
          <t>Divo</t>
        </is>
      </c>
      <c r="E585" s="29" t="inlineStr">
        <is>
          <t>Divo quartier millionnaire à environ 300 m derrière HIAM Hôtel</t>
        </is>
      </c>
      <c r="F585" s="29" t="inlineStr">
        <is>
          <t>+225 07 79 21 46 36</t>
        </is>
      </c>
      <c r="G585" s="29" t="inlineStr">
        <is>
          <t>+225 05 05 24 75 66</t>
        </is>
      </c>
      <c r="H585" s="29" t="inlineStr">
        <is>
          <t>+225 07 79 21 46 36</t>
        </is>
      </c>
      <c r="I585" s="29" t="inlineStr">
        <is>
          <t>esumatdivo@gmail.com</t>
        </is>
      </c>
      <c r="J585" s="29" t="inlineStr">
        <is>
          <t>https://esumat.com</t>
        </is>
      </c>
      <c r="K585" s="29" t="inlineStr">
        <is>
          <t>Directeur des Etudes</t>
        </is>
      </c>
      <c r="L585" s="30" t="inlineStr">
        <is>
          <t>Haute</t>
        </is>
      </c>
      <c r="M585" s="29" t="inlineStr">
        <is>
          <t>MESRS - liste officielle grandes ecoles</t>
        </is>
      </c>
      <c r="N585" s="29" t="inlineStr">
        <is>
          <t>gratuite</t>
        </is>
      </c>
      <c r="O585" s="14" t="inlineStr">
        <is>
          <t>a verifier</t>
        </is>
      </c>
      <c r="P585" s="29" t="inlineStr">
        <is>
          <t>numerique</t>
        </is>
      </c>
    </row>
    <row r="586">
      <c r="A586" s="29" t="inlineStr">
        <is>
          <t>GROUPE YAL (GYAL) (GS YAL)</t>
        </is>
      </c>
      <c r="B586" s="29" t="inlineStr">
        <is>
          <t>Grande ecole BTS - agriculture tropicale, finances comptabilite, genie civil</t>
        </is>
      </c>
      <c r="C586" s="29" t="inlineStr">
        <is>
          <t>Prive</t>
        </is>
      </c>
      <c r="D586" s="29" t="inlineStr">
        <is>
          <t>Divo</t>
        </is>
      </c>
      <c r="E586" s="29" t="inlineStr">
        <is>
          <t>QUARTIER MILLIONNAIRE, A ENVIRON 200M DU PONT BASCULE, EN BORDURE DE LA ROUTE PRINCIPALE MENANT A ABIDJAN.</t>
        </is>
      </c>
      <c r="F586" s="29" t="inlineStr">
        <is>
          <t>+225 07 48 90 81 33</t>
        </is>
      </c>
      <c r="G586" s="29" t="inlineStr">
        <is>
          <t>+225 07 07 99 98 80</t>
        </is>
      </c>
      <c r="H586" s="29" t="inlineStr">
        <is>
          <t>+225 07 48 90 81 33</t>
        </is>
      </c>
      <c r="I586" s="29" t="inlineStr">
        <is>
          <t>groupeyal@gmail.com</t>
        </is>
      </c>
      <c r="J586" s="29" t="inlineStr"/>
      <c r="K586" s="29" t="inlineStr">
        <is>
          <t>Directeur des Etudes</t>
        </is>
      </c>
      <c r="L586" s="30" t="inlineStr">
        <is>
          <t>Haute</t>
        </is>
      </c>
      <c r="M586" s="29" t="inlineStr">
        <is>
          <t>MESRS - liste officielle grandes ecoles</t>
        </is>
      </c>
      <c r="N586" s="29" t="inlineStr">
        <is>
          <t>gratuite</t>
        </is>
      </c>
      <c r="O586" s="14" t="inlineStr">
        <is>
          <t>a verifier</t>
        </is>
      </c>
      <c r="P586" s="29" t="inlineStr">
        <is>
          <t>commerce</t>
        </is>
      </c>
    </row>
    <row r="587">
      <c r="A587" s="29" t="inlineStr">
        <is>
          <t>IFPAM</t>
        </is>
      </c>
      <c r="B587" s="29" t="inlineStr">
        <is>
          <t>Grande ecole BTS - finances comptabilite, gestion commerciale</t>
        </is>
      </c>
      <c r="C587" s="29" t="inlineStr">
        <is>
          <t>Prive</t>
        </is>
      </c>
      <c r="D587" s="29" t="inlineStr">
        <is>
          <t>Divo</t>
        </is>
      </c>
      <c r="E587" s="29" t="inlineStr">
        <is>
          <t>GREMIAN, EX-ZONE INDUSTRIELLE, PRES DES SERVICES TECHNIQUES DE LA MAIRIE</t>
        </is>
      </c>
      <c r="F587" s="29" t="inlineStr">
        <is>
          <t>+225 27 32 76 33 69</t>
        </is>
      </c>
      <c r="G587" s="29" t="inlineStr">
        <is>
          <t>+225 07 07 84 50 38</t>
        </is>
      </c>
      <c r="H587" s="29" t="inlineStr">
        <is>
          <t>+225 07 07 84 50 38</t>
        </is>
      </c>
      <c r="I587" s="29" t="inlineStr">
        <is>
          <t>divoifpam@gmail.com</t>
        </is>
      </c>
      <c r="J587" s="29" t="inlineStr"/>
      <c r="K587" s="29" t="inlineStr">
        <is>
          <t>Directeur des Etudes</t>
        </is>
      </c>
      <c r="L587" s="30" t="inlineStr">
        <is>
          <t>Haute</t>
        </is>
      </c>
      <c r="M587" s="29" t="inlineStr">
        <is>
          <t>MESRS - liste officielle grandes ecoles</t>
        </is>
      </c>
      <c r="N587" s="29" t="inlineStr">
        <is>
          <t>gratuite</t>
        </is>
      </c>
      <c r="O587" s="14" t="inlineStr">
        <is>
          <t>a verifier</t>
        </is>
      </c>
      <c r="P587" s="29" t="inlineStr">
        <is>
          <t>commerce</t>
        </is>
      </c>
    </row>
    <row r="588">
      <c r="A588" s="29" t="inlineStr">
        <is>
          <t>INSTITUT SUPERIEUR DE FORMATION DE DIVO (ISF) (ISF/UID)</t>
        </is>
      </c>
      <c r="B588" s="29" t="inlineStr">
        <is>
          <t>Grande ecole BTS - assistanat de direction, agriculture tropicale, finances comptabilite</t>
        </is>
      </c>
      <c r="C588" s="29" t="inlineStr">
        <is>
          <t>Prive</t>
        </is>
      </c>
      <c r="D588" s="29" t="inlineStr">
        <is>
          <t>Divo</t>
        </is>
      </c>
      <c r="E588" s="29" t="inlineStr">
        <is>
          <t>DIVO, QUARTIER GREMIAN</t>
        </is>
      </c>
      <c r="F588" s="29" t="inlineStr">
        <is>
          <t>+225 07 59 23 02 86</t>
        </is>
      </c>
      <c r="G588" s="29" t="inlineStr">
        <is>
          <t>+225 07 03 04 95 18</t>
        </is>
      </c>
      <c r="H588" s="29" t="inlineStr">
        <is>
          <t>+225 07 59 23 02 86</t>
        </is>
      </c>
      <c r="I588" s="29" t="inlineStr">
        <is>
          <t>iudgroupinfo@gmail.com</t>
        </is>
      </c>
      <c r="J588" s="29" t="inlineStr">
        <is>
          <t>http://www.uid-civ.com</t>
        </is>
      </c>
      <c r="K588" s="29" t="inlineStr">
        <is>
          <t>Directeur des Etudes</t>
        </is>
      </c>
      <c r="L588" s="30" t="inlineStr">
        <is>
          <t>Haute</t>
        </is>
      </c>
      <c r="M588" s="29" t="inlineStr">
        <is>
          <t>MESRS - liste officielle grandes ecoles</t>
        </is>
      </c>
      <c r="N588" s="29" t="inlineStr">
        <is>
          <t>gratuite</t>
        </is>
      </c>
      <c r="O588" s="14" t="inlineStr">
        <is>
          <t>a verifier</t>
        </is>
      </c>
      <c r="P588" s="29" t="inlineStr">
        <is>
          <t>commerce</t>
        </is>
      </c>
    </row>
    <row r="589">
      <c r="A589" s="29" t="inlineStr">
        <is>
          <t>OVM – SUP DUEKOUE</t>
        </is>
      </c>
      <c r="B589" s="29" t="inlineStr">
        <is>
          <t>Grande ecole BTS - agriculture tropicale, finances comptabilite, genie civil</t>
        </is>
      </c>
      <c r="C589" s="29" t="inlineStr">
        <is>
          <t>Prive</t>
        </is>
      </c>
      <c r="D589" s="29" t="inlineStr">
        <is>
          <t>Duekoue</t>
        </is>
      </c>
      <c r="E589" s="29" t="inlineStr">
        <is>
          <t>Route Guiglo (voie bitumée)</t>
        </is>
      </c>
      <c r="F589" s="29" t="inlineStr">
        <is>
          <t>+225 07 07 47 04 34</t>
        </is>
      </c>
      <c r="G589" s="29" t="inlineStr">
        <is>
          <t>+225 07 09 11 71 55</t>
        </is>
      </c>
      <c r="H589" s="29" t="inlineStr">
        <is>
          <t>+225 07 07 47 04 34</t>
        </is>
      </c>
      <c r="I589" s="29" t="inlineStr">
        <is>
          <t>ovmsup@gmail.com</t>
        </is>
      </c>
      <c r="J589" s="29" t="inlineStr">
        <is>
          <t>https://groupvignon.com</t>
        </is>
      </c>
      <c r="K589" s="29" t="inlineStr">
        <is>
          <t>Directeur des Etudes</t>
        </is>
      </c>
      <c r="L589" s="30" t="inlineStr">
        <is>
          <t>Haute</t>
        </is>
      </c>
      <c r="M589" s="29" t="inlineStr">
        <is>
          <t>MESRS - liste officielle grandes ecoles</t>
        </is>
      </c>
      <c r="N589" s="29" t="inlineStr">
        <is>
          <t>gratuite</t>
        </is>
      </c>
      <c r="O589" s="14" t="inlineStr">
        <is>
          <t>a verifier</t>
        </is>
      </c>
      <c r="P589" s="29" t="inlineStr">
        <is>
          <t>commerce</t>
        </is>
      </c>
    </row>
    <row r="590">
      <c r="A590" s="29" t="inlineStr">
        <is>
          <t>GROUPE ECOLE DES SCIENCES APPLIQUEES ET GESTION DES ENTREPRISES DE GAGNOA (GROUPE ESSA GAGNOA)</t>
        </is>
      </c>
      <c r="B590" s="29" t="inlineStr">
        <is>
          <t>Grande ecole BTS - finances comptabilite, gestion commerciale, informatique developpeur d'applications</t>
        </is>
      </c>
      <c r="C590" s="29" t="inlineStr">
        <is>
          <t>Prive</t>
        </is>
      </c>
      <c r="D590" s="29" t="inlineStr">
        <is>
          <t>Gagnoa</t>
        </is>
      </c>
      <c r="E590" s="29" t="inlineStr">
        <is>
          <t>Quartier Sogefhia route d'Abidjan sur le prolongement du Lycée Professionnel</t>
        </is>
      </c>
      <c r="F590" s="29" t="inlineStr">
        <is>
          <t>+225 07 47 30 99 67</t>
        </is>
      </c>
      <c r="G590" s="29" t="inlineStr">
        <is>
          <t>+225 07 48 32 61 69</t>
        </is>
      </c>
      <c r="H590" s="29" t="inlineStr">
        <is>
          <t>+225 07 47 30 99 67</t>
        </is>
      </c>
      <c r="I590" s="29" t="inlineStr"/>
      <c r="J590" s="29" t="inlineStr"/>
      <c r="K590" s="29" t="inlineStr">
        <is>
          <t>Directeur des Etudes</t>
        </is>
      </c>
      <c r="L590" s="30" t="inlineStr">
        <is>
          <t>Haute</t>
        </is>
      </c>
      <c r="M590" s="29" t="inlineStr">
        <is>
          <t>MESRS - liste officielle grandes ecoles</t>
        </is>
      </c>
      <c r="N590" s="29" t="inlineStr"/>
      <c r="O590" s="31" t="inlineStr">
        <is>
          <t>sans email</t>
        </is>
      </c>
      <c r="P590" s="29" t="inlineStr">
        <is>
          <t>commerce</t>
        </is>
      </c>
    </row>
    <row r="591">
      <c r="A591" s="29" t="inlineStr">
        <is>
          <t>INSTITUT SUPERIEUR BOSOL GAGNOA (ISB GAGNOA)</t>
        </is>
      </c>
      <c r="B591" s="29" t="inlineStr">
        <is>
          <t>Grande ecole BTS - agriculture tropicale, finances comptabilite, genie civil</t>
        </is>
      </c>
      <c r="C591" s="29" t="inlineStr">
        <is>
          <t>Prive</t>
        </is>
      </c>
      <c r="D591" s="29" t="inlineStr">
        <is>
          <t>Gagnoa</t>
        </is>
      </c>
      <c r="E591" s="29" t="inlineStr">
        <is>
          <t>Quartier Bario, derriere le lycee 4 ,secteur ancien ONUCI</t>
        </is>
      </c>
      <c r="F591" s="29" t="inlineStr">
        <is>
          <t>+225 01 03 74 32 80</t>
        </is>
      </c>
      <c r="G591" s="29" t="inlineStr">
        <is>
          <t>+225 07 07 63 02 42</t>
        </is>
      </c>
      <c r="H591" s="29" t="inlineStr">
        <is>
          <t>+225 01 03 74 32 80</t>
        </is>
      </c>
      <c r="I591" s="29" t="inlineStr">
        <is>
          <t>institutbosolgagnoa@gmail.com</t>
        </is>
      </c>
      <c r="J591" s="29" t="inlineStr"/>
      <c r="K591" s="29" t="inlineStr">
        <is>
          <t>Directeur des Etudes</t>
        </is>
      </c>
      <c r="L591" s="30" t="inlineStr">
        <is>
          <t>Haute</t>
        </is>
      </c>
      <c r="M591" s="29" t="inlineStr">
        <is>
          <t>MESRS - liste officielle grandes ecoles</t>
        </is>
      </c>
      <c r="N591" s="29" t="inlineStr">
        <is>
          <t>gratuite</t>
        </is>
      </c>
      <c r="O591" s="14" t="inlineStr">
        <is>
          <t>a verifier</t>
        </is>
      </c>
      <c r="P591" s="29" t="inlineStr">
        <is>
          <t>commerce</t>
        </is>
      </c>
    </row>
    <row r="592">
      <c r="A592" s="29" t="inlineStr">
        <is>
          <t>INSTITUT SUPERIEUR DE TECHNOLOGIE AVANCEE DE GAGNOA (ISTAG) (GETEC)</t>
        </is>
      </c>
      <c r="B592" s="29" t="inlineStr">
        <is>
          <t>Grande ecole BTS - assistanat de direction, agriculture tropicale, finances comptabilite</t>
        </is>
      </c>
      <c r="C592" s="29" t="inlineStr">
        <is>
          <t>Prive</t>
        </is>
      </c>
      <c r="D592" s="29" t="inlineStr">
        <is>
          <t>Gagnoa</t>
        </is>
      </c>
      <c r="E592" s="29" t="inlineStr">
        <is>
          <t>Garahio derrière la PMI.</t>
        </is>
      </c>
      <c r="F592" s="29" t="inlineStr">
        <is>
          <t>+225 07 78 67 82 27</t>
        </is>
      </c>
      <c r="G592" s="29" t="inlineStr">
        <is>
          <t>+225 01 42 89 18 84</t>
        </is>
      </c>
      <c r="H592" s="29" t="inlineStr">
        <is>
          <t>+225 07 78 67 82 27</t>
        </is>
      </c>
      <c r="I592" s="29" t="inlineStr">
        <is>
          <t>groupeetecci@gmail.com</t>
        </is>
      </c>
      <c r="J592" s="29" t="inlineStr"/>
      <c r="K592" s="29" t="inlineStr">
        <is>
          <t>Directeur des Etudes</t>
        </is>
      </c>
      <c r="L592" s="30" t="inlineStr">
        <is>
          <t>Haute</t>
        </is>
      </c>
      <c r="M592" s="29" t="inlineStr">
        <is>
          <t>MESRS - liste officielle grandes ecoles</t>
        </is>
      </c>
      <c r="N592" s="29" t="inlineStr">
        <is>
          <t>gratuite</t>
        </is>
      </c>
      <c r="O592" s="14" t="inlineStr">
        <is>
          <t>a verifier</t>
        </is>
      </c>
      <c r="P592" s="29" t="inlineStr">
        <is>
          <t>numerique</t>
        </is>
      </c>
    </row>
    <row r="593">
      <c r="A593" s="29" t="inlineStr">
        <is>
          <t>ISTG PIERRE MARIE GAGNOA</t>
        </is>
      </c>
      <c r="B593" s="29" t="inlineStr">
        <is>
          <t>Grande ecole BTS - assistanat de direction, agriculture tropicale, communication visuelle</t>
        </is>
      </c>
      <c r="C593" s="29" t="inlineStr">
        <is>
          <t>Prive</t>
        </is>
      </c>
      <c r="D593" s="29" t="inlineStr">
        <is>
          <t>Gagnoa</t>
        </is>
      </c>
      <c r="E593" s="29" t="inlineStr">
        <is>
          <t>camp fonctionnaire en face de CIO</t>
        </is>
      </c>
      <c r="F593" s="29" t="inlineStr">
        <is>
          <t>+225 07 57 83 20 90</t>
        </is>
      </c>
      <c r="G593" s="29" t="inlineStr">
        <is>
          <t>+225 07 49 96 18 79</t>
        </is>
      </c>
      <c r="H593" s="29" t="inlineStr">
        <is>
          <t>+225 07 57 83 20 90</t>
        </is>
      </c>
      <c r="I593" s="29" t="inlineStr">
        <is>
          <t>istg01@yahoo.com</t>
        </is>
      </c>
      <c r="J593" s="29" t="inlineStr"/>
      <c r="K593" s="29" t="inlineStr">
        <is>
          <t>Directeur des Etudes</t>
        </is>
      </c>
      <c r="L593" s="30" t="inlineStr">
        <is>
          <t>Haute</t>
        </is>
      </c>
      <c r="M593" s="29" t="inlineStr">
        <is>
          <t>MESRS - liste officielle grandes ecoles</t>
        </is>
      </c>
      <c r="N593" s="29" t="inlineStr">
        <is>
          <t>gratuite</t>
        </is>
      </c>
      <c r="O593" s="14" t="inlineStr">
        <is>
          <t>a verifier</t>
        </is>
      </c>
      <c r="P593" s="29" t="inlineStr">
        <is>
          <t>commerce</t>
        </is>
      </c>
    </row>
    <row r="594">
      <c r="A594" s="29" t="inlineStr">
        <is>
          <t>INSTITUT SUPERIEUR POLYTECHNIQUE ACKA AWADJO CECILE (ISPEC) GRAND LAHOU</t>
        </is>
      </c>
      <c r="B594" s="29" t="inlineStr">
        <is>
          <t>Grande ecole BTS - assistanat de direction, agriculture tropicale, finances comptabilite</t>
        </is>
      </c>
      <c r="C594" s="29" t="inlineStr">
        <is>
          <t>Prive</t>
        </is>
      </c>
      <c r="D594" s="29" t="inlineStr">
        <is>
          <t>Grand Lahou</t>
        </is>
      </c>
      <c r="E594" s="29" t="inlineStr">
        <is>
          <t>Grand-Lahou, N’zida sud 2e extension, quartier Toit Bleu, 600m après le Stade Henri Konan Bédié.</t>
        </is>
      </c>
      <c r="F594" s="29" t="inlineStr">
        <is>
          <t>+225 27 34 77 55 41</t>
        </is>
      </c>
      <c r="G594" s="29" t="inlineStr">
        <is>
          <t>+225 07 57 77 42 18</t>
        </is>
      </c>
      <c r="H594" s="29" t="inlineStr">
        <is>
          <t>+225 07 57 77 42 18</t>
        </is>
      </c>
      <c r="I594" s="29" t="inlineStr">
        <is>
          <t>ispec09@gmail.com</t>
        </is>
      </c>
      <c r="J594" s="29" t="inlineStr">
        <is>
          <t>http://www.institutaec.com</t>
        </is>
      </c>
      <c r="K594" s="29" t="inlineStr">
        <is>
          <t>Directeur des Etudes</t>
        </is>
      </c>
      <c r="L594" s="30" t="inlineStr">
        <is>
          <t>Haute</t>
        </is>
      </c>
      <c r="M594" s="29" t="inlineStr">
        <is>
          <t>MESRS - liste officielle grandes ecoles</t>
        </is>
      </c>
      <c r="N594" s="29" t="inlineStr">
        <is>
          <t>gratuite</t>
        </is>
      </c>
      <c r="O594" s="14" t="inlineStr">
        <is>
          <t>a verifier</t>
        </is>
      </c>
      <c r="P594" s="29" t="inlineStr">
        <is>
          <t>ingenieur</t>
        </is>
      </c>
    </row>
    <row r="595">
      <c r="A595" s="29" t="inlineStr">
        <is>
          <t>Ecole Hoteliere de Grand-Bassam EHB</t>
        </is>
      </c>
      <c r="B595" s="29" t="inlineStr">
        <is>
          <t>Ecole hoteliere - hotellerie restauration tourisme</t>
        </is>
      </c>
      <c r="C595" s="29" t="inlineStr">
        <is>
          <t>Prive</t>
        </is>
      </c>
      <c r="D595" s="29" t="inlineStr">
        <is>
          <t>Grand-Bassam</t>
        </is>
      </c>
      <c r="E595" s="29" t="inlineStr"/>
      <c r="F595" s="29" t="inlineStr">
        <is>
          <t>+225 07 77 24 39 70</t>
        </is>
      </c>
      <c r="G595" s="29" t="inlineStr">
        <is>
          <t>+225 27 21 00 09 69</t>
        </is>
      </c>
      <c r="H595" s="29" t="inlineStr"/>
      <c r="I595" s="29" t="inlineStr"/>
      <c r="J595" s="29" t="inlineStr">
        <is>
          <t>https://www.ecolehotelieredegrandbassam.com</t>
        </is>
      </c>
      <c r="K595" s="29" t="inlineStr">
        <is>
          <t>Directeur des Etudes</t>
        </is>
      </c>
      <c r="L595" s="29" t="inlineStr">
        <is>
          <t>Moyenne</t>
        </is>
      </c>
      <c r="M595" s="29" t="inlineStr">
        <is>
          <t>edukiya.com</t>
        </is>
      </c>
      <c r="N595" s="29" t="inlineStr"/>
      <c r="O595" s="31" t="inlineStr">
        <is>
          <t>sans email</t>
        </is>
      </c>
      <c r="P595" s="29" t="inlineStr">
        <is>
          <t>hotellerie</t>
        </is>
      </c>
    </row>
    <row r="596">
      <c r="A596" s="29" t="inlineStr">
        <is>
          <t>IIT - Institut Ivoirien de Technologie</t>
        </is>
      </c>
      <c r="B596" s="29" t="inlineStr">
        <is>
          <t>Ecole d'ingenieurs - informatique reseaux cybersecurite</t>
        </is>
      </c>
      <c r="C596" s="29" t="inlineStr">
        <is>
          <t>Prive</t>
        </is>
      </c>
      <c r="D596" s="29" t="inlineStr">
        <is>
          <t>Grand-Bassam</t>
        </is>
      </c>
      <c r="E596" s="29" t="inlineStr">
        <is>
          <t>VITIB Zone Franche Village des Technologies - 06 BP 6248 Abidjan 06</t>
        </is>
      </c>
      <c r="F596" s="29" t="inlineStr">
        <is>
          <t>+225 01 53 15 15 15</t>
        </is>
      </c>
      <c r="G596" s="29" t="inlineStr"/>
      <c r="H596" s="29" t="inlineStr"/>
      <c r="I596" s="29" t="inlineStr">
        <is>
          <t>contact@iit.ci</t>
        </is>
      </c>
      <c r="J596" s="29" t="inlineStr">
        <is>
          <t>iit.ci</t>
        </is>
      </c>
      <c r="K596" s="29" t="inlineStr">
        <is>
          <t>Directeur des Etudes</t>
        </is>
      </c>
      <c r="L596" s="30" t="inlineStr">
        <is>
          <t>Haute</t>
        </is>
      </c>
      <c r="M596" s="29" t="inlineStr">
        <is>
          <t>Site officiel iit.ci</t>
        </is>
      </c>
      <c r="N596" s="29" t="inlineStr">
        <is>
          <t>domaine propre</t>
        </is>
      </c>
      <c r="O596" s="30" t="inlineStr">
        <is>
          <t>valide</t>
        </is>
      </c>
      <c r="P596" s="29" t="inlineStr">
        <is>
          <t>numerique</t>
        </is>
      </c>
    </row>
    <row r="597">
      <c r="A597" s="29" t="inlineStr">
        <is>
          <t>Universite Internationale de Grand-Bassam (UIGB/IUGB)</t>
        </is>
      </c>
      <c r="B597" s="29" t="inlineStr">
        <is>
          <t>Universite internationale</t>
        </is>
      </c>
      <c r="C597" s="29" t="inlineStr">
        <is>
          <t>Prive</t>
        </is>
      </c>
      <c r="D597" s="29" t="inlineStr">
        <is>
          <t>Grand-Bassam (+ bureau Abidjan Deux Plateaux)</t>
        </is>
      </c>
      <c r="E597" s="29" t="inlineStr">
        <is>
          <t>Route de Bonoua, Grand-Bassam / Bd des Martyrs Rue K12 Villa 175, 04 BP 1062 Abidjan</t>
        </is>
      </c>
      <c r="F597" s="29" t="inlineStr">
        <is>
          <t>+225 27 21 30 34 57</t>
        </is>
      </c>
      <c r="G597" s="29" t="inlineStr">
        <is>
          <t>+225 27 22 41 30 41</t>
        </is>
      </c>
      <c r="H597" s="29" t="inlineStr"/>
      <c r="I597" s="29" t="inlineStr">
        <is>
          <t>admissions@iugb.edu.ci</t>
        </is>
      </c>
      <c r="J597" s="29" t="inlineStr">
        <is>
          <t>www.uigb.net</t>
        </is>
      </c>
      <c r="K597" s="29" t="inlineStr">
        <is>
          <t>Dean / Directeur des Etudes</t>
        </is>
      </c>
      <c r="L597" s="29" t="inlineStr">
        <is>
          <t>Moyenne</t>
        </is>
      </c>
      <c r="M597" s="29" t="inlineStr">
        <is>
          <t>uigb.net + AnnuaireCI | email : iugb.edu.ci - domaine actif, uigb.org etant l'ancien</t>
        </is>
      </c>
      <c r="N597" s="29" t="inlineStr">
        <is>
          <t>domaine propre</t>
        </is>
      </c>
      <c r="O597" s="14" t="inlineStr">
        <is>
          <t>a verifier</t>
        </is>
      </c>
      <c r="P597" s="29" t="inlineStr">
        <is>
          <t>universite</t>
        </is>
      </c>
    </row>
    <row r="598">
      <c r="A598" s="29" t="inlineStr">
        <is>
          <t>INSTITUT SUPERIEUR INTERNATIONAL SARHAOUM (ISIS)</t>
        </is>
      </c>
      <c r="B598" s="29" t="inlineStr">
        <is>
          <t>Grande ecole BTS - assistanat de direction, electrotechnique, finances comptabilite</t>
        </is>
      </c>
      <c r="C598" s="29" t="inlineStr">
        <is>
          <t>Prive</t>
        </is>
      </c>
      <c r="D598" s="29" t="inlineStr">
        <is>
          <t>Hermankono</t>
        </is>
      </c>
      <c r="E598" s="29" t="inlineStr">
        <is>
          <t>HERMANKONO GARO KOUAMEKRO</t>
        </is>
      </c>
      <c r="F598" s="29" t="inlineStr">
        <is>
          <t>+225 01 51 98 48 48</t>
        </is>
      </c>
      <c r="G598" s="29" t="inlineStr">
        <is>
          <t>+225 07 09 27 04 74</t>
        </is>
      </c>
      <c r="H598" s="29" t="inlineStr">
        <is>
          <t>+225 01 51 98 48 48</t>
        </is>
      </c>
      <c r="I598" s="29" t="inlineStr">
        <is>
          <t>isisarhaoum@gmail.com</t>
        </is>
      </c>
      <c r="J598" s="29" t="inlineStr"/>
      <c r="K598" s="29" t="inlineStr">
        <is>
          <t>Directeur des Etudes</t>
        </is>
      </c>
      <c r="L598" s="30" t="inlineStr">
        <is>
          <t>Haute</t>
        </is>
      </c>
      <c r="M598" s="29" t="inlineStr">
        <is>
          <t>MESRS - liste officielle grandes ecoles</t>
        </is>
      </c>
      <c r="N598" s="29" t="inlineStr">
        <is>
          <t>gratuite</t>
        </is>
      </c>
      <c r="O598" s="14" t="inlineStr">
        <is>
          <t>a verifier</t>
        </is>
      </c>
      <c r="P598" s="29" t="inlineStr">
        <is>
          <t>commerce</t>
        </is>
      </c>
    </row>
    <row r="599">
      <c r="A599" s="29" t="inlineStr">
        <is>
          <t>ECOLE SUPERIEURE INZA FANNY (ESIF)</t>
        </is>
      </c>
      <c r="B599" s="29" t="inlineStr">
        <is>
          <t>Grande ecole BTS - assistanat de direction, agriculture tropicale, finances comptabilite</t>
        </is>
      </c>
      <c r="C599" s="29" t="inlineStr">
        <is>
          <t>Prive</t>
        </is>
      </c>
      <c r="D599" s="29" t="inlineStr">
        <is>
          <t>Kaniasso</t>
        </is>
      </c>
      <c r="E599" s="29" t="inlineStr"/>
      <c r="F599" s="29" t="inlineStr"/>
      <c r="G599" s="29" t="inlineStr"/>
      <c r="H599" s="29" t="inlineStr"/>
      <c r="I599" s="29" t="inlineStr"/>
      <c r="J599" s="29" t="inlineStr"/>
      <c r="K599" s="29" t="inlineStr">
        <is>
          <t>Directeur des Etudes</t>
        </is>
      </c>
      <c r="L599" s="30" t="inlineStr">
        <is>
          <t>Haute</t>
        </is>
      </c>
      <c r="M599" s="29" t="inlineStr">
        <is>
          <t>MESRS - liste officielle grandes ecoles</t>
        </is>
      </c>
      <c r="N599" s="29" t="inlineStr"/>
      <c r="O599" s="31" t="inlineStr">
        <is>
          <t>sans email</t>
        </is>
      </c>
      <c r="P599" s="29" t="inlineStr">
        <is>
          <t>commerce</t>
        </is>
      </c>
    </row>
    <row r="600">
      <c r="A600" s="29" t="inlineStr">
        <is>
          <t>G 10 ACADEMIE</t>
        </is>
      </c>
      <c r="B600" s="29" t="inlineStr">
        <is>
          <t>Grande ecole BTS - assistanat de direction, finances comptabilite, genie civil</t>
        </is>
      </c>
      <c r="C600" s="29" t="inlineStr">
        <is>
          <t>Prive</t>
        </is>
      </c>
      <c r="D600" s="29" t="inlineStr">
        <is>
          <t>Katiola</t>
        </is>
      </c>
      <c r="E600" s="29" t="inlineStr"/>
      <c r="F600" s="29" t="inlineStr">
        <is>
          <t>+225 07 59 70 29 71</t>
        </is>
      </c>
      <c r="G600" s="29" t="inlineStr">
        <is>
          <t>+225 05 05 34 30 11</t>
        </is>
      </c>
      <c r="H600" s="29" t="inlineStr">
        <is>
          <t>+225 07 59 70 29 71</t>
        </is>
      </c>
      <c r="I600" s="29" t="inlineStr"/>
      <c r="J600" s="29" t="inlineStr"/>
      <c r="K600" s="29" t="inlineStr">
        <is>
          <t>Directeur des Etudes</t>
        </is>
      </c>
      <c r="L600" s="30" t="inlineStr">
        <is>
          <t>Haute</t>
        </is>
      </c>
      <c r="M600" s="29" t="inlineStr">
        <is>
          <t>MESRS - liste officielle grandes ecoles</t>
        </is>
      </c>
      <c r="N600" s="29" t="inlineStr"/>
      <c r="O600" s="31" t="inlineStr">
        <is>
          <t>sans email</t>
        </is>
      </c>
      <c r="P600" s="29" t="inlineStr">
        <is>
          <t>commerce</t>
        </is>
      </c>
    </row>
    <row r="601">
      <c r="A601" s="29" t="inlineStr">
        <is>
          <t>INSTITUT DES SCIENCES ET TECHNIQUES (ISET Sarl)</t>
        </is>
      </c>
      <c r="B601" s="29" t="inlineStr">
        <is>
          <t>Grande ecole BTS - agriculture tropicale, finances comptabilite, gestion commerciale</t>
        </is>
      </c>
      <c r="C601" s="29" t="inlineStr">
        <is>
          <t>Prive</t>
        </is>
      </c>
      <c r="D601" s="29" t="inlineStr">
        <is>
          <t>Katiola</t>
        </is>
      </c>
      <c r="E601" s="29" t="inlineStr">
        <is>
          <t>QUARTIER RESIDENTIEL</t>
        </is>
      </c>
      <c r="F601" s="29" t="inlineStr">
        <is>
          <t>+225 27 34 76 03 91</t>
        </is>
      </c>
      <c r="G601" s="29" t="inlineStr">
        <is>
          <t>+225 07 07 01 44 69</t>
        </is>
      </c>
      <c r="H601" s="29" t="inlineStr">
        <is>
          <t>+225 07 07 01 44 69</t>
        </is>
      </c>
      <c r="I601" s="29" t="inlineStr"/>
      <c r="J601" s="29" t="inlineStr"/>
      <c r="K601" s="29" t="inlineStr">
        <is>
          <t>Directeur des Etudes</t>
        </is>
      </c>
      <c r="L601" s="30" t="inlineStr">
        <is>
          <t>Haute</t>
        </is>
      </c>
      <c r="M601" s="29" t="inlineStr">
        <is>
          <t>MESRS - liste officielle grandes ecoles</t>
        </is>
      </c>
      <c r="N601" s="29" t="inlineStr"/>
      <c r="O601" s="31" t="inlineStr">
        <is>
          <t>sans email</t>
        </is>
      </c>
      <c r="P601" s="29" t="inlineStr">
        <is>
          <t>commerce</t>
        </is>
      </c>
    </row>
    <row r="602">
      <c r="A602" s="29" t="inlineStr">
        <is>
          <t>UNIVERSITE POLYTECHNIQUE HAMBOL (UPH)</t>
        </is>
      </c>
      <c r="B602" s="29" t="inlineStr">
        <is>
          <t>Grande ecole BTS - assistanat de direction, agriculture tropicale, carrieres juridiques</t>
        </is>
      </c>
      <c r="C602" s="29" t="inlineStr">
        <is>
          <t>Prive</t>
        </is>
      </c>
      <c r="D602" s="29" t="inlineStr">
        <is>
          <t>Katiola</t>
        </is>
      </c>
      <c r="E602" s="29" t="inlineStr"/>
      <c r="F602" s="29" t="inlineStr">
        <is>
          <t>+225 07 49 60 88 15</t>
        </is>
      </c>
      <c r="G602" s="29" t="inlineStr">
        <is>
          <t>+225 07 58 05 09 28</t>
        </is>
      </c>
      <c r="H602" s="29" t="inlineStr">
        <is>
          <t>+225 07 49 60 88 15</t>
        </is>
      </c>
      <c r="I602" s="29" t="inlineStr"/>
      <c r="J602" s="29" t="inlineStr"/>
      <c r="K602" s="29" t="inlineStr">
        <is>
          <t>Directeur des Etudes</t>
        </is>
      </c>
      <c r="L602" s="30" t="inlineStr">
        <is>
          <t>Haute</t>
        </is>
      </c>
      <c r="M602" s="29" t="inlineStr">
        <is>
          <t>MESRS - liste officielle grandes ecoles</t>
        </is>
      </c>
      <c r="N602" s="29" t="inlineStr"/>
      <c r="O602" s="31" t="inlineStr">
        <is>
          <t>sans email</t>
        </is>
      </c>
      <c r="P602" s="29" t="inlineStr">
        <is>
          <t>universite</t>
        </is>
      </c>
    </row>
    <row r="603">
      <c r="A603" s="29" t="inlineStr">
        <is>
          <t>ECOLE SUPERIEURE D'INFORMATIQUE ET DE COMMERCE KORHOGO (ESICOM KORHOGO)</t>
        </is>
      </c>
      <c r="B603" s="29" t="inlineStr">
        <is>
          <t>Grande ecole BTS - assistanat de direction, agriculture tropicale, finances comptabilite</t>
        </is>
      </c>
      <c r="C603" s="29" t="inlineStr">
        <is>
          <t>Prive</t>
        </is>
      </c>
      <c r="D603" s="29" t="inlineStr">
        <is>
          <t>Korhogo</t>
        </is>
      </c>
      <c r="E603" s="29" t="inlineStr"/>
      <c r="F603" s="29" t="inlineStr">
        <is>
          <t>+225 27 36 85 04 54</t>
        </is>
      </c>
      <c r="G603" s="29" t="inlineStr"/>
      <c r="H603" s="29" t="inlineStr"/>
      <c r="I603" s="29" t="inlineStr">
        <is>
          <t>esicomkorhogo@gmail.com</t>
        </is>
      </c>
      <c r="J603" s="29" t="inlineStr"/>
      <c r="K603" s="29" t="inlineStr">
        <is>
          <t>Directeur des Etudes</t>
        </is>
      </c>
      <c r="L603" s="30" t="inlineStr">
        <is>
          <t>Haute</t>
        </is>
      </c>
      <c r="M603" s="29" t="inlineStr">
        <is>
          <t>MESRS - liste officielle grandes ecoles</t>
        </is>
      </c>
      <c r="N603" s="29" t="inlineStr">
        <is>
          <t>gratuite</t>
        </is>
      </c>
      <c r="O603" s="14" t="inlineStr">
        <is>
          <t>a verifier</t>
        </is>
      </c>
      <c r="P603" s="29" t="inlineStr">
        <is>
          <t>numerique</t>
        </is>
      </c>
    </row>
    <row r="604">
      <c r="A604" s="29" t="inlineStr">
        <is>
          <t>ECOLE SUPERIEURE TECHNIQUE ET DE MANAGEMENT KORHOGO (ESTM-KORHOGO)</t>
        </is>
      </c>
      <c r="B604" s="29" t="inlineStr">
        <is>
          <t>Grande ecole BTS - assistanat de direction, finances comptabilite, gestion commerciale</t>
        </is>
      </c>
      <c r="C604" s="29" t="inlineStr">
        <is>
          <t>Prive</t>
        </is>
      </c>
      <c r="D604" s="29" t="inlineStr">
        <is>
          <t>Korhogo</t>
        </is>
      </c>
      <c r="E604" s="29" t="inlineStr"/>
      <c r="F604" s="29" t="inlineStr">
        <is>
          <t>+225 07 59 11 91 98</t>
        </is>
      </c>
      <c r="G604" s="29" t="inlineStr">
        <is>
          <t>+225 07 67 57 04 40</t>
        </is>
      </c>
      <c r="H604" s="29" t="inlineStr">
        <is>
          <t>+225 07 59 11 91 98</t>
        </is>
      </c>
      <c r="I604" s="29" t="inlineStr">
        <is>
          <t>estmkgo9@gmail.com</t>
        </is>
      </c>
      <c r="J604" s="29" t="inlineStr"/>
      <c r="K604" s="29" t="inlineStr">
        <is>
          <t>Directeur des Etudes</t>
        </is>
      </c>
      <c r="L604" s="30" t="inlineStr">
        <is>
          <t>Haute</t>
        </is>
      </c>
      <c r="M604" s="29" t="inlineStr">
        <is>
          <t>MESRS - liste officielle grandes ecoles</t>
        </is>
      </c>
      <c r="N604" s="29" t="inlineStr">
        <is>
          <t>gratuite</t>
        </is>
      </c>
      <c r="O604" s="14" t="inlineStr">
        <is>
          <t>a verifier</t>
        </is>
      </c>
      <c r="P604" s="29" t="inlineStr">
        <is>
          <t>commerce</t>
        </is>
      </c>
    </row>
    <row r="605">
      <c r="A605" s="29" t="inlineStr">
        <is>
          <t>ECOLE SUPERIEURE TECHNIQUE ET PROFESSIONNELLE (ESETP)</t>
        </is>
      </c>
      <c r="B605" s="29" t="inlineStr">
        <is>
          <t>Grande ecole BTS - agriculture tropicale, finances comptabilite, genie civil</t>
        </is>
      </c>
      <c r="C605" s="29" t="inlineStr">
        <is>
          <t>Prive</t>
        </is>
      </c>
      <c r="D605" s="29" t="inlineStr">
        <is>
          <t>Korhogo</t>
        </is>
      </c>
      <c r="E605" s="29" t="inlineStr">
        <is>
          <t>Quartier résidentiel route de Boundiali</t>
        </is>
      </c>
      <c r="F605" s="29" t="inlineStr">
        <is>
          <t>+225 27 36 86 05 75</t>
        </is>
      </c>
      <c r="G605" s="29" t="inlineStr">
        <is>
          <t>+225 07 48 77 54 58</t>
        </is>
      </c>
      <c r="H605" s="29" t="inlineStr">
        <is>
          <t>+225 07 48 77 54 58</t>
        </is>
      </c>
      <c r="I605" s="29" t="inlineStr">
        <is>
          <t>sonahabibkgo@gmail.com</t>
        </is>
      </c>
      <c r="J605" s="29" t="inlineStr"/>
      <c r="K605" s="29" t="inlineStr">
        <is>
          <t>Directeur des Etudes</t>
        </is>
      </c>
      <c r="L605" s="30" t="inlineStr">
        <is>
          <t>Haute</t>
        </is>
      </c>
      <c r="M605" s="29" t="inlineStr">
        <is>
          <t>MESRS - liste officielle grandes ecoles</t>
        </is>
      </c>
      <c r="N605" s="29" t="inlineStr">
        <is>
          <t>gratuite</t>
        </is>
      </c>
      <c r="O605" s="14" t="inlineStr">
        <is>
          <t>a verifier</t>
        </is>
      </c>
      <c r="P605" s="29" t="inlineStr">
        <is>
          <t>commerce</t>
        </is>
      </c>
    </row>
    <row r="606">
      <c r="A606" s="29" t="inlineStr">
        <is>
          <t>ECOLE SUPERIEURE TENIN KARNA (ESTK)</t>
        </is>
      </c>
      <c r="B606" s="29" t="inlineStr">
        <is>
          <t>Grande ecole BTS - assistanat de direction, agriculture tropicale, finances comptabilite</t>
        </is>
      </c>
      <c r="C606" s="29" t="inlineStr">
        <is>
          <t>Prive</t>
        </is>
      </c>
      <c r="D606" s="29" t="inlineStr">
        <is>
          <t>Korhogo</t>
        </is>
      </c>
      <c r="E606" s="29" t="inlineStr">
        <is>
          <t>Quartier SODEPRA sur la route de l'aéroport à 300 m du stade municipal de Korhogo</t>
        </is>
      </c>
      <c r="F606" s="29" t="inlineStr">
        <is>
          <t>+225 01 72 72 07 07</t>
        </is>
      </c>
      <c r="G606" s="29" t="inlineStr"/>
      <c r="H606" s="29" t="inlineStr">
        <is>
          <t>+225 01 72 72 07 07</t>
        </is>
      </c>
      <c r="I606" s="29" t="inlineStr">
        <is>
          <t>ecolesuperieureteninkarna@gmail.com</t>
        </is>
      </c>
      <c r="J606" s="29" t="inlineStr">
        <is>
          <t>https://www.fondationteninkarna.com/estk</t>
        </is>
      </c>
      <c r="K606" s="29" t="inlineStr">
        <is>
          <t>Directeur des Etudes</t>
        </is>
      </c>
      <c r="L606" s="30" t="inlineStr">
        <is>
          <t>Haute</t>
        </is>
      </c>
      <c r="M606" s="29" t="inlineStr">
        <is>
          <t>MESRS - liste officielle grandes ecoles</t>
        </is>
      </c>
      <c r="N606" s="29" t="inlineStr">
        <is>
          <t>gratuite</t>
        </is>
      </c>
      <c r="O606" s="14" t="inlineStr">
        <is>
          <t>a verifier</t>
        </is>
      </c>
      <c r="P606" s="29" t="inlineStr">
        <is>
          <t>commerce</t>
        </is>
      </c>
    </row>
    <row r="607">
      <c r="A607" s="29" t="inlineStr">
        <is>
          <t>ECOLE TECHNIQUE INFORMATIQUE ET COMMERCIALE KORHOGO (ETIC KORHOGO)</t>
        </is>
      </c>
      <c r="B607" s="29" t="inlineStr">
        <is>
          <t>Grande ecole BTS - agriculture tropicale, finances comptabilite, genie civil</t>
        </is>
      </c>
      <c r="C607" s="29" t="inlineStr">
        <is>
          <t>Prive</t>
        </is>
      </c>
      <c r="D607" s="29" t="inlineStr">
        <is>
          <t>Korhogo</t>
        </is>
      </c>
      <c r="E607" s="29" t="inlineStr">
        <is>
          <t>KORHOGO</t>
        </is>
      </c>
      <c r="F607" s="29" t="inlineStr"/>
      <c r="G607" s="29" t="inlineStr"/>
      <c r="H607" s="29" t="inlineStr"/>
      <c r="I607" s="29" t="inlineStr">
        <is>
          <t>doffouappolos@gmail.com</t>
        </is>
      </c>
      <c r="J607" s="29" t="inlineStr"/>
      <c r="K607" s="29" t="inlineStr">
        <is>
          <t>Directeur des Etudes</t>
        </is>
      </c>
      <c r="L607" s="30" t="inlineStr">
        <is>
          <t>Haute</t>
        </is>
      </c>
      <c r="M607" s="29" t="inlineStr">
        <is>
          <t>MESRS - liste officielle grandes ecoles</t>
        </is>
      </c>
      <c r="N607" s="29" t="inlineStr">
        <is>
          <t>gratuite</t>
        </is>
      </c>
      <c r="O607" s="14" t="inlineStr">
        <is>
          <t>a verifier</t>
        </is>
      </c>
      <c r="P607" s="29" t="inlineStr">
        <is>
          <t>numerique</t>
        </is>
      </c>
    </row>
    <row r="608">
      <c r="A608" s="29" t="inlineStr">
        <is>
          <t>GROUPE ONYX EXCELLENCE KORHOGO (GOEK)</t>
        </is>
      </c>
      <c r="B608" s="29" t="inlineStr">
        <is>
          <t>Grande ecole BTS - assistanat de direction, finances comptabilite, gestion commerciale</t>
        </is>
      </c>
      <c r="C608" s="29" t="inlineStr">
        <is>
          <t>Prive</t>
        </is>
      </c>
      <c r="D608" s="29" t="inlineStr">
        <is>
          <t>Korhogo</t>
        </is>
      </c>
      <c r="E608" s="29" t="inlineStr"/>
      <c r="F608" s="29" t="inlineStr">
        <is>
          <t>+225 07 07 31 36 17</t>
        </is>
      </c>
      <c r="G608" s="29" t="inlineStr"/>
      <c r="H608" s="29" t="inlineStr">
        <is>
          <t>+225 07 07 31 36 17</t>
        </is>
      </c>
      <c r="I608" s="29" t="inlineStr"/>
      <c r="J608" s="29" t="inlineStr"/>
      <c r="K608" s="29" t="inlineStr">
        <is>
          <t>Directeur des Etudes</t>
        </is>
      </c>
      <c r="L608" s="30" t="inlineStr">
        <is>
          <t>Haute</t>
        </is>
      </c>
      <c r="M608" s="29" t="inlineStr">
        <is>
          <t>MESRS - liste officielle grandes ecoles</t>
        </is>
      </c>
      <c r="N608" s="29" t="inlineStr"/>
      <c r="O608" s="31" t="inlineStr">
        <is>
          <t>sans email</t>
        </is>
      </c>
      <c r="P608" s="29" t="inlineStr">
        <is>
          <t>commerce</t>
        </is>
      </c>
    </row>
    <row r="609">
      <c r="A609" s="29" t="inlineStr">
        <is>
          <t>INSTITUT DE FORMATION PROFESSIONNELLE ET GENERALE/INSTITUT SUPERIEUR DE FORMATION TECHNIQUE ET PROFESSIONNELLE KORHOGO (IFPG/ISFPT KORHOGO)</t>
        </is>
      </c>
      <c r="B609" s="29" t="inlineStr">
        <is>
          <t>Grande ecole BTS - assistanat de direction, finances comptabilite, gestion commerciale</t>
        </is>
      </c>
      <c r="C609" s="29" t="inlineStr">
        <is>
          <t>Prive</t>
        </is>
      </c>
      <c r="D609" s="29" t="inlineStr">
        <is>
          <t>Korhogo</t>
        </is>
      </c>
      <c r="E609" s="29" t="inlineStr">
        <is>
          <t>QUARTIER RESIDENTIEL ROUTE DE WARANIENE</t>
        </is>
      </c>
      <c r="F609" s="29" t="inlineStr">
        <is>
          <t>+225 27 36 86 01 22</t>
        </is>
      </c>
      <c r="G609" s="29" t="inlineStr"/>
      <c r="H609" s="29" t="inlineStr"/>
      <c r="I609" s="29" t="inlineStr">
        <is>
          <t>ifpg2012@yahoo.fr</t>
        </is>
      </c>
      <c r="J609" s="29" t="inlineStr"/>
      <c r="K609" s="29" t="inlineStr">
        <is>
          <t>Directeur des Etudes</t>
        </is>
      </c>
      <c r="L609" s="30" t="inlineStr">
        <is>
          <t>Haute</t>
        </is>
      </c>
      <c r="M609" s="29" t="inlineStr">
        <is>
          <t>MESRS - liste officielle grandes ecoles</t>
        </is>
      </c>
      <c r="N609" s="29" t="inlineStr">
        <is>
          <t>gratuite</t>
        </is>
      </c>
      <c r="O609" s="14" t="inlineStr">
        <is>
          <t>a verifier</t>
        </is>
      </c>
      <c r="P609" s="29" t="inlineStr">
        <is>
          <t>commerce</t>
        </is>
      </c>
    </row>
    <row r="610">
      <c r="A610" s="29" t="inlineStr">
        <is>
          <t>INSTITUT SUPERIEUR DE l'INNOVATION ET DES TECHNOLOGIES (ISIT KORHOGO)</t>
        </is>
      </c>
      <c r="B610" s="29" t="inlineStr">
        <is>
          <t>Grande ecole BTS - agriculture tropicale, finances comptabilite, genie civil</t>
        </is>
      </c>
      <c r="C610" s="29" t="inlineStr">
        <is>
          <t>Prive</t>
        </is>
      </c>
      <c r="D610" s="29" t="inlineStr">
        <is>
          <t>Korhogo</t>
        </is>
      </c>
      <c r="E610" s="29" t="inlineStr">
        <is>
          <t>Nouveau quartier, après le Collège Privé Sakanoko en allant vers la Nouvelle Ecole de Police, à coté de l'école primaire DOUMBIA et de l'école confessionnelle KOKROU</t>
        </is>
      </c>
      <c r="F610" s="29" t="inlineStr">
        <is>
          <t>+225 07 12 25 54 07</t>
        </is>
      </c>
      <c r="G610" s="29" t="inlineStr">
        <is>
          <t>+225 07 07 93 62 39</t>
        </is>
      </c>
      <c r="H610" s="29" t="inlineStr">
        <is>
          <t>+225 07 12 25 54 07</t>
        </is>
      </c>
      <c r="I610" s="29" t="inlineStr">
        <is>
          <t>infos@isit-groupe.com</t>
        </is>
      </c>
      <c r="J610" s="29" t="inlineStr"/>
      <c r="K610" s="29" t="inlineStr">
        <is>
          <t>Directeur des Etudes</t>
        </is>
      </c>
      <c r="L610" s="30" t="inlineStr">
        <is>
          <t>Haute</t>
        </is>
      </c>
      <c r="M610" s="29" t="inlineStr">
        <is>
          <t>MESRS - liste officielle grandes ecoles</t>
        </is>
      </c>
      <c r="N610" s="29" t="inlineStr">
        <is>
          <t>domaine propre</t>
        </is>
      </c>
      <c r="O610" s="14" t="inlineStr">
        <is>
          <t>a verifier</t>
        </is>
      </c>
      <c r="P610" s="29" t="inlineStr">
        <is>
          <t>numerique</t>
        </is>
      </c>
    </row>
    <row r="611">
      <c r="A611" s="29" t="inlineStr">
        <is>
          <t>INSTITUT SUPERIEUR LES ELITES KORHOGO (ISE KORHOGO)</t>
        </is>
      </c>
      <c r="B611" s="29" t="inlineStr">
        <is>
          <t>Grande ecole BTS - assistanat de direction, finances comptabilite, gestion commerciale</t>
        </is>
      </c>
      <c r="C611" s="29" t="inlineStr">
        <is>
          <t>Prive</t>
        </is>
      </c>
      <c r="D611" s="29" t="inlineStr">
        <is>
          <t>Korhogo</t>
        </is>
      </c>
      <c r="E611" s="29" t="inlineStr"/>
      <c r="F611" s="29" t="inlineStr">
        <is>
          <t>+225 27 36 86 39 85</t>
        </is>
      </c>
      <c r="G611" s="29" t="inlineStr">
        <is>
          <t>+225 07 07 93 62 39</t>
        </is>
      </c>
      <c r="H611" s="29" t="inlineStr">
        <is>
          <t>+225 07 07 93 62 39</t>
        </is>
      </c>
      <c r="I611" s="29" t="inlineStr"/>
      <c r="J611" s="29" t="inlineStr"/>
      <c r="K611" s="29" t="inlineStr">
        <is>
          <t>Directeur des Etudes</t>
        </is>
      </c>
      <c r="L611" s="30" t="inlineStr">
        <is>
          <t>Haute</t>
        </is>
      </c>
      <c r="M611" s="29" t="inlineStr">
        <is>
          <t>MESRS - liste officielle grandes ecoles</t>
        </is>
      </c>
      <c r="N611" s="29" t="inlineStr"/>
      <c r="O611" s="31" t="inlineStr">
        <is>
          <t>sans email</t>
        </is>
      </c>
      <c r="P611" s="29" t="inlineStr">
        <is>
          <t>commerce</t>
        </is>
      </c>
    </row>
    <row r="612">
      <c r="A612" s="29" t="inlineStr">
        <is>
          <t>INSTITUT SUPERIEUR SAKANOKO LOSSENI (ISSL)</t>
        </is>
      </c>
      <c r="B612" s="29" t="inlineStr">
        <is>
          <t>Grande ecole BTS - agriculture tropicale, finances comptabilite, informatique developpeur d'applications</t>
        </is>
      </c>
      <c r="C612" s="29" t="inlineStr">
        <is>
          <t>Prive</t>
        </is>
      </c>
      <c r="D612" s="29" t="inlineStr">
        <is>
          <t>Korhogo</t>
        </is>
      </c>
      <c r="E612" s="29" t="inlineStr"/>
      <c r="F612" s="29" t="inlineStr">
        <is>
          <t>+225 07 07 18 48 18</t>
        </is>
      </c>
      <c r="G612" s="29" t="inlineStr">
        <is>
          <t>+225 07 08 36 23 59</t>
        </is>
      </c>
      <c r="H612" s="29" t="inlineStr">
        <is>
          <t>+225 07 07 18 48 18</t>
        </is>
      </c>
      <c r="I612" s="29" t="inlineStr"/>
      <c r="J612" s="29" t="inlineStr"/>
      <c r="K612" s="29" t="inlineStr">
        <is>
          <t>Directeur des Etudes</t>
        </is>
      </c>
      <c r="L612" s="30" t="inlineStr">
        <is>
          <t>Haute</t>
        </is>
      </c>
      <c r="M612" s="29" t="inlineStr">
        <is>
          <t>MESRS - liste officielle grandes ecoles</t>
        </is>
      </c>
      <c r="N612" s="29" t="inlineStr"/>
      <c r="O612" s="31" t="inlineStr">
        <is>
          <t>sans email</t>
        </is>
      </c>
      <c r="P612" s="29" t="inlineStr">
        <is>
          <t>commerce</t>
        </is>
      </c>
    </row>
    <row r="613">
      <c r="A613" s="29" t="inlineStr">
        <is>
          <t>INSTITUT SUPÉRIEUR SODEC / KORHOGO (ISS-KORHOGO)</t>
        </is>
      </c>
      <c r="B613" s="29" t="inlineStr">
        <is>
          <t>Grande ecole BTS - assistanat de direction, finances comptabilite, gestion commerciale</t>
        </is>
      </c>
      <c r="C613" s="29" t="inlineStr">
        <is>
          <t>Prive</t>
        </is>
      </c>
      <c r="D613" s="29" t="inlineStr">
        <is>
          <t>Korhogo</t>
        </is>
      </c>
      <c r="E613" s="29" t="inlineStr">
        <is>
          <t>QUARTIER 19 SEPTEMBRE</t>
        </is>
      </c>
      <c r="F613" s="29" t="inlineStr"/>
      <c r="G613" s="29" t="inlineStr"/>
      <c r="H613" s="29" t="inlineStr"/>
      <c r="I613" s="29" t="inlineStr">
        <is>
          <t>infogss@groupescolairesodec.com</t>
        </is>
      </c>
      <c r="J613" s="29" t="inlineStr">
        <is>
          <t>https://www.groupescolairesodec.com</t>
        </is>
      </c>
      <c r="K613" s="29" t="inlineStr">
        <is>
          <t>Directeur des Etudes</t>
        </is>
      </c>
      <c r="L613" s="30" t="inlineStr">
        <is>
          <t>Haute</t>
        </is>
      </c>
      <c r="M613" s="29" t="inlineStr">
        <is>
          <t>MESRS - liste officielle grandes ecoles</t>
        </is>
      </c>
      <c r="N613" s="29" t="inlineStr">
        <is>
          <t>domaine propre</t>
        </is>
      </c>
      <c r="O613" s="14" t="inlineStr">
        <is>
          <t>a verifier</t>
        </is>
      </c>
      <c r="P613" s="29" t="inlineStr">
        <is>
          <t>commerce</t>
        </is>
      </c>
    </row>
    <row r="614">
      <c r="A614" s="29" t="inlineStr">
        <is>
          <t>Intitut Supérieur Aly Chigata (ISAC) korhogo</t>
        </is>
      </c>
      <c r="B614" s="29" t="inlineStr">
        <is>
          <t>Grande ecole BTS - agriculture tropicale, finances comptabilite, gestion commerciale</t>
        </is>
      </c>
      <c r="C614" s="29" t="inlineStr">
        <is>
          <t>Prive</t>
        </is>
      </c>
      <c r="D614" s="29" t="inlineStr">
        <is>
          <t>Korhogo</t>
        </is>
      </c>
      <c r="E614" s="29" t="inlineStr">
        <is>
          <t>korhogo, quartier 14 entre la pharmacie du 14 et le CHR</t>
        </is>
      </c>
      <c r="F614" s="29" t="inlineStr">
        <is>
          <t>+225 27 36 86 00 47</t>
        </is>
      </c>
      <c r="G614" s="29" t="inlineStr"/>
      <c r="H614" s="29" t="inlineStr"/>
      <c r="I614" s="29" t="inlineStr">
        <is>
          <t>malickkone201@yahoo.com</t>
        </is>
      </c>
      <c r="J614" s="29" t="inlineStr"/>
      <c r="K614" s="29" t="inlineStr">
        <is>
          <t>Directeur des Etudes</t>
        </is>
      </c>
      <c r="L614" s="30" t="inlineStr">
        <is>
          <t>Haute</t>
        </is>
      </c>
      <c r="M614" s="29" t="inlineStr">
        <is>
          <t>MESRS - liste officielle grandes ecoles</t>
        </is>
      </c>
      <c r="N614" s="29" t="inlineStr">
        <is>
          <t>gratuite</t>
        </is>
      </c>
      <c r="O614" s="14" t="inlineStr">
        <is>
          <t>a verifier</t>
        </is>
      </c>
      <c r="P614" s="29" t="inlineStr">
        <is>
          <t>commerce</t>
        </is>
      </c>
    </row>
    <row r="615">
      <c r="A615" s="29" t="inlineStr">
        <is>
          <t>IPEX KORHOGO</t>
        </is>
      </c>
      <c r="B615" s="29" t="inlineStr">
        <is>
          <t>Grande ecole BTS - finances comptabilite, gestion commerciale, informatique developpeur d'applications</t>
        </is>
      </c>
      <c r="C615" s="29" t="inlineStr">
        <is>
          <t>Prive</t>
        </is>
      </c>
      <c r="D615" s="29" t="inlineStr">
        <is>
          <t>Korhogo</t>
        </is>
      </c>
      <c r="E615" s="29" t="inlineStr">
        <is>
          <t>QT SOBA, Avenue TOLBERT</t>
        </is>
      </c>
      <c r="F615" s="29" t="inlineStr">
        <is>
          <t>+225 27 36 85 06 92</t>
        </is>
      </c>
      <c r="G615" s="29" t="inlineStr"/>
      <c r="H615" s="29" t="inlineStr"/>
      <c r="I615" s="29" t="inlineStr">
        <is>
          <t>ipexformation@gmail.com</t>
        </is>
      </c>
      <c r="J615" s="29" t="inlineStr"/>
      <c r="K615" s="29" t="inlineStr">
        <is>
          <t>Directeur des Etudes</t>
        </is>
      </c>
      <c r="L615" s="30" t="inlineStr">
        <is>
          <t>Haute</t>
        </is>
      </c>
      <c r="M615" s="29" t="inlineStr">
        <is>
          <t>MESRS - liste officielle grandes ecoles</t>
        </is>
      </c>
      <c r="N615" s="29" t="inlineStr">
        <is>
          <t>gratuite</t>
        </is>
      </c>
      <c r="O615" s="14" t="inlineStr">
        <is>
          <t>a verifier</t>
        </is>
      </c>
      <c r="P615" s="29" t="inlineStr">
        <is>
          <t>commerce</t>
        </is>
      </c>
    </row>
    <row r="616">
      <c r="A616" s="29" t="inlineStr">
        <is>
          <t>ISACM - Institut Superieur des Arts et du Commerce Management</t>
        </is>
      </c>
      <c r="B616" s="29" t="inlineStr">
        <is>
          <t>Ecole superieure</t>
        </is>
      </c>
      <c r="C616" s="29" t="inlineStr">
        <is>
          <t>Prive</t>
        </is>
      </c>
      <c r="D616" s="29" t="inlineStr">
        <is>
          <t>Korhogo</t>
        </is>
      </c>
      <c r="E616" s="29" t="inlineStr"/>
      <c r="F616" s="29" t="inlineStr">
        <is>
          <t>+225 07 09 41 67 27</t>
        </is>
      </c>
      <c r="G616" s="29" t="inlineStr"/>
      <c r="H616" s="29" t="inlineStr">
        <is>
          <t>+225 07 09 41 67 27</t>
        </is>
      </c>
      <c r="I616" s="29" t="inlineStr"/>
      <c r="J616" s="29" t="inlineStr">
        <is>
          <t>isacm-educ.com</t>
        </is>
      </c>
      <c r="K616" s="29" t="inlineStr">
        <is>
          <t>Directeur des Etudes</t>
        </is>
      </c>
      <c r="L616" s="30" t="inlineStr">
        <is>
          <t>Haute</t>
        </is>
      </c>
      <c r="M616" s="29" t="inlineStr">
        <is>
          <t>Site officiel isacm-educ.com + MESRS</t>
        </is>
      </c>
      <c r="N616" s="29" t="inlineStr"/>
      <c r="O616" s="31" t="inlineStr">
        <is>
          <t>sans email</t>
        </is>
      </c>
      <c r="P616" s="29" t="inlineStr">
        <is>
          <t>commerce</t>
        </is>
      </c>
    </row>
    <row r="617">
      <c r="A617" s="29" t="inlineStr">
        <is>
          <t>Universite Peleforo Gon Coulibaly (UPGC)</t>
        </is>
      </c>
      <c r="B617" s="29" t="inlineStr">
        <is>
          <t>Universite publique</t>
        </is>
      </c>
      <c r="C617" s="29" t="inlineStr">
        <is>
          <t>Public</t>
        </is>
      </c>
      <c r="D617" s="29" t="inlineStr">
        <is>
          <t>Korhogo</t>
        </is>
      </c>
      <c r="E617" s="29" t="inlineStr">
        <is>
          <t>Korhogo</t>
        </is>
      </c>
      <c r="F617" s="29" t="inlineStr">
        <is>
          <t>+225 07 48 61 71 14</t>
        </is>
      </c>
      <c r="G617" s="29" t="inlineStr">
        <is>
          <t>+225 01 51 21 56 05</t>
        </is>
      </c>
      <c r="H617" s="29" t="inlineStr"/>
      <c r="I617" s="29" t="inlineStr"/>
      <c r="J617" s="29" t="inlineStr">
        <is>
          <t>univ-pgc.edu.ci</t>
        </is>
      </c>
      <c r="K617" s="29" t="inlineStr">
        <is>
          <t>Directeur des Etudes</t>
        </is>
      </c>
      <c r="L617" s="29" t="inlineStr">
        <is>
          <t>Moyenne</t>
        </is>
      </c>
      <c r="M617" s="29" t="inlineStr">
        <is>
          <t>facebook.com/upgc.edu</t>
        </is>
      </c>
      <c r="N617" s="29" t="inlineStr"/>
      <c r="O617" s="31" t="inlineStr">
        <is>
          <t>sans email</t>
        </is>
      </c>
      <c r="P617" s="29" t="inlineStr">
        <is>
          <t>universite</t>
        </is>
      </c>
    </row>
    <row r="618">
      <c r="A618" s="29" t="inlineStr">
        <is>
          <t>GROUPE D ENSEIGNEMENT SUPERIEUR ET PROFESSIONNEL D AGBE (GESSP) LAKOTA</t>
        </is>
      </c>
      <c r="B618" s="29" t="inlineStr">
        <is>
          <t>Grande ecole BTS - finances comptabilite, gestion commerciale, informatique developpeur d'applications</t>
        </is>
      </c>
      <c r="C618" s="29" t="inlineStr">
        <is>
          <t>Prive</t>
        </is>
      </c>
      <c r="D618" s="29" t="inlineStr">
        <is>
          <t>Lakota</t>
        </is>
      </c>
      <c r="E618" s="29" t="inlineStr"/>
      <c r="F618" s="29" t="inlineStr">
        <is>
          <t>+225 01 01 05 35 63</t>
        </is>
      </c>
      <c r="G618" s="29" t="inlineStr">
        <is>
          <t>+225 07 07 83 78 76</t>
        </is>
      </c>
      <c r="H618" s="29" t="inlineStr">
        <is>
          <t>+225 01 01 05 35 63</t>
        </is>
      </c>
      <c r="I618" s="29" t="inlineStr">
        <is>
          <t>gessplakota@gmail.com</t>
        </is>
      </c>
      <c r="J618" s="29" t="inlineStr"/>
      <c r="K618" s="29" t="inlineStr">
        <is>
          <t>Directeur des Etudes</t>
        </is>
      </c>
      <c r="L618" s="30" t="inlineStr">
        <is>
          <t>Haute</t>
        </is>
      </c>
      <c r="M618" s="29" t="inlineStr">
        <is>
          <t>MESRS - liste officielle grandes ecoles</t>
        </is>
      </c>
      <c r="N618" s="29" t="inlineStr">
        <is>
          <t>gratuite</t>
        </is>
      </c>
      <c r="O618" s="14" t="inlineStr">
        <is>
          <t>a verifier</t>
        </is>
      </c>
      <c r="P618" s="29" t="inlineStr">
        <is>
          <t>commerce</t>
        </is>
      </c>
    </row>
    <row r="619">
      <c r="A619" s="29" t="inlineStr">
        <is>
          <t>GROUPE D'ENSEIGNEMENT SUPERIEUR ET PROFESSIONNEL D'AGBE LAKOTA (GESSP LAKOTA)</t>
        </is>
      </c>
      <c r="B619" s="29" t="inlineStr">
        <is>
          <t>Grande ecole BTS - finances comptabilite, gestion commerciale, informatique developpeur d'applications</t>
        </is>
      </c>
      <c r="C619" s="29" t="inlineStr">
        <is>
          <t>Prive</t>
        </is>
      </c>
      <c r="D619" s="29" t="inlineStr">
        <is>
          <t>Lakota</t>
        </is>
      </c>
      <c r="E619" s="29" t="inlineStr"/>
      <c r="F619" s="29" t="inlineStr"/>
      <c r="G619" s="29" t="inlineStr"/>
      <c r="H619" s="29" t="inlineStr"/>
      <c r="I619" s="29" t="inlineStr"/>
      <c r="J619" s="29" t="inlineStr"/>
      <c r="K619" s="29" t="inlineStr">
        <is>
          <t>Directeur des Etudes</t>
        </is>
      </c>
      <c r="L619" s="30" t="inlineStr">
        <is>
          <t>Haute</t>
        </is>
      </c>
      <c r="M619" s="29" t="inlineStr">
        <is>
          <t>MESRS - liste officielle grandes ecoles</t>
        </is>
      </c>
      <c r="N619" s="29" t="inlineStr"/>
      <c r="O619" s="31" t="inlineStr">
        <is>
          <t>sans email</t>
        </is>
      </c>
      <c r="P619" s="29" t="inlineStr">
        <is>
          <t>commerce</t>
        </is>
      </c>
    </row>
    <row r="620">
      <c r="A620" s="29" t="inlineStr">
        <is>
          <t>INSTITUT REGIONAL SETOH DE LOGOUALE (IRS-LOG)</t>
        </is>
      </c>
      <c r="B620" s="29" t="inlineStr">
        <is>
          <t>Grande ecole BTS - assistanat de direction, electrotechnique, finances comptabilite</t>
        </is>
      </c>
      <c r="C620" s="29" t="inlineStr">
        <is>
          <t>Prive</t>
        </is>
      </c>
      <c r="D620" s="29" t="inlineStr">
        <is>
          <t>Logouale</t>
        </is>
      </c>
      <c r="E620" s="29" t="inlineStr"/>
      <c r="F620" s="29" t="inlineStr">
        <is>
          <t>+225 07 08 97 00 01</t>
        </is>
      </c>
      <c r="G620" s="29" t="inlineStr"/>
      <c r="H620" s="29" t="inlineStr">
        <is>
          <t>+225 07 08 97 00 01</t>
        </is>
      </c>
      <c r="I620" s="29" t="inlineStr"/>
      <c r="J620" s="29" t="inlineStr"/>
      <c r="K620" s="29" t="inlineStr">
        <is>
          <t>Directeur des Etudes</t>
        </is>
      </c>
      <c r="L620" s="30" t="inlineStr">
        <is>
          <t>Haute</t>
        </is>
      </c>
      <c r="M620" s="29" t="inlineStr">
        <is>
          <t>MESRS - liste officielle grandes ecoles</t>
        </is>
      </c>
      <c r="N620" s="29" t="inlineStr"/>
      <c r="O620" s="31" t="inlineStr">
        <is>
          <t>sans email</t>
        </is>
      </c>
      <c r="P620" s="29" t="inlineStr">
        <is>
          <t>commerce</t>
        </is>
      </c>
    </row>
    <row r="621">
      <c r="A621" s="29" t="inlineStr">
        <is>
          <t>INSTITUT FAMAH M'BAHIAKRO (IF M'BAHIAKRO)</t>
        </is>
      </c>
      <c r="B621" s="29" t="inlineStr">
        <is>
          <t>Grande ecole BTS - assistanat de direction, agriculture tropicale, communication visuelle</t>
        </is>
      </c>
      <c r="C621" s="29" t="inlineStr">
        <is>
          <t>Prive</t>
        </is>
      </c>
      <c r="D621" s="29" t="inlineStr">
        <is>
          <t>M'Bahiakro</t>
        </is>
      </c>
      <c r="E621" s="29" t="inlineStr">
        <is>
          <t>QUARTIER ANCIEN ONUCI</t>
        </is>
      </c>
      <c r="F621" s="29" t="inlineStr">
        <is>
          <t>+225 07 79 80 20 77</t>
        </is>
      </c>
      <c r="G621" s="29" t="inlineStr">
        <is>
          <t>+225 05 57 20 01 04</t>
        </is>
      </c>
      <c r="H621" s="29" t="inlineStr">
        <is>
          <t>+225 07 79 80 20 77</t>
        </is>
      </c>
      <c r="I621" s="29" t="inlineStr">
        <is>
          <t>vincentdidia2014@gmail.com</t>
        </is>
      </c>
      <c r="J621" s="29" t="inlineStr">
        <is>
          <t>https://www.uns-if.ci</t>
        </is>
      </c>
      <c r="K621" s="29" t="inlineStr">
        <is>
          <t>Directeur des Etudes</t>
        </is>
      </c>
      <c r="L621" s="30" t="inlineStr">
        <is>
          <t>Haute</t>
        </is>
      </c>
      <c r="M621" s="29" t="inlineStr">
        <is>
          <t>MESRS - liste officielle grandes ecoles</t>
        </is>
      </c>
      <c r="N621" s="29" t="inlineStr">
        <is>
          <t>gratuite</t>
        </is>
      </c>
      <c r="O621" s="14" t="inlineStr">
        <is>
          <t>a verifier</t>
        </is>
      </c>
      <c r="P621" s="29" t="inlineStr">
        <is>
          <t>commerce</t>
        </is>
      </c>
    </row>
    <row r="622">
      <c r="A622" s="29" t="inlineStr">
        <is>
          <t>INSTITUT INTERNATIONAL DE FORMATION EN ENTREPRENEURIAT-2IAE M'BATTO (2IFE-2IAE M'BATTO)</t>
        </is>
      </c>
      <c r="B622" s="29" t="inlineStr">
        <is>
          <t>Grande ecole BTS - agriculture tropicale, finances comptabilite, genie civil</t>
        </is>
      </c>
      <c r="C622" s="29" t="inlineStr">
        <is>
          <t>Prive</t>
        </is>
      </c>
      <c r="D622" s="29" t="inlineStr">
        <is>
          <t>M'Batto</t>
        </is>
      </c>
      <c r="E622" s="29" t="inlineStr">
        <is>
          <t>Quartier cité verte non loin de la SATMACI</t>
        </is>
      </c>
      <c r="F622" s="29" t="inlineStr">
        <is>
          <t>+225 27 22 42 23 03</t>
        </is>
      </c>
      <c r="G622" s="29" t="inlineStr">
        <is>
          <t>+225 07 07 72 09 40</t>
        </is>
      </c>
      <c r="H622" s="29" t="inlineStr">
        <is>
          <t>+225 07 07 72 09 40</t>
        </is>
      </c>
      <c r="I622" s="29" t="inlineStr"/>
      <c r="J622" s="29" t="inlineStr"/>
      <c r="K622" s="29" t="inlineStr">
        <is>
          <t>Directeur des Etudes</t>
        </is>
      </c>
      <c r="L622" s="30" t="inlineStr">
        <is>
          <t>Haute</t>
        </is>
      </c>
      <c r="M622" s="29" t="inlineStr">
        <is>
          <t>MESRS - liste officielle grandes ecoles</t>
        </is>
      </c>
      <c r="N622" s="29" t="inlineStr"/>
      <c r="O622" s="31" t="inlineStr">
        <is>
          <t>sans email</t>
        </is>
      </c>
      <c r="P622" s="29" t="inlineStr">
        <is>
          <t>commerce</t>
        </is>
      </c>
    </row>
    <row r="623">
      <c r="A623" s="29" t="inlineStr">
        <is>
          <t>ECOLE SUPERIEURE GUE PASCAL (ESGP)</t>
        </is>
      </c>
      <c r="B623" s="29" t="inlineStr">
        <is>
          <t>Grande ecole BTS - assistanat de direction, agriculture tropicale, electrotechnique</t>
        </is>
      </c>
      <c r="C623" s="29" t="inlineStr">
        <is>
          <t>Prive</t>
        </is>
      </c>
      <c r="D623" s="29" t="inlineStr">
        <is>
          <t>Man</t>
        </is>
      </c>
      <c r="E623" s="29" t="inlineStr"/>
      <c r="F623" s="29" t="inlineStr"/>
      <c r="G623" s="29" t="inlineStr"/>
      <c r="H623" s="29" t="inlineStr"/>
      <c r="I623" s="29" t="inlineStr"/>
      <c r="J623" s="29" t="inlineStr"/>
      <c r="K623" s="29" t="inlineStr">
        <is>
          <t>Directeur des Etudes</t>
        </is>
      </c>
      <c r="L623" s="30" t="inlineStr">
        <is>
          <t>Haute</t>
        </is>
      </c>
      <c r="M623" s="29" t="inlineStr">
        <is>
          <t>MESRS - liste officielle grandes ecoles</t>
        </is>
      </c>
      <c r="N623" s="29" t="inlineStr"/>
      <c r="O623" s="31" t="inlineStr">
        <is>
          <t>sans email</t>
        </is>
      </c>
      <c r="P623" s="29" t="inlineStr">
        <is>
          <t>commerce</t>
        </is>
      </c>
    </row>
    <row r="624">
      <c r="A624" s="29" t="inlineStr">
        <is>
          <t>INSTITUT D'ENSEIGNEMENT SUPERIEUR LE CAMPUS MAN (IES-LE CAMPUS MAN)</t>
        </is>
      </c>
      <c r="B624" s="29" t="inlineStr">
        <is>
          <t>Grande ecole BTS/Licence - assistanat de direction, agriculture tropicale, electrotechnique</t>
        </is>
      </c>
      <c r="C624" s="29" t="inlineStr">
        <is>
          <t>Prive</t>
        </is>
      </c>
      <c r="D624" s="29" t="inlineStr">
        <is>
          <t>Man</t>
        </is>
      </c>
      <c r="E624" s="29" t="inlineStr">
        <is>
          <t>Quartier Grand Gbapleu à 100m de la scierie CAPENNB</t>
        </is>
      </c>
      <c r="F624" s="29" t="inlineStr">
        <is>
          <t>+225 07 03 91 76 91</t>
        </is>
      </c>
      <c r="G624" s="29" t="inlineStr">
        <is>
          <t>+225 07 57 92 04 98</t>
        </is>
      </c>
      <c r="H624" s="29" t="inlineStr">
        <is>
          <t>+225 07 03 91 76 91</t>
        </is>
      </c>
      <c r="I624" s="29" t="inlineStr">
        <is>
          <t>ieslecampusman@gmail.com</t>
        </is>
      </c>
      <c r="J624" s="29" t="inlineStr"/>
      <c r="K624" s="29" t="inlineStr">
        <is>
          <t>Directeur des Etudes</t>
        </is>
      </c>
      <c r="L624" s="30" t="inlineStr">
        <is>
          <t>Haute</t>
        </is>
      </c>
      <c r="M624" s="29" t="inlineStr">
        <is>
          <t>MESRS - liste officielle grandes ecoles</t>
        </is>
      </c>
      <c r="N624" s="29" t="inlineStr">
        <is>
          <t>gratuite</t>
        </is>
      </c>
      <c r="O624" s="14" t="inlineStr">
        <is>
          <t>a verifier</t>
        </is>
      </c>
      <c r="P624" s="29" t="inlineStr">
        <is>
          <t>commerce</t>
        </is>
      </c>
    </row>
    <row r="625">
      <c r="A625" s="29" t="inlineStr">
        <is>
          <t>INSTITUT DOMORAUD D’ENSEIGNEMENT SUPERIEUR AUX METIERS PROFESSIONNELS ET TECHNIQUES (IDES-MPT)</t>
        </is>
      </c>
      <c r="B625" s="29" t="inlineStr">
        <is>
          <t>Grande ecole BTS - assistanat de direction, finances comptabilite, gestion commerciale</t>
        </is>
      </c>
      <c r="C625" s="29" t="inlineStr">
        <is>
          <t>Prive</t>
        </is>
      </c>
      <c r="D625" s="29" t="inlineStr">
        <is>
          <t>Man</t>
        </is>
      </c>
      <c r="E625" s="29" t="inlineStr">
        <is>
          <t>Quartier Domoraud, en face de CI-ENERGIE.</t>
        </is>
      </c>
      <c r="F625" s="29" t="inlineStr"/>
      <c r="G625" s="29" t="inlineStr"/>
      <c r="H625" s="29" t="inlineStr"/>
      <c r="I625" s="29" t="inlineStr">
        <is>
          <t>idesmpt1997jjd@gmail.com</t>
        </is>
      </c>
      <c r="J625" s="29" t="inlineStr"/>
      <c r="K625" s="29" t="inlineStr">
        <is>
          <t>Directeur des Etudes</t>
        </is>
      </c>
      <c r="L625" s="30" t="inlineStr">
        <is>
          <t>Haute</t>
        </is>
      </c>
      <c r="M625" s="29" t="inlineStr">
        <is>
          <t>MESRS - liste officielle grandes ecoles</t>
        </is>
      </c>
      <c r="N625" s="29" t="inlineStr">
        <is>
          <t>gratuite</t>
        </is>
      </c>
      <c r="O625" s="14" t="inlineStr">
        <is>
          <t>a verifier</t>
        </is>
      </c>
      <c r="P625" s="29" t="inlineStr">
        <is>
          <t>commerce</t>
        </is>
      </c>
    </row>
    <row r="626">
      <c r="A626" s="29" t="inlineStr">
        <is>
          <t>INSTITUT HOTELIER FEH KESSE DE MAN (IHFK MAN)</t>
        </is>
      </c>
      <c r="B626" s="29" t="inlineStr">
        <is>
          <t>Grande ecole BTS - assistanat de direction, agriculture tropicale, electrotechnique</t>
        </is>
      </c>
      <c r="C626" s="29" t="inlineStr">
        <is>
          <t>Prive</t>
        </is>
      </c>
      <c r="D626" s="29" t="inlineStr">
        <is>
          <t>Man</t>
        </is>
      </c>
      <c r="E626" s="29" t="inlineStr">
        <is>
          <t>Quartier Thérèse derrière l’Eglise Catholique, près du Collège privé Académie des Professeurs,</t>
        </is>
      </c>
      <c r="F626" s="29" t="inlineStr">
        <is>
          <t>+225 07 08 16 22 51</t>
        </is>
      </c>
      <c r="G626" s="29" t="inlineStr">
        <is>
          <t>+225 07 19 15 75 20</t>
        </is>
      </c>
      <c r="H626" s="29" t="inlineStr">
        <is>
          <t>+225 07 08 16 22 51</t>
        </is>
      </c>
      <c r="I626" s="29" t="inlineStr">
        <is>
          <t>instituhotelierfehkesse@gmail.com</t>
        </is>
      </c>
      <c r="J626" s="29" t="inlineStr"/>
      <c r="K626" s="29" t="inlineStr">
        <is>
          <t>Directeur des Etudes</t>
        </is>
      </c>
      <c r="L626" s="30" t="inlineStr">
        <is>
          <t>Haute</t>
        </is>
      </c>
      <c r="M626" s="29" t="inlineStr">
        <is>
          <t>MESRS - liste officielle grandes ecoles</t>
        </is>
      </c>
      <c r="N626" s="29" t="inlineStr">
        <is>
          <t>gratuite</t>
        </is>
      </c>
      <c r="O626" s="14" t="inlineStr">
        <is>
          <t>a verifier</t>
        </is>
      </c>
      <c r="P626" s="29" t="inlineStr">
        <is>
          <t>hotellerie</t>
        </is>
      </c>
    </row>
    <row r="627">
      <c r="A627" s="29" t="inlineStr">
        <is>
          <t>INSTITUT SUPERIEUR DES TECHNOLOGIES ET DE MANAGEMENT MAN (ISTM MAN)</t>
        </is>
      </c>
      <c r="B627" s="29" t="inlineStr">
        <is>
          <t>Grande ecole BTS - assistanat de direction, agriculture tropicale, finances comptabilite</t>
        </is>
      </c>
      <c r="C627" s="29" t="inlineStr">
        <is>
          <t>Prive</t>
        </is>
      </c>
      <c r="D627" s="29" t="inlineStr">
        <is>
          <t>Man</t>
        </is>
      </c>
      <c r="E627" s="29" t="inlineStr">
        <is>
          <t>Terminus Lycée Club, située derrière la mosquée du Lycée Club</t>
        </is>
      </c>
      <c r="F627" s="29" t="inlineStr">
        <is>
          <t>+225 05 05 74 25 97</t>
        </is>
      </c>
      <c r="G627" s="29" t="inlineStr">
        <is>
          <t>+225 07 07 55 51 16</t>
        </is>
      </c>
      <c r="H627" s="29" t="inlineStr">
        <is>
          <t>+225 05 05 74 25 97</t>
        </is>
      </c>
      <c r="I627" s="29" t="inlineStr">
        <is>
          <t>istm.man@yahoo.com</t>
        </is>
      </c>
      <c r="J627" s="29" t="inlineStr">
        <is>
          <t>https://www.istm.ci</t>
        </is>
      </c>
      <c r="K627" s="29" t="inlineStr">
        <is>
          <t>Directeur des Etudes</t>
        </is>
      </c>
      <c r="L627" s="30" t="inlineStr">
        <is>
          <t>Haute</t>
        </is>
      </c>
      <c r="M627" s="29" t="inlineStr">
        <is>
          <t>MESRS - liste officielle grandes ecoles</t>
        </is>
      </c>
      <c r="N627" s="29" t="inlineStr">
        <is>
          <t>gratuite</t>
        </is>
      </c>
      <c r="O627" s="14" t="inlineStr">
        <is>
          <t>a verifier</t>
        </is>
      </c>
      <c r="P627" s="29" t="inlineStr">
        <is>
          <t>numerique</t>
        </is>
      </c>
    </row>
    <row r="628">
      <c r="A628" s="29" t="inlineStr">
        <is>
          <t>INSTITUT SUPERIEUR MO BAMBA (ISMB) MAN</t>
        </is>
      </c>
      <c r="B628" s="29" t="inlineStr">
        <is>
          <t>Grande ecole BTS - assistanat de direction, agriculture tropicale, finances comptabilite</t>
        </is>
      </c>
      <c r="C628" s="29" t="inlineStr">
        <is>
          <t>Prive</t>
        </is>
      </c>
      <c r="D628" s="29" t="inlineStr">
        <is>
          <t>Man</t>
        </is>
      </c>
      <c r="E628" s="29" t="inlineStr">
        <is>
          <t>Quartier Libreville près du Dispensaire</t>
        </is>
      </c>
      <c r="F628" s="29" t="inlineStr">
        <is>
          <t>+225 07 19 42 42 42</t>
        </is>
      </c>
      <c r="G628" s="29" t="inlineStr">
        <is>
          <t>+225 27 33 76 84 45</t>
        </is>
      </c>
      <c r="H628" s="29" t="inlineStr">
        <is>
          <t>+225 07 19 42 42 42</t>
        </is>
      </c>
      <c r="I628" s="29" t="inlineStr">
        <is>
          <t>ismbman@gmail.com</t>
        </is>
      </c>
      <c r="J628" s="29" t="inlineStr"/>
      <c r="K628" s="29" t="inlineStr">
        <is>
          <t>Directeur des Etudes</t>
        </is>
      </c>
      <c r="L628" s="30" t="inlineStr">
        <is>
          <t>Haute</t>
        </is>
      </c>
      <c r="M628" s="29" t="inlineStr">
        <is>
          <t>MESRS - liste officielle grandes ecoles</t>
        </is>
      </c>
      <c r="N628" s="29" t="inlineStr">
        <is>
          <t>gratuite</t>
        </is>
      </c>
      <c r="O628" s="14" t="inlineStr">
        <is>
          <t>a verifier</t>
        </is>
      </c>
      <c r="P628" s="29" t="inlineStr">
        <is>
          <t>commerce</t>
        </is>
      </c>
    </row>
    <row r="629">
      <c r="A629" s="29" t="inlineStr">
        <is>
          <t>INSTITUT SUPERIEUR ROBERT DION (ISRD)</t>
        </is>
      </c>
      <c r="B629" s="29" t="inlineStr">
        <is>
          <t>Grande ecole BTS - finances comptabilite, gestion commerciale, informatique developpeur d'applications</t>
        </is>
      </c>
      <c r="C629" s="29" t="inlineStr">
        <is>
          <t>Prive</t>
        </is>
      </c>
      <c r="D629" s="29" t="inlineStr">
        <is>
          <t>Man</t>
        </is>
      </c>
      <c r="E629" s="29" t="inlineStr">
        <is>
          <t>QUARTIER BELLEVILLE</t>
        </is>
      </c>
      <c r="F629" s="29" t="inlineStr">
        <is>
          <t>+225 27 33 79 14 10</t>
        </is>
      </c>
      <c r="G629" s="29" t="inlineStr"/>
      <c r="H629" s="29" t="inlineStr"/>
      <c r="I629" s="29" t="inlineStr"/>
      <c r="J629" s="29" t="inlineStr">
        <is>
          <t>https://www.isuprobertdion.com</t>
        </is>
      </c>
      <c r="K629" s="29" t="inlineStr">
        <is>
          <t>Directeur des Etudes</t>
        </is>
      </c>
      <c r="L629" s="30" t="inlineStr">
        <is>
          <t>Haute</t>
        </is>
      </c>
      <c r="M629" s="29" t="inlineStr">
        <is>
          <t>MESRS - liste officielle grandes ecoles</t>
        </is>
      </c>
      <c r="N629" s="29" t="inlineStr"/>
      <c r="O629" s="31" t="inlineStr">
        <is>
          <t>sans email</t>
        </is>
      </c>
      <c r="P629" s="29" t="inlineStr">
        <is>
          <t>commerce</t>
        </is>
      </c>
    </row>
    <row r="630">
      <c r="A630" s="29" t="inlineStr">
        <is>
          <t>INSTITUT SUPERIEUR SARHAOUM MAN</t>
        </is>
      </c>
      <c r="B630" s="29" t="inlineStr">
        <is>
          <t>Grande ecole BTS - assistanat de direction, electrotechnique, finances comptabilite</t>
        </is>
      </c>
      <c r="C630" s="29" t="inlineStr">
        <is>
          <t>Prive</t>
        </is>
      </c>
      <c r="D630" s="29" t="inlineStr">
        <is>
          <t>Man</t>
        </is>
      </c>
      <c r="E630" s="29" t="inlineStr">
        <is>
          <t>QUARTIER DOMORAUD</t>
        </is>
      </c>
      <c r="F630" s="29" t="inlineStr">
        <is>
          <t>+225 27 33 79 34 59</t>
        </is>
      </c>
      <c r="G630" s="29" t="inlineStr">
        <is>
          <t>+225 07 07 07 32 36</t>
        </is>
      </c>
      <c r="H630" s="29" t="inlineStr">
        <is>
          <t>+225 07 07 07 32 36</t>
        </is>
      </c>
      <c r="I630" s="29" t="inlineStr">
        <is>
          <t>isisarhaoum@gmail.com</t>
        </is>
      </c>
      <c r="J630" s="29" t="inlineStr">
        <is>
          <t>https://www.isisarhaoum.com</t>
        </is>
      </c>
      <c r="K630" s="29" t="inlineStr">
        <is>
          <t>Directeur des Etudes</t>
        </is>
      </c>
      <c r="L630" s="30" t="inlineStr">
        <is>
          <t>Haute</t>
        </is>
      </c>
      <c r="M630" s="29" t="inlineStr">
        <is>
          <t>MESRS - liste officielle grandes ecoles</t>
        </is>
      </c>
      <c r="N630" s="29" t="inlineStr">
        <is>
          <t>gratuite</t>
        </is>
      </c>
      <c r="O630" s="14" t="inlineStr">
        <is>
          <t>a verifier</t>
        </is>
      </c>
      <c r="P630" s="29" t="inlineStr">
        <is>
          <t>commerce</t>
        </is>
      </c>
    </row>
    <row r="631">
      <c r="A631" s="29" t="inlineStr">
        <is>
          <t>INSTIUT SUPÉRIEUR D'ETUDES COMMERCIALES (ISEC MAN)</t>
        </is>
      </c>
      <c r="B631" s="29" t="inlineStr">
        <is>
          <t>Grande ecole BTS - finances comptabilite, gestion commerciale, informatique developpeur d'applications</t>
        </is>
      </c>
      <c r="C631" s="29" t="inlineStr">
        <is>
          <t>Prive</t>
        </is>
      </c>
      <c r="D631" s="29" t="inlineStr">
        <is>
          <t>Man</t>
        </is>
      </c>
      <c r="E631" s="29" t="inlineStr">
        <is>
          <t>QUARTIER AIR FRANCE APRÈS LE LAVAGE</t>
        </is>
      </c>
      <c r="F631" s="29" t="inlineStr">
        <is>
          <t>+225 27 34 77 56 77</t>
        </is>
      </c>
      <c r="G631" s="29" t="inlineStr">
        <is>
          <t>+225 07 88 28 30 29</t>
        </is>
      </c>
      <c r="H631" s="29" t="inlineStr">
        <is>
          <t>+225 07 88 28 30 29</t>
        </is>
      </c>
      <c r="I631" s="29" t="inlineStr">
        <is>
          <t>isecman.info@gmail.com</t>
        </is>
      </c>
      <c r="J631" s="29" t="inlineStr">
        <is>
          <t>https://www.isec.university</t>
        </is>
      </c>
      <c r="K631" s="29" t="inlineStr">
        <is>
          <t>Directeur des Etudes</t>
        </is>
      </c>
      <c r="L631" s="30" t="inlineStr">
        <is>
          <t>Haute</t>
        </is>
      </c>
      <c r="M631" s="29" t="inlineStr">
        <is>
          <t>MESRS - liste officielle grandes ecoles</t>
        </is>
      </c>
      <c r="N631" s="29" t="inlineStr">
        <is>
          <t>gratuite</t>
        </is>
      </c>
      <c r="O631" s="14" t="inlineStr">
        <is>
          <t>a verifier</t>
        </is>
      </c>
      <c r="P631" s="29" t="inlineStr">
        <is>
          <t>commerce</t>
        </is>
      </c>
    </row>
    <row r="632">
      <c r="A632" s="29" t="inlineStr">
        <is>
          <t>ISMT INSTITUT SUPERIEUR DU MONT TONKPI MAN</t>
        </is>
      </c>
      <c r="B632" s="29" t="inlineStr">
        <is>
          <t>Grande ecole BTS -</t>
        </is>
      </c>
      <c r="C632" s="29" t="inlineStr">
        <is>
          <t>Prive</t>
        </is>
      </c>
      <c r="D632" s="29" t="inlineStr">
        <is>
          <t>Man</t>
        </is>
      </c>
      <c r="E632" s="29" t="inlineStr"/>
      <c r="F632" s="29" t="inlineStr"/>
      <c r="G632" s="29" t="inlineStr"/>
      <c r="H632" s="29" t="inlineStr"/>
      <c r="I632" s="29" t="inlineStr"/>
      <c r="J632" s="29" t="inlineStr"/>
      <c r="K632" s="29" t="inlineStr">
        <is>
          <t>Directeur des Etudes</t>
        </is>
      </c>
      <c r="L632" s="30" t="inlineStr">
        <is>
          <t>Haute</t>
        </is>
      </c>
      <c r="M632" s="29" t="inlineStr">
        <is>
          <t>MESRS - liste officielle grandes ecoles</t>
        </is>
      </c>
      <c r="N632" s="29" t="inlineStr"/>
      <c r="O632" s="31" t="inlineStr">
        <is>
          <t>sans email</t>
        </is>
      </c>
      <c r="P632" s="29" t="inlineStr">
        <is>
          <t>defaut</t>
        </is>
      </c>
    </row>
    <row r="633">
      <c r="A633" s="29" t="inlineStr">
        <is>
          <t>ESCAM (ECOLE SUPERIEURE DE COMMERCE, D'ADMINISTRATION ET DE MANAGEMENT) MANKONO</t>
        </is>
      </c>
      <c r="B633" s="29" t="inlineStr">
        <is>
          <t>Grande ecole BTS - finances comptabilite, gestion commerciale, informatique developpeur d'applications</t>
        </is>
      </c>
      <c r="C633" s="29" t="inlineStr">
        <is>
          <t>Prive</t>
        </is>
      </c>
      <c r="D633" s="29" t="inlineStr">
        <is>
          <t>Mankono</t>
        </is>
      </c>
      <c r="E633" s="29" t="inlineStr">
        <is>
          <t>Mankono-Dienedjan Ilot 157 Lots 1367 à 1375. En face du Collège Coumba</t>
        </is>
      </c>
      <c r="F633" s="29" t="inlineStr">
        <is>
          <t>+225 07 07 07 52 15</t>
        </is>
      </c>
      <c r="G633" s="29" t="inlineStr">
        <is>
          <t>+225 05 76 93 09 29</t>
        </is>
      </c>
      <c r="H633" s="29" t="inlineStr">
        <is>
          <t>+225 07 07 07 52 15</t>
        </is>
      </c>
      <c r="I633" s="29" t="inlineStr">
        <is>
          <t>infos@upmankono.edu.ci</t>
        </is>
      </c>
      <c r="J633" s="29" t="inlineStr">
        <is>
          <t>https://www.upmankono.edu.ci</t>
        </is>
      </c>
      <c r="K633" s="29" t="inlineStr">
        <is>
          <t>Directeur des Etudes</t>
        </is>
      </c>
      <c r="L633" s="30" t="inlineStr">
        <is>
          <t>Haute</t>
        </is>
      </c>
      <c r="M633" s="29" t="inlineStr">
        <is>
          <t>MESRS - liste officielle grandes ecoles</t>
        </is>
      </c>
      <c r="N633" s="29" t="inlineStr">
        <is>
          <t>domaine propre</t>
        </is>
      </c>
      <c r="O633" s="14" t="inlineStr">
        <is>
          <t>a verifier</t>
        </is>
      </c>
      <c r="P633" s="29" t="inlineStr">
        <is>
          <t>commerce</t>
        </is>
      </c>
    </row>
    <row r="634">
      <c r="A634" s="29" t="inlineStr">
        <is>
          <t>INSTITUT SUPÉRIEUR AKONDA N'DOUCI (ISAN)</t>
        </is>
      </c>
      <c r="B634" s="29" t="inlineStr">
        <is>
          <t>Grande ecole BTS - assistanat de direction, agriculture tropicale, electrotechnique</t>
        </is>
      </c>
      <c r="C634" s="29" t="inlineStr">
        <is>
          <t>Prive</t>
        </is>
      </c>
      <c r="D634" s="29" t="inlineStr">
        <is>
          <t>N'Douci</t>
        </is>
      </c>
      <c r="E634" s="29" t="inlineStr">
        <is>
          <t>quartier habitat non loin du Lycée Moderne BAD et de l' EPP Commerce</t>
        </is>
      </c>
      <c r="F634" s="29" t="inlineStr">
        <is>
          <t>+225 07 77 16 69 18</t>
        </is>
      </c>
      <c r="G634" s="29" t="inlineStr"/>
      <c r="H634" s="29" t="inlineStr">
        <is>
          <t>+225 07 77 16 69 18</t>
        </is>
      </c>
      <c r="I634" s="29" t="inlineStr">
        <is>
          <t>isan_2019@yahoo.com</t>
        </is>
      </c>
      <c r="J634" s="29" t="inlineStr">
        <is>
          <t>https://www.akonda-ndouci.com</t>
        </is>
      </c>
      <c r="K634" s="29" t="inlineStr">
        <is>
          <t>Directeur des Etudes</t>
        </is>
      </c>
      <c r="L634" s="30" t="inlineStr">
        <is>
          <t>Haute</t>
        </is>
      </c>
      <c r="M634" s="29" t="inlineStr">
        <is>
          <t>MESRS - liste officielle grandes ecoles</t>
        </is>
      </c>
      <c r="N634" s="29" t="inlineStr">
        <is>
          <t>gratuite</t>
        </is>
      </c>
      <c r="O634" s="14" t="inlineStr">
        <is>
          <t>a verifier</t>
        </is>
      </c>
      <c r="P634" s="29" t="inlineStr">
        <is>
          <t>commerce</t>
        </is>
      </c>
    </row>
    <row r="635">
      <c r="A635" s="29" t="inlineStr">
        <is>
          <t>ECOLE DES SPÉCIALITÉS MULTIMÉDIA D'ABIDJAN ODIENNE (ESMA ODIENNÉ)</t>
        </is>
      </c>
      <c r="B635" s="29" t="inlineStr">
        <is>
          <t>Grande ecole BTS - communication visuelle, gestion commerciale, informatique developpeur d'applications</t>
        </is>
      </c>
      <c r="C635" s="29" t="inlineStr">
        <is>
          <t>Prive</t>
        </is>
      </c>
      <c r="D635" s="29" t="inlineStr">
        <is>
          <t>Odienne</t>
        </is>
      </c>
      <c r="E635" s="29" t="inlineStr">
        <is>
          <t>Quartier DAR-ES SALAM</t>
        </is>
      </c>
      <c r="F635" s="29" t="inlineStr">
        <is>
          <t>+225 07 08 59 61 47</t>
        </is>
      </c>
      <c r="G635" s="29" t="inlineStr">
        <is>
          <t>+225 07 49 47 46 64</t>
        </is>
      </c>
      <c r="H635" s="29" t="inlineStr">
        <is>
          <t>+225 07 08 59 61 47</t>
        </is>
      </c>
      <c r="I635" s="29" t="inlineStr">
        <is>
          <t>ousmane.coulibaly@esma-edu.com</t>
        </is>
      </c>
      <c r="J635" s="29" t="inlineStr"/>
      <c r="K635" s="29" t="inlineStr">
        <is>
          <t>Directeur des Etudes</t>
        </is>
      </c>
      <c r="L635" s="30" t="inlineStr">
        <is>
          <t>Haute</t>
        </is>
      </c>
      <c r="M635" s="29" t="inlineStr">
        <is>
          <t>MESRS - liste officielle grandes ecoles</t>
        </is>
      </c>
      <c r="N635" s="29" t="inlineStr">
        <is>
          <t>domaine propre</t>
        </is>
      </c>
      <c r="O635" s="14" t="inlineStr">
        <is>
          <t>a verifier</t>
        </is>
      </c>
      <c r="P635" s="29" t="inlineStr">
        <is>
          <t>communication</t>
        </is>
      </c>
    </row>
    <row r="636">
      <c r="A636" s="29" t="inlineStr">
        <is>
          <t>ECOLE TECHNIQUE INFORMATIQUE ET COMMERCIALE ODIENNE (ETIC ODIENNE)</t>
        </is>
      </c>
      <c r="B636" s="29" t="inlineStr">
        <is>
          <t>Grande ecole BTS - assistanat de direction, agriculture tropicale, finances comptabilite</t>
        </is>
      </c>
      <c r="C636" s="29" t="inlineStr">
        <is>
          <t>Prive</t>
        </is>
      </c>
      <c r="D636" s="29" t="inlineStr">
        <is>
          <t>Odienne</t>
        </is>
      </c>
      <c r="E636" s="29" t="inlineStr"/>
      <c r="F636" s="29" t="inlineStr">
        <is>
          <t>+225 27 35 90 56 06</t>
        </is>
      </c>
      <c r="G636" s="29" t="inlineStr">
        <is>
          <t>+225 07 87 76 72 68</t>
        </is>
      </c>
      <c r="H636" s="29" t="inlineStr">
        <is>
          <t>+225 07 87 76 72 68</t>
        </is>
      </c>
      <c r="I636" s="29" t="inlineStr"/>
      <c r="J636" s="29" t="inlineStr"/>
      <c r="K636" s="29" t="inlineStr">
        <is>
          <t>Directeur des Etudes</t>
        </is>
      </c>
      <c r="L636" s="30" t="inlineStr">
        <is>
          <t>Haute</t>
        </is>
      </c>
      <c r="M636" s="29" t="inlineStr">
        <is>
          <t>MESRS - liste officielle grandes ecoles</t>
        </is>
      </c>
      <c r="N636" s="29" t="inlineStr"/>
      <c r="O636" s="31" t="inlineStr">
        <is>
          <t>sans email</t>
        </is>
      </c>
      <c r="P636" s="29" t="inlineStr">
        <is>
          <t>numerique</t>
        </is>
      </c>
    </row>
    <row r="637">
      <c r="A637" s="29" t="inlineStr">
        <is>
          <t>EIT-NTIC ODIENNE</t>
        </is>
      </c>
      <c r="B637" s="29" t="inlineStr">
        <is>
          <t>Grande ecole BTS - agriculture tropicale, electrotechnique, finances comptabilite</t>
        </is>
      </c>
      <c r="C637" s="29" t="inlineStr">
        <is>
          <t>Prive</t>
        </is>
      </c>
      <c r="D637" s="29" t="inlineStr">
        <is>
          <t>Odienne</t>
        </is>
      </c>
      <c r="E637" s="29" t="inlineStr">
        <is>
          <t>QUARTIER RESIDENTIEL</t>
        </is>
      </c>
      <c r="F637" s="29" t="inlineStr">
        <is>
          <t>+225 27 33 70 82 92</t>
        </is>
      </c>
      <c r="G637" s="29" t="inlineStr"/>
      <c r="H637" s="29" t="inlineStr"/>
      <c r="I637" s="29" t="inlineStr">
        <is>
          <t>eitnticodienne@gmail.com</t>
        </is>
      </c>
      <c r="J637" s="29" t="inlineStr"/>
      <c r="K637" s="29" t="inlineStr">
        <is>
          <t>Directeur des Etudes</t>
        </is>
      </c>
      <c r="L637" s="30" t="inlineStr">
        <is>
          <t>Haute</t>
        </is>
      </c>
      <c r="M637" s="29" t="inlineStr">
        <is>
          <t>MESRS - liste officielle grandes ecoles</t>
        </is>
      </c>
      <c r="N637" s="29" t="inlineStr">
        <is>
          <t>gratuite</t>
        </is>
      </c>
      <c r="O637" s="14" t="inlineStr">
        <is>
          <t>a verifier</t>
        </is>
      </c>
      <c r="P637" s="29" t="inlineStr">
        <is>
          <t>commerce</t>
        </is>
      </c>
    </row>
    <row r="638">
      <c r="A638" s="29" t="inlineStr">
        <is>
          <t>ECOLE SUPERIEURE DE COMMERCE ET D'ADMINISTRATION D'AFRIQUE DE L'OUEST (ESCAO)</t>
        </is>
      </c>
      <c r="B638" s="29" t="inlineStr">
        <is>
          <t>Grande ecole BTS - assistanat de direction, finances comptabilite, gestion commerciale</t>
        </is>
      </c>
      <c r="C638" s="29" t="inlineStr">
        <is>
          <t>Prive</t>
        </is>
      </c>
      <c r="D638" s="29" t="inlineStr">
        <is>
          <t>San Pedro</t>
        </is>
      </c>
      <c r="E638" s="29" t="inlineStr">
        <is>
          <t>cite, carrefour ancienne SIB, au dessus de la PJ</t>
        </is>
      </c>
      <c r="F638" s="29" t="inlineStr">
        <is>
          <t>+225 27 21 74 90 08</t>
        </is>
      </c>
      <c r="G638" s="29" t="inlineStr">
        <is>
          <t>+225 07 08 48 89 02</t>
        </is>
      </c>
      <c r="H638" s="29" t="inlineStr">
        <is>
          <t>+225 07 08 48 89 02</t>
        </is>
      </c>
      <c r="I638" s="29" t="inlineStr"/>
      <c r="J638" s="29" t="inlineStr"/>
      <c r="K638" s="29" t="inlineStr">
        <is>
          <t>Directeur des Etudes</t>
        </is>
      </c>
      <c r="L638" s="30" t="inlineStr">
        <is>
          <t>Haute</t>
        </is>
      </c>
      <c r="M638" s="29" t="inlineStr">
        <is>
          <t>MESRS - liste officielle grandes ecoles</t>
        </is>
      </c>
      <c r="N638" s="29" t="inlineStr"/>
      <c r="O638" s="31" t="inlineStr">
        <is>
          <t>sans email</t>
        </is>
      </c>
      <c r="P638" s="29" t="inlineStr">
        <is>
          <t>commerce</t>
        </is>
      </c>
    </row>
    <row r="639">
      <c r="A639" s="29" t="inlineStr">
        <is>
          <t>ECOLE SUPERIEURE DE GENIE CIVIL DE SAN-PEDRO (ESGC-SP)</t>
        </is>
      </c>
      <c r="B639" s="29" t="inlineStr">
        <is>
          <t>Grande ecole BTS - agriculture tropicale, finances comptabilite, genie civil</t>
        </is>
      </c>
      <c r="C639" s="29" t="inlineStr">
        <is>
          <t>Prive</t>
        </is>
      </c>
      <c r="D639" s="29" t="inlineStr">
        <is>
          <t>San Pedro</t>
        </is>
      </c>
      <c r="E639" s="29" t="inlineStr">
        <is>
          <t>San pedro quartier LAC</t>
        </is>
      </c>
      <c r="F639" s="29" t="inlineStr"/>
      <c r="G639" s="29" t="inlineStr"/>
      <c r="H639" s="29" t="inlineStr"/>
      <c r="I639" s="29" t="inlineStr">
        <is>
          <t>esgcsanpedro@gmail.com</t>
        </is>
      </c>
      <c r="J639" s="29" t="inlineStr"/>
      <c r="K639" s="29" t="inlineStr">
        <is>
          <t>Directeur des Etudes</t>
        </is>
      </c>
      <c r="L639" s="30" t="inlineStr">
        <is>
          <t>Haute</t>
        </is>
      </c>
      <c r="M639" s="29" t="inlineStr">
        <is>
          <t>MESRS - liste officielle grandes ecoles</t>
        </is>
      </c>
      <c r="N639" s="29" t="inlineStr">
        <is>
          <t>gratuite</t>
        </is>
      </c>
      <c r="O639" s="14" t="inlineStr">
        <is>
          <t>a verifier</t>
        </is>
      </c>
      <c r="P639" s="29" t="inlineStr">
        <is>
          <t>btp</t>
        </is>
      </c>
    </row>
    <row r="640">
      <c r="A640" s="29" t="inlineStr">
        <is>
          <t>ETEP - ANNEXE SAN PEDRO</t>
        </is>
      </c>
      <c r="B640" s="29" t="inlineStr">
        <is>
          <t>Grande ecole BTS - agriculture tropicale, communication visuelle, finances comptabilite</t>
        </is>
      </c>
      <c r="C640" s="29" t="inlineStr">
        <is>
          <t>Prive</t>
        </is>
      </c>
      <c r="D640" s="29" t="inlineStr">
        <is>
          <t>San Pedro</t>
        </is>
      </c>
      <c r="E640" s="29" t="inlineStr">
        <is>
          <t>SAN PEDRO</t>
        </is>
      </c>
      <c r="F640" s="29" t="inlineStr">
        <is>
          <t>+225 27 34 71 16 40</t>
        </is>
      </c>
      <c r="G640" s="29" t="inlineStr"/>
      <c r="H640" s="29" t="inlineStr"/>
      <c r="I640" s="29" t="inlineStr">
        <is>
          <t>etep01sanpedro@gmail.com</t>
        </is>
      </c>
      <c r="J640" s="29" t="inlineStr">
        <is>
          <t>https://www.groupetepinter.com</t>
        </is>
      </c>
      <c r="K640" s="29" t="inlineStr">
        <is>
          <t>Directeur des Etudes</t>
        </is>
      </c>
      <c r="L640" s="30" t="inlineStr">
        <is>
          <t>Haute</t>
        </is>
      </c>
      <c r="M640" s="29" t="inlineStr">
        <is>
          <t>MESRS - liste officielle grandes ecoles</t>
        </is>
      </c>
      <c r="N640" s="29" t="inlineStr">
        <is>
          <t>gratuite</t>
        </is>
      </c>
      <c r="O640" s="14" t="inlineStr">
        <is>
          <t>a verifier</t>
        </is>
      </c>
      <c r="P640" s="29" t="inlineStr">
        <is>
          <t>commerce</t>
        </is>
      </c>
    </row>
    <row r="641">
      <c r="A641" s="29" t="inlineStr">
        <is>
          <t>GROUPE ECOLE DES HAUTES ETUDES DE GESTION SAN-PEDRO (GROUPE EDHEG SAN-PEDRO)</t>
        </is>
      </c>
      <c r="B641" s="29" t="inlineStr">
        <is>
          <t>Grande ecole BTS - finances comptabilite, gestion commerciale, industries agro-alimentaires</t>
        </is>
      </c>
      <c r="C641" s="29" t="inlineStr">
        <is>
          <t>Prive</t>
        </is>
      </c>
      <c r="D641" s="29" t="inlineStr">
        <is>
          <t>San Pedro</t>
        </is>
      </c>
      <c r="E641" s="29" t="inlineStr">
        <is>
          <t>SAN PEDRO, QUARTIER NITORO, non loin du glacier et de BUREAU VERITAS</t>
        </is>
      </c>
      <c r="F641" s="29" t="inlineStr">
        <is>
          <t>+225 27 34 71 20 38</t>
        </is>
      </c>
      <c r="G641" s="29" t="inlineStr"/>
      <c r="H641" s="29" t="inlineStr"/>
      <c r="I641" s="29" t="inlineStr">
        <is>
          <t>edhecsanpedro@gmail.com</t>
        </is>
      </c>
      <c r="J641" s="29" t="inlineStr"/>
      <c r="K641" s="29" t="inlineStr">
        <is>
          <t>Directeur des Etudes</t>
        </is>
      </c>
      <c r="L641" s="30" t="inlineStr">
        <is>
          <t>Haute</t>
        </is>
      </c>
      <c r="M641" s="29" t="inlineStr">
        <is>
          <t>MESRS - liste officielle grandes ecoles</t>
        </is>
      </c>
      <c r="N641" s="29" t="inlineStr">
        <is>
          <t>gratuite</t>
        </is>
      </c>
      <c r="O641" s="14" t="inlineStr">
        <is>
          <t>a verifier</t>
        </is>
      </c>
      <c r="P641" s="29" t="inlineStr">
        <is>
          <t>commerce</t>
        </is>
      </c>
    </row>
    <row r="642">
      <c r="A642" s="29" t="inlineStr">
        <is>
          <t>GROUPE ITA-INGENIERIE SA ANTENNE SAN-PEDRO (G2I SAN-PEDRO)</t>
        </is>
      </c>
      <c r="B642" s="29" t="inlineStr">
        <is>
          <t>Grande ecole BTS - assistanat de direction, electrotechnique, finances comptabilite</t>
        </is>
      </c>
      <c r="C642" s="29" t="inlineStr">
        <is>
          <t>Prive</t>
        </is>
      </c>
      <c r="D642" s="29" t="inlineStr">
        <is>
          <t>San Pedro</t>
        </is>
      </c>
      <c r="E642" s="29" t="inlineStr">
        <is>
          <t>Quartier Cité Rue des banques jouxtant l'hôtel la Cité</t>
        </is>
      </c>
      <c r="F642" s="29" t="inlineStr">
        <is>
          <t>+225 27 34 71 02 92</t>
        </is>
      </c>
      <c r="G642" s="29" t="inlineStr">
        <is>
          <t>+225 07 08 83 11 57</t>
        </is>
      </c>
      <c r="H642" s="29" t="inlineStr">
        <is>
          <t>+225 07 08 83 11 57</t>
        </is>
      </c>
      <c r="I642" s="29" t="inlineStr"/>
      <c r="J642" s="29" t="inlineStr">
        <is>
          <t>https://www.ita-education.ci</t>
        </is>
      </c>
      <c r="K642" s="29" t="inlineStr">
        <is>
          <t>Directeur des Etudes</t>
        </is>
      </c>
      <c r="L642" s="30" t="inlineStr">
        <is>
          <t>Haute</t>
        </is>
      </c>
      <c r="M642" s="29" t="inlineStr">
        <is>
          <t>MESRS - liste officielle grandes ecoles</t>
        </is>
      </c>
      <c r="N642" s="29" t="inlineStr"/>
      <c r="O642" s="31" t="inlineStr">
        <is>
          <t>sans email</t>
        </is>
      </c>
      <c r="P642" s="29" t="inlineStr">
        <is>
          <t>commerce</t>
        </is>
      </c>
    </row>
    <row r="643">
      <c r="A643" s="29" t="inlineStr">
        <is>
          <t>GROUPE ONYX EXCELLENCE SAN-PEDRO (GOESP)</t>
        </is>
      </c>
      <c r="B643" s="29" t="inlineStr">
        <is>
          <t>Grande ecole BTS - assistanat de direction, finances comptabilite, gestion commerciale</t>
        </is>
      </c>
      <c r="C643" s="29" t="inlineStr">
        <is>
          <t>Prive</t>
        </is>
      </c>
      <c r="D643" s="29" t="inlineStr">
        <is>
          <t>San Pedro</t>
        </is>
      </c>
      <c r="E643" s="29" t="inlineStr"/>
      <c r="F643" s="29" t="inlineStr">
        <is>
          <t>+225 07 07 31 36 17</t>
        </is>
      </c>
      <c r="G643" s="29" t="inlineStr"/>
      <c r="H643" s="29" t="inlineStr">
        <is>
          <t>+225 07 07 31 36 17</t>
        </is>
      </c>
      <c r="I643" s="29" t="inlineStr"/>
      <c r="J643" s="29" t="inlineStr"/>
      <c r="K643" s="29" t="inlineStr">
        <is>
          <t>Directeur des Etudes</t>
        </is>
      </c>
      <c r="L643" s="30" t="inlineStr">
        <is>
          <t>Haute</t>
        </is>
      </c>
      <c r="M643" s="29" t="inlineStr">
        <is>
          <t>MESRS - liste officielle grandes ecoles</t>
        </is>
      </c>
      <c r="N643" s="29" t="inlineStr"/>
      <c r="O643" s="31" t="inlineStr">
        <is>
          <t>sans email</t>
        </is>
      </c>
      <c r="P643" s="29" t="inlineStr">
        <is>
          <t>commerce</t>
        </is>
      </c>
    </row>
    <row r="644">
      <c r="A644" s="29" t="inlineStr">
        <is>
          <t>HAUTE ECOLE SUPERIEURE D'ADMINISTRATION DE COMMERCE ET DE MANAGEMENT (HT ESACOM)</t>
        </is>
      </c>
      <c r="B644" s="29" t="inlineStr">
        <is>
          <t>Grande ecole BTS - assistanat de direction, agriculture tropicale, finances comptabilite</t>
        </is>
      </c>
      <c r="C644" s="29" t="inlineStr">
        <is>
          <t>Prive</t>
        </is>
      </c>
      <c r="D644" s="29" t="inlineStr">
        <is>
          <t>San Pedro</t>
        </is>
      </c>
      <c r="E644" s="29" t="inlineStr">
        <is>
          <t>Nitoro extension, face Qté SICOGI Mirador</t>
        </is>
      </c>
      <c r="F644" s="29" t="inlineStr">
        <is>
          <t>+225 07 67 46 00 84</t>
        </is>
      </c>
      <c r="G644" s="29" t="inlineStr">
        <is>
          <t>+225 07 47 20 49 36</t>
        </is>
      </c>
      <c r="H644" s="29" t="inlineStr">
        <is>
          <t>+225 07 67 46 00 84</t>
        </is>
      </c>
      <c r="I644" s="29" t="inlineStr">
        <is>
          <t>e.htesacom@gmail.com</t>
        </is>
      </c>
      <c r="J644" s="29" t="inlineStr"/>
      <c r="K644" s="29" t="inlineStr">
        <is>
          <t>Directeur des Etudes</t>
        </is>
      </c>
      <c r="L644" s="30" t="inlineStr">
        <is>
          <t>Haute</t>
        </is>
      </c>
      <c r="M644" s="29" t="inlineStr">
        <is>
          <t>MESRS - liste officielle grandes ecoles</t>
        </is>
      </c>
      <c r="N644" s="29" t="inlineStr">
        <is>
          <t>gratuite</t>
        </is>
      </c>
      <c r="O644" s="14" t="inlineStr">
        <is>
          <t>a verifier</t>
        </is>
      </c>
      <c r="P644" s="29" t="inlineStr">
        <is>
          <t>commerce</t>
        </is>
      </c>
    </row>
    <row r="645">
      <c r="A645" s="29" t="inlineStr">
        <is>
          <t>INSTITUT SUPERIEUR LES CAIMANS-SAN PEDRO (ISC-SAN PEDRO)</t>
        </is>
      </c>
      <c r="B645" s="29" t="inlineStr">
        <is>
          <t>Grande ecole BTS - assistanat de direction, agriculture tropicale, electrotechnique</t>
        </is>
      </c>
      <c r="C645" s="29" t="inlineStr">
        <is>
          <t>Prive</t>
        </is>
      </c>
      <c r="D645" s="29" t="inlineStr">
        <is>
          <t>San Pedro</t>
        </is>
      </c>
      <c r="E645" s="29" t="inlineStr">
        <is>
          <t>Quartier Lac Francophonie, carrefour ONUCI.</t>
        </is>
      </c>
      <c r="F645" s="29" t="inlineStr">
        <is>
          <t>+225 07 08 24 30 13</t>
        </is>
      </c>
      <c r="G645" s="29" t="inlineStr"/>
      <c r="H645" s="29" t="inlineStr">
        <is>
          <t>+225 07 08 24 30 13</t>
        </is>
      </c>
      <c r="I645" s="29" t="inlineStr">
        <is>
          <t>iscsanpedro@gmail.com</t>
        </is>
      </c>
      <c r="J645" s="29" t="inlineStr">
        <is>
          <t>https://www.isc-sanpedro.ci</t>
        </is>
      </c>
      <c r="K645" s="29" t="inlineStr">
        <is>
          <t>Directeur des Etudes</t>
        </is>
      </c>
      <c r="L645" s="30" t="inlineStr">
        <is>
          <t>Haute</t>
        </is>
      </c>
      <c r="M645" s="29" t="inlineStr">
        <is>
          <t>MESRS - liste officielle grandes ecoles</t>
        </is>
      </c>
      <c r="N645" s="29" t="inlineStr">
        <is>
          <t>gratuite</t>
        </is>
      </c>
      <c r="O645" s="14" t="inlineStr">
        <is>
          <t>a verifier</t>
        </is>
      </c>
      <c r="P645" s="29" t="inlineStr">
        <is>
          <t>commerce</t>
        </is>
      </c>
    </row>
    <row r="646">
      <c r="A646" s="29" t="inlineStr">
        <is>
          <t>INSTITUT UNIVERSITAIRE DES SCIENCES DE LA SANTE ET DE L'ENVIRONNEMENT (IUSSE) SAN PEDRO</t>
        </is>
      </c>
      <c r="B646" s="29" t="inlineStr">
        <is>
          <t>Grande ecole BTS/Licence - assistanat de direction, agriculture tropicale, electrotechnique</t>
        </is>
      </c>
      <c r="C646" s="29" t="inlineStr">
        <is>
          <t>Prive</t>
        </is>
      </c>
      <c r="D646" s="29" t="inlineStr">
        <is>
          <t>San Pedro</t>
        </is>
      </c>
      <c r="E646" s="29" t="inlineStr">
        <is>
          <t>QUARTIER CITE PRES DE ESCACC ET DU COLLEGE CLAUDINE AU TRIANGLE</t>
        </is>
      </c>
      <c r="F646" s="29" t="inlineStr">
        <is>
          <t>+225 27 34 71 22 73</t>
        </is>
      </c>
      <c r="G646" s="29" t="inlineStr">
        <is>
          <t>+225 27 34 71 07 08</t>
        </is>
      </c>
      <c r="H646" s="29" t="inlineStr"/>
      <c r="I646" s="29" t="inlineStr">
        <is>
          <t>iusse.sanpedro@gmail.com</t>
        </is>
      </c>
      <c r="J646" s="29" t="inlineStr">
        <is>
          <t>https://www.iussesanpedro-ci.com</t>
        </is>
      </c>
      <c r="K646" s="29" t="inlineStr">
        <is>
          <t>Directeur des Etudes</t>
        </is>
      </c>
      <c r="L646" s="30" t="inlineStr">
        <is>
          <t>Haute</t>
        </is>
      </c>
      <c r="M646" s="29" t="inlineStr">
        <is>
          <t>MESRS - liste officielle grandes ecoles</t>
        </is>
      </c>
      <c r="N646" s="29" t="inlineStr">
        <is>
          <t>gratuite</t>
        </is>
      </c>
      <c r="O646" s="14" t="inlineStr">
        <is>
          <t>a verifier</t>
        </is>
      </c>
      <c r="P646" s="29" t="inlineStr">
        <is>
          <t>sante</t>
        </is>
      </c>
    </row>
    <row r="647">
      <c r="A647" s="29" t="inlineStr">
        <is>
          <t>INTERNATIONAL PROFESSIONNEL INSTITUT (IPI)</t>
        </is>
      </c>
      <c r="B647" s="29" t="inlineStr">
        <is>
          <t>Grande ecole BTS - assistanat de direction, electrotechnique, finances comptabilite</t>
        </is>
      </c>
      <c r="C647" s="29" t="inlineStr">
        <is>
          <t>Prive</t>
        </is>
      </c>
      <c r="D647" s="29" t="inlineStr">
        <is>
          <t>San Pedro</t>
        </is>
      </c>
      <c r="E647" s="29" t="inlineStr">
        <is>
          <t>QUARTIER BALMER</t>
        </is>
      </c>
      <c r="F647" s="29" t="inlineStr">
        <is>
          <t>+225 01 03 73 98 98</t>
        </is>
      </c>
      <c r="G647" s="29" t="inlineStr">
        <is>
          <t>+225 05 85 79 54 54</t>
        </is>
      </c>
      <c r="H647" s="29" t="inlineStr">
        <is>
          <t>+225 01 03 73 98 98</t>
        </is>
      </c>
      <c r="I647" s="29" t="inlineStr">
        <is>
          <t>infos@groupeatlantique.com</t>
        </is>
      </c>
      <c r="J647" s="29" t="inlineStr">
        <is>
          <t>https://www.uatlantique.org</t>
        </is>
      </c>
      <c r="K647" s="29" t="inlineStr">
        <is>
          <t>Directeur des Etudes</t>
        </is>
      </c>
      <c r="L647" s="30" t="inlineStr">
        <is>
          <t>Haute</t>
        </is>
      </c>
      <c r="M647" s="29" t="inlineStr">
        <is>
          <t>MESRS - liste officielle grandes ecoles</t>
        </is>
      </c>
      <c r="N647" s="29" t="inlineStr">
        <is>
          <t>domaine propre</t>
        </is>
      </c>
      <c r="O647" s="14" t="inlineStr">
        <is>
          <t>a verifier</t>
        </is>
      </c>
      <c r="P647" s="29" t="inlineStr">
        <is>
          <t>commerce</t>
        </is>
      </c>
    </row>
    <row r="648">
      <c r="A648" s="29" t="inlineStr">
        <is>
          <t>ESGS San-Pedro - Ecole Superieure de Gestion et des Specialites</t>
        </is>
      </c>
      <c r="B648" s="29" t="inlineStr">
        <is>
          <t>Ecole superieure</t>
        </is>
      </c>
      <c r="C648" s="29" t="inlineStr">
        <is>
          <t>Prive</t>
        </is>
      </c>
      <c r="D648" s="29" t="inlineStr">
        <is>
          <t>San-Pedro</t>
        </is>
      </c>
      <c r="E648" s="29" t="inlineStr">
        <is>
          <t>Quartier Balmer Lot 125 Ilot 9</t>
        </is>
      </c>
      <c r="F648" s="29" t="inlineStr">
        <is>
          <t>+225 07 89 07 07 01</t>
        </is>
      </c>
      <c r="G648" s="29" t="inlineStr">
        <is>
          <t>+225 01 01 01 10 52</t>
        </is>
      </c>
      <c r="H648" s="29" t="inlineStr">
        <is>
          <t>+225 07 89 07 07 01</t>
        </is>
      </c>
      <c r="I648" s="29" t="inlineStr">
        <is>
          <t>bincado.zrangoh@gmail.com</t>
        </is>
      </c>
      <c r="J648" s="29" t="inlineStr">
        <is>
          <t>esgs-ci.com</t>
        </is>
      </c>
      <c r="K648" s="29" t="inlineStr">
        <is>
          <t>Directeur des Etudes</t>
        </is>
      </c>
      <c r="L648" s="30" t="inlineStr">
        <is>
          <t>Haute</t>
        </is>
      </c>
      <c r="M648" s="29" t="inlineStr">
        <is>
          <t>esgs-ci.com + MESRS</t>
        </is>
      </c>
      <c r="N648" s="29" t="inlineStr">
        <is>
          <t>gratuite</t>
        </is>
      </c>
      <c r="O648" s="14" t="inlineStr">
        <is>
          <t>a verifier</t>
        </is>
      </c>
      <c r="P648" s="29" t="inlineStr">
        <is>
          <t>commerce</t>
        </is>
      </c>
    </row>
    <row r="649">
      <c r="A649" s="29" t="inlineStr">
        <is>
          <t>Universite Polytechnique de San-Pedro (USP)</t>
        </is>
      </c>
      <c r="B649" s="29" t="inlineStr">
        <is>
          <t>Universite publique</t>
        </is>
      </c>
      <c r="C649" s="29" t="inlineStr">
        <is>
          <t>Public</t>
        </is>
      </c>
      <c r="D649" s="29" t="inlineStr">
        <is>
          <t>San-Pedro</t>
        </is>
      </c>
      <c r="E649" s="29" t="inlineStr">
        <is>
          <t>BP 1800 San-Pedro</t>
        </is>
      </c>
      <c r="F649" s="29" t="inlineStr">
        <is>
          <t>+225 05 06 88 56 46</t>
        </is>
      </c>
      <c r="G649" s="29" t="inlineStr">
        <is>
          <t>+225 27 34 70 12 84</t>
        </is>
      </c>
      <c r="H649" s="29" t="inlineStr"/>
      <c r="I649" s="29" t="inlineStr">
        <is>
          <t>informations@usp.edu.ci</t>
        </is>
      </c>
      <c r="J649" s="29" t="inlineStr">
        <is>
          <t>usp.edu.ci</t>
        </is>
      </c>
      <c r="K649" s="29" t="inlineStr">
        <is>
          <t>Directeur des Etudes</t>
        </is>
      </c>
      <c r="L649" s="30" t="inlineStr">
        <is>
          <t>Haute</t>
        </is>
      </c>
      <c r="M649" s="29" t="inlineStr">
        <is>
          <t>Site officiel usp.edu.ci</t>
        </is>
      </c>
      <c r="N649" s="29" t="inlineStr">
        <is>
          <t>domaine propre</t>
        </is>
      </c>
      <c r="O649" s="30" t="inlineStr">
        <is>
          <t>valide</t>
        </is>
      </c>
      <c r="P649" s="29" t="inlineStr">
        <is>
          <t>universite</t>
        </is>
      </c>
    </row>
    <row r="650">
      <c r="A650" s="29" t="inlineStr">
        <is>
          <t>EPHESE TECHNOLOGIE SASSANDRA</t>
        </is>
      </c>
      <c r="B650" s="29" t="inlineStr">
        <is>
          <t>Grande ecole BTS - agriculture tropicale, finances comptabilite, gestion commerciale</t>
        </is>
      </c>
      <c r="C650" s="29" t="inlineStr">
        <is>
          <t>Prive</t>
        </is>
      </c>
      <c r="D650" s="29" t="inlineStr">
        <is>
          <t>Sassandra</t>
        </is>
      </c>
      <c r="E650" s="29" t="inlineStr">
        <is>
          <t>Quartier 17 villas palmeraie, à 50m du siège de Conseil Régional.</t>
        </is>
      </c>
      <c r="F650" s="29" t="inlineStr">
        <is>
          <t>+225 07 07 21 74 44</t>
        </is>
      </c>
      <c r="G650" s="29" t="inlineStr">
        <is>
          <t>+225 07 07 56 57 51</t>
        </is>
      </c>
      <c r="H650" s="29" t="inlineStr">
        <is>
          <t>+225 07 07 21 74 44</t>
        </is>
      </c>
      <c r="I650" s="29" t="inlineStr">
        <is>
          <t>isj.sa.sassandra@gmail.com</t>
        </is>
      </c>
      <c r="J650" s="29" t="inlineStr">
        <is>
          <t>https://isj-sassandra.com</t>
        </is>
      </c>
      <c r="K650" s="29" t="inlineStr">
        <is>
          <t>Directeur des Etudes</t>
        </is>
      </c>
      <c r="L650" s="30" t="inlineStr">
        <is>
          <t>Haute</t>
        </is>
      </c>
      <c r="M650" s="29" t="inlineStr">
        <is>
          <t>MESRS - liste officielle grandes ecoles</t>
        </is>
      </c>
      <c r="N650" s="29" t="inlineStr">
        <is>
          <t>gratuite</t>
        </is>
      </c>
      <c r="O650" s="14" t="inlineStr">
        <is>
          <t>a verifier</t>
        </is>
      </c>
      <c r="P650" s="29" t="inlineStr">
        <is>
          <t>numerique</t>
        </is>
      </c>
    </row>
    <row r="651">
      <c r="A651" s="29" t="inlineStr">
        <is>
          <t>Institut Supérieur Kouadio Bozambo (ISKB) SASSANDRA</t>
        </is>
      </c>
      <c r="B651" s="29" t="inlineStr">
        <is>
          <t>Grande ecole BTS - assistanat de direction, agriculture tropicale, finances comptabilite</t>
        </is>
      </c>
      <c r="C651" s="29" t="inlineStr">
        <is>
          <t>Prive</t>
        </is>
      </c>
      <c r="D651" s="29" t="inlineStr">
        <is>
          <t>Sassandra</t>
        </is>
      </c>
      <c r="E651" s="29" t="inlineStr">
        <is>
          <t>Quartier groudou, à 500 m de la Sous-préfcture.</t>
        </is>
      </c>
      <c r="F651" s="29" t="inlineStr">
        <is>
          <t>+225 07 03 41 49 53</t>
        </is>
      </c>
      <c r="G651" s="29" t="inlineStr">
        <is>
          <t>+225 01 60 21 05 08</t>
        </is>
      </c>
      <c r="H651" s="29" t="inlineStr">
        <is>
          <t>+225 07 03 41 49 53</t>
        </is>
      </c>
      <c r="I651" s="29" t="inlineStr">
        <is>
          <t>iskbsassandra@gmail.com</t>
        </is>
      </c>
      <c r="J651" s="29" t="inlineStr"/>
      <c r="K651" s="29" t="inlineStr">
        <is>
          <t>Directeur des Etudes</t>
        </is>
      </c>
      <c r="L651" s="30" t="inlineStr">
        <is>
          <t>Haute</t>
        </is>
      </c>
      <c r="M651" s="29" t="inlineStr">
        <is>
          <t>MESRS - liste officielle grandes ecoles</t>
        </is>
      </c>
      <c r="N651" s="29" t="inlineStr">
        <is>
          <t>gratuite</t>
        </is>
      </c>
      <c r="O651" s="14" t="inlineStr">
        <is>
          <t>a verifier</t>
        </is>
      </c>
      <c r="P651" s="29" t="inlineStr">
        <is>
          <t>commerce</t>
        </is>
      </c>
    </row>
    <row r="652">
      <c r="A652" s="29" t="inlineStr">
        <is>
          <t>ECOLE DE L'ENTREPRENEURIAT ET DE TECHNOLOGIES (2ET)</t>
        </is>
      </c>
      <c r="B652" s="29" t="inlineStr">
        <is>
          <t>Grande ecole BTS - assistanat de direction, finances comptabilite, gestion commerciale</t>
        </is>
      </c>
      <c r="C652" s="29" t="inlineStr">
        <is>
          <t>Prive</t>
        </is>
      </c>
      <c r="D652" s="29" t="inlineStr">
        <is>
          <t>Seguela</t>
        </is>
      </c>
      <c r="E652" s="29" t="inlineStr">
        <is>
          <t>Quartier résidentiel près de l'ancienne base ONUCI</t>
        </is>
      </c>
      <c r="F652" s="29" t="inlineStr">
        <is>
          <t>+225 07 08 89 24 11</t>
        </is>
      </c>
      <c r="G652" s="29" t="inlineStr">
        <is>
          <t>+225 05 04 49 81 21</t>
        </is>
      </c>
      <c r="H652" s="29" t="inlineStr">
        <is>
          <t>+225 07 08 89 24 11</t>
        </is>
      </c>
      <c r="I652" s="29" t="inlineStr">
        <is>
          <t>info@2et.edu.ci</t>
        </is>
      </c>
      <c r="J652" s="29" t="inlineStr">
        <is>
          <t>http://www.2et.edu.ci</t>
        </is>
      </c>
      <c r="K652" s="29" t="inlineStr">
        <is>
          <t>Directeur des Etudes</t>
        </is>
      </c>
      <c r="L652" s="30" t="inlineStr">
        <is>
          <t>Haute</t>
        </is>
      </c>
      <c r="M652" s="29" t="inlineStr">
        <is>
          <t>MESRS - liste officielle grandes ecoles</t>
        </is>
      </c>
      <c r="N652" s="29" t="inlineStr">
        <is>
          <t>domaine propre</t>
        </is>
      </c>
      <c r="O652" s="14" t="inlineStr">
        <is>
          <t>a verifier</t>
        </is>
      </c>
      <c r="P652" s="29" t="inlineStr">
        <is>
          <t>numerique</t>
        </is>
      </c>
    </row>
    <row r="653">
      <c r="A653" s="29" t="inlineStr">
        <is>
          <t>ISNO SEGUELA</t>
        </is>
      </c>
      <c r="B653" s="29" t="inlineStr">
        <is>
          <t>Grande ecole BTS - finances comptabilite, gestion commerciale, informatique developpeur d'applications</t>
        </is>
      </c>
      <c r="C653" s="29" t="inlineStr">
        <is>
          <t>Prive</t>
        </is>
      </c>
      <c r="D653" s="29" t="inlineStr">
        <is>
          <t>Seguela</t>
        </is>
      </c>
      <c r="E653" s="29" t="inlineStr">
        <is>
          <t>SEGUELA</t>
        </is>
      </c>
      <c r="F653" s="29" t="inlineStr">
        <is>
          <t>+225 27 32 74 03 85</t>
        </is>
      </c>
      <c r="G653" s="29" t="inlineStr">
        <is>
          <t>+225 27 32 74 03 87</t>
        </is>
      </c>
      <c r="H653" s="29" t="inlineStr"/>
      <c r="I653" s="29" t="inlineStr">
        <is>
          <t>ladjifonde@gmail.com</t>
        </is>
      </c>
      <c r="J653" s="29" t="inlineStr"/>
      <c r="K653" s="29" t="inlineStr">
        <is>
          <t>Directeur des Etudes</t>
        </is>
      </c>
      <c r="L653" s="30" t="inlineStr">
        <is>
          <t>Haute</t>
        </is>
      </c>
      <c r="M653" s="29" t="inlineStr">
        <is>
          <t>MESRS - liste officielle grandes ecoles</t>
        </is>
      </c>
      <c r="N653" s="29" t="inlineStr">
        <is>
          <t>gratuite</t>
        </is>
      </c>
      <c r="O653" s="14" t="inlineStr">
        <is>
          <t>a verifier</t>
        </is>
      </c>
      <c r="P653" s="29" t="inlineStr">
        <is>
          <t>commerce</t>
        </is>
      </c>
    </row>
    <row r="654">
      <c r="A654" s="29" t="inlineStr">
        <is>
          <t>Institut Supérieur d'Administration de Gestion de Technologie de Songon (ISAGT) (ISAGTS)</t>
        </is>
      </c>
      <c r="B654" s="29" t="inlineStr">
        <is>
          <t>Grande ecole BTS - moteur, finances comptabilite, genie civil</t>
        </is>
      </c>
      <c r="C654" s="29" t="inlineStr">
        <is>
          <t>Prive</t>
        </is>
      </c>
      <c r="D654" s="29" t="inlineStr">
        <is>
          <t>Songon</t>
        </is>
      </c>
      <c r="E654" s="29" t="inlineStr">
        <is>
          <t>SONGON d'agbé au CARREFOUR JACQUEVILLE</t>
        </is>
      </c>
      <c r="F654" s="29" t="inlineStr"/>
      <c r="G654" s="29" t="inlineStr"/>
      <c r="H654" s="29" t="inlineStr"/>
      <c r="I654" s="29" t="inlineStr">
        <is>
          <t>infos@isagts.com</t>
        </is>
      </c>
      <c r="J654" s="29" t="inlineStr">
        <is>
          <t>https://www.isagts.com</t>
        </is>
      </c>
      <c r="K654" s="29" t="inlineStr">
        <is>
          <t>Directeur des Etudes</t>
        </is>
      </c>
      <c r="L654" s="30" t="inlineStr">
        <is>
          <t>Haute</t>
        </is>
      </c>
      <c r="M654" s="29" t="inlineStr">
        <is>
          <t>MESRS - liste officielle grandes ecoles</t>
        </is>
      </c>
      <c r="N654" s="29" t="inlineStr">
        <is>
          <t>domaine propre</t>
        </is>
      </c>
      <c r="O654" s="14" t="inlineStr">
        <is>
          <t>a verifier</t>
        </is>
      </c>
      <c r="P654" s="29" t="inlineStr">
        <is>
          <t>numerique</t>
        </is>
      </c>
    </row>
    <row r="655">
      <c r="A655" s="29" t="inlineStr">
        <is>
          <t>SONGON DIGITAL BRIDGE INSTITUTE (SDBI)</t>
        </is>
      </c>
      <c r="B655" s="29" t="inlineStr">
        <is>
          <t>Grande ecole BTS/Licence - assistanat de direction, finances comptabilite, genie civil</t>
        </is>
      </c>
      <c r="C655" s="29" t="inlineStr">
        <is>
          <t>Prive</t>
        </is>
      </c>
      <c r="D655" s="29" t="inlineStr">
        <is>
          <t>Songon</t>
        </is>
      </c>
      <c r="E655" s="29" t="inlineStr">
        <is>
          <t>CARREFOUR JACQUEVILLE FACE AU COLLEGE MODERNE</t>
        </is>
      </c>
      <c r="F655" s="29" t="inlineStr">
        <is>
          <t>+225 07 77 09 09 40</t>
        </is>
      </c>
      <c r="G655" s="29" t="inlineStr">
        <is>
          <t>+225 05 66 66 22 48</t>
        </is>
      </c>
      <c r="H655" s="29" t="inlineStr">
        <is>
          <t>+225 07 77 09 09 40</t>
        </is>
      </c>
      <c r="I655" s="29" t="inlineStr"/>
      <c r="J655" s="29" t="inlineStr"/>
      <c r="K655" s="29" t="inlineStr">
        <is>
          <t>Directeur des Etudes</t>
        </is>
      </c>
      <c r="L655" s="30" t="inlineStr">
        <is>
          <t>Haute</t>
        </is>
      </c>
      <c r="M655" s="29" t="inlineStr">
        <is>
          <t>MESRS - liste officielle grandes ecoles</t>
        </is>
      </c>
      <c r="N655" s="29" t="inlineStr"/>
      <c r="O655" s="31" t="inlineStr">
        <is>
          <t>sans email</t>
        </is>
      </c>
      <c r="P655" s="29" t="inlineStr">
        <is>
          <t>numerique</t>
        </is>
      </c>
    </row>
    <row r="656">
      <c r="A656" s="29" t="inlineStr">
        <is>
          <t>UNIHTEC ACADEMY - UNIVERS DES HAUTES TECHNOLOGIES</t>
        </is>
      </c>
      <c r="B656" s="29" t="inlineStr">
        <is>
          <t>Grande ecole BTS - finances comptabilite, gestion commerciale, logistique</t>
        </is>
      </c>
      <c r="C656" s="29" t="inlineStr">
        <is>
          <t>Prive</t>
        </is>
      </c>
      <c r="D656" s="29" t="inlineStr">
        <is>
          <t>Songon</t>
        </is>
      </c>
      <c r="E656" s="29" t="inlineStr">
        <is>
          <t>SONGON ABADJIN D'OUME</t>
        </is>
      </c>
      <c r="F656" s="29" t="inlineStr">
        <is>
          <t>+225 07 57 02 49 32</t>
        </is>
      </c>
      <c r="G656" s="29" t="inlineStr">
        <is>
          <t>+225 05 46 11 62 57</t>
        </is>
      </c>
      <c r="H656" s="29" t="inlineStr">
        <is>
          <t>+225 07 57 02 49 32</t>
        </is>
      </c>
      <c r="I656" s="29" t="inlineStr">
        <is>
          <t>unihtecacademy@gmail.com</t>
        </is>
      </c>
      <c r="J656" s="29" t="inlineStr">
        <is>
          <t>https://www.unihtec-ci.com</t>
        </is>
      </c>
      <c r="K656" s="29" t="inlineStr">
        <is>
          <t>Directeur des Etudes</t>
        </is>
      </c>
      <c r="L656" s="30" t="inlineStr">
        <is>
          <t>Haute</t>
        </is>
      </c>
      <c r="M656" s="29" t="inlineStr">
        <is>
          <t>MESRS - liste officielle grandes ecoles</t>
        </is>
      </c>
      <c r="N656" s="29" t="inlineStr">
        <is>
          <t>gratuite</t>
        </is>
      </c>
      <c r="O656" s="14" t="inlineStr">
        <is>
          <t>a verifier</t>
        </is>
      </c>
      <c r="P656" s="29" t="inlineStr">
        <is>
          <t>numerique</t>
        </is>
      </c>
    </row>
    <row r="657">
      <c r="A657" s="29" t="inlineStr">
        <is>
          <t>GROUPE DE FORMATION EN COMMERCE ET GESTION DES ENTREPRISES (CGE) SOUBRE</t>
        </is>
      </c>
      <c r="B657" s="29" t="inlineStr">
        <is>
          <t>Grande ecole BTS - assistanat de direction, agriculture tropicale, finances comptabilite</t>
        </is>
      </c>
      <c r="C657" s="29" t="inlineStr">
        <is>
          <t>Prive</t>
        </is>
      </c>
      <c r="D657" s="29" t="inlineStr">
        <is>
          <t>Soubre</t>
        </is>
      </c>
      <c r="E657" s="29" t="inlineStr">
        <is>
          <t>QUARTIER SOUBOUO ROUTE GABON EN FACE DE L ESPACE MARACANA</t>
        </is>
      </c>
      <c r="F657" s="29" t="inlineStr">
        <is>
          <t>+225 27 21 77 09 11</t>
        </is>
      </c>
      <c r="G657" s="29" t="inlineStr">
        <is>
          <t>+225 07 57 79 27 51</t>
        </is>
      </c>
      <c r="H657" s="29" t="inlineStr">
        <is>
          <t>+225 07 57 79 27 51</t>
        </is>
      </c>
      <c r="I657" s="29" t="inlineStr">
        <is>
          <t>groupecgesoubre@yahoo.com</t>
        </is>
      </c>
      <c r="J657" s="29" t="inlineStr"/>
      <c r="K657" s="29" t="inlineStr">
        <is>
          <t>Directeur des Etudes</t>
        </is>
      </c>
      <c r="L657" s="30" t="inlineStr">
        <is>
          <t>Haute</t>
        </is>
      </c>
      <c r="M657" s="29" t="inlineStr">
        <is>
          <t>MESRS - liste officielle grandes ecoles</t>
        </is>
      </c>
      <c r="N657" s="29" t="inlineStr">
        <is>
          <t>gratuite</t>
        </is>
      </c>
      <c r="O657" s="14" t="inlineStr">
        <is>
          <t>a verifier</t>
        </is>
      </c>
      <c r="P657" s="29" t="inlineStr">
        <is>
          <t>commerce</t>
        </is>
      </c>
    </row>
    <row r="658">
      <c r="A658" s="29" t="inlineStr">
        <is>
          <t>GROUPE INTELLECT FORMATION DE SOUBRE (GIFS)</t>
        </is>
      </c>
      <c r="B658" s="29" t="inlineStr">
        <is>
          <t>Grande ecole BTS - assistanat de direction, finances comptabilite, gestion commerciale</t>
        </is>
      </c>
      <c r="C658" s="29" t="inlineStr">
        <is>
          <t>Prive</t>
        </is>
      </c>
      <c r="D658" s="29" t="inlineStr">
        <is>
          <t>Soubre</t>
        </is>
      </c>
      <c r="E658" s="29" t="inlineStr">
        <is>
          <t>quartier commerce, entre l'espace DONWHAI et le grand Marché</t>
        </is>
      </c>
      <c r="F658" s="29" t="inlineStr">
        <is>
          <t>+225 07 78 23 57 69</t>
        </is>
      </c>
      <c r="G658" s="29" t="inlineStr"/>
      <c r="H658" s="29" t="inlineStr">
        <is>
          <t>+225 07 78 23 57 69</t>
        </is>
      </c>
      <c r="I658" s="29" t="inlineStr">
        <is>
          <t>gifs@gmail.com</t>
        </is>
      </c>
      <c r="J658" s="29" t="inlineStr"/>
      <c r="K658" s="29" t="inlineStr">
        <is>
          <t>Directeur des Etudes</t>
        </is>
      </c>
      <c r="L658" s="30" t="inlineStr">
        <is>
          <t>Haute</t>
        </is>
      </c>
      <c r="M658" s="29" t="inlineStr">
        <is>
          <t>MESRS - liste officielle grandes ecoles</t>
        </is>
      </c>
      <c r="N658" s="29" t="inlineStr">
        <is>
          <t>gratuite</t>
        </is>
      </c>
      <c r="O658" s="14" t="inlineStr">
        <is>
          <t>a verifier</t>
        </is>
      </c>
      <c r="P658" s="29" t="inlineStr">
        <is>
          <t>commerce</t>
        </is>
      </c>
    </row>
    <row r="659">
      <c r="A659" s="29" t="inlineStr">
        <is>
          <t>SUP'INTER TIASSALE</t>
        </is>
      </c>
      <c r="B659" s="29" t="inlineStr">
        <is>
          <t>Grande ecole BTS - assistanat de direction, agriculture tropicale, finances comptabilite</t>
        </is>
      </c>
      <c r="C659" s="29" t="inlineStr">
        <is>
          <t>Prive</t>
        </is>
      </c>
      <c r="D659" s="29" t="inlineStr">
        <is>
          <t>Tiassale</t>
        </is>
      </c>
      <c r="E659" s="29" t="inlineStr">
        <is>
          <t>Non loin du foyer des jeunes de TIASSALÉ</t>
        </is>
      </c>
      <c r="F659" s="29" t="inlineStr">
        <is>
          <t>+225 07 18 59 55 95</t>
        </is>
      </c>
      <c r="G659" s="29" t="inlineStr">
        <is>
          <t>+225 05 85 23 54 55</t>
        </is>
      </c>
      <c r="H659" s="29" t="inlineStr">
        <is>
          <t>+225 07 18 59 55 95</t>
        </is>
      </c>
      <c r="I659" s="29" t="inlineStr">
        <is>
          <t>sup.intertiassale23@gmail.com</t>
        </is>
      </c>
      <c r="J659" s="29" t="inlineStr"/>
      <c r="K659" s="29" t="inlineStr">
        <is>
          <t>Directeur des Etudes</t>
        </is>
      </c>
      <c r="L659" s="30" t="inlineStr">
        <is>
          <t>Haute</t>
        </is>
      </c>
      <c r="M659" s="29" t="inlineStr">
        <is>
          <t>MESRS - liste officielle grandes ecoles</t>
        </is>
      </c>
      <c r="N659" s="29" t="inlineStr">
        <is>
          <t>gratuite</t>
        </is>
      </c>
      <c r="O659" s="14" t="inlineStr">
        <is>
          <t>a verifier</t>
        </is>
      </c>
      <c r="P659" s="29" t="inlineStr">
        <is>
          <t>commerce</t>
        </is>
      </c>
    </row>
    <row r="660">
      <c r="A660" s="29" t="inlineStr">
        <is>
          <t>ACADEMIE INTERNATIONALE DES SCIENCES ET TECHNIQUES TOUMODI (AIST TOUMODI)</t>
        </is>
      </c>
      <c r="B660" s="29" t="inlineStr">
        <is>
          <t>Grande ecole BTS - agriculture tropicale, finances comptabilite, genie civil</t>
        </is>
      </c>
      <c r="C660" s="29" t="inlineStr">
        <is>
          <t>Prive</t>
        </is>
      </c>
      <c r="D660" s="29" t="inlineStr">
        <is>
          <t>Toumodi</t>
        </is>
      </c>
      <c r="E660" s="29" t="inlineStr"/>
      <c r="F660" s="29" t="inlineStr"/>
      <c r="G660" s="29" t="inlineStr"/>
      <c r="H660" s="29" t="inlineStr"/>
      <c r="I660" s="29" t="inlineStr">
        <is>
          <t>aistacademie@yahoo.fr</t>
        </is>
      </c>
      <c r="J660" s="29" t="inlineStr"/>
      <c r="K660" s="29" t="inlineStr">
        <is>
          <t>Directeur des Etudes</t>
        </is>
      </c>
      <c r="L660" s="30" t="inlineStr">
        <is>
          <t>Haute</t>
        </is>
      </c>
      <c r="M660" s="29" t="inlineStr">
        <is>
          <t>MESRS - liste officielle grandes ecoles</t>
        </is>
      </c>
      <c r="N660" s="29" t="inlineStr">
        <is>
          <t>gratuite</t>
        </is>
      </c>
      <c r="O660" s="14" t="inlineStr">
        <is>
          <t>a verifier</t>
        </is>
      </c>
      <c r="P660" s="29" t="inlineStr">
        <is>
          <t>commerce</t>
        </is>
      </c>
    </row>
    <row r="661">
      <c r="A661" s="29" t="inlineStr">
        <is>
          <t>ECOLE REGIONALE DE L'ECONOMIE, DU COMMERCE ET DE L'AGRICULTURE (ERECA)</t>
        </is>
      </c>
      <c r="B661" s="29" t="inlineStr">
        <is>
          <t>Grande ecole BTS - assistanat de direction, electrotechnique, finances comptabilite</t>
        </is>
      </c>
      <c r="C661" s="29" t="inlineStr">
        <is>
          <t>Prive</t>
        </is>
      </c>
      <c r="D661" s="29" t="inlineStr">
        <is>
          <t>Toumodi</t>
        </is>
      </c>
      <c r="E661" s="29" t="inlineStr"/>
      <c r="F661" s="29" t="inlineStr">
        <is>
          <t>+225 07 07 07 59 59</t>
        </is>
      </c>
      <c r="G661" s="29" t="inlineStr"/>
      <c r="H661" s="29" t="inlineStr">
        <is>
          <t>+225 07 07 07 59 59</t>
        </is>
      </c>
      <c r="I661" s="29" t="inlineStr"/>
      <c r="J661" s="29" t="inlineStr"/>
      <c r="K661" s="29" t="inlineStr">
        <is>
          <t>Directeur des Etudes</t>
        </is>
      </c>
      <c r="L661" s="30" t="inlineStr">
        <is>
          <t>Haute</t>
        </is>
      </c>
      <c r="M661" s="29" t="inlineStr">
        <is>
          <t>MESRS - liste officielle grandes ecoles</t>
        </is>
      </c>
      <c r="N661" s="29" t="inlineStr"/>
      <c r="O661" s="31" t="inlineStr">
        <is>
          <t>sans email</t>
        </is>
      </c>
      <c r="P661" s="29" t="inlineStr">
        <is>
          <t>agro</t>
        </is>
      </c>
    </row>
    <row r="662">
      <c r="A662" s="29" t="inlineStr">
        <is>
          <t>INSTITUT SUPERIEUR N GOTTA DE TOUMODI (INST TOUMODI)</t>
        </is>
      </c>
      <c r="B662" s="29" t="inlineStr">
        <is>
          <t>Grande ecole BTS - assistanat de direction, agriculture tropicale, finances comptabilite</t>
        </is>
      </c>
      <c r="C662" s="29" t="inlineStr">
        <is>
          <t>Prive</t>
        </is>
      </c>
      <c r="D662" s="29" t="inlineStr">
        <is>
          <t>Toumodi</t>
        </is>
      </c>
      <c r="E662" s="29" t="inlineStr">
        <is>
          <t>QUARTIER ZAHER NON LOIN ROND POINT</t>
        </is>
      </c>
      <c r="F662" s="29" t="inlineStr">
        <is>
          <t>+225 27 21 78 94 66</t>
        </is>
      </c>
      <c r="G662" s="29" t="inlineStr">
        <is>
          <t>+225 07 08 39 03 37</t>
        </is>
      </c>
      <c r="H662" s="29" t="inlineStr">
        <is>
          <t>+225 07 08 39 03 37</t>
        </is>
      </c>
      <c r="I662" s="29" t="inlineStr"/>
      <c r="J662" s="29" t="inlineStr"/>
      <c r="K662" s="29" t="inlineStr">
        <is>
          <t>Directeur des Etudes</t>
        </is>
      </c>
      <c r="L662" s="30" t="inlineStr">
        <is>
          <t>Haute</t>
        </is>
      </c>
      <c r="M662" s="29" t="inlineStr">
        <is>
          <t>MESRS - liste officielle grandes ecoles</t>
        </is>
      </c>
      <c r="N662" s="29" t="inlineStr"/>
      <c r="O662" s="31" t="inlineStr">
        <is>
          <t>sans email</t>
        </is>
      </c>
      <c r="P662" s="29" t="inlineStr">
        <is>
          <t>commerce</t>
        </is>
      </c>
    </row>
    <row r="663">
      <c r="A663" s="29" t="inlineStr">
        <is>
          <t>INSTITUT SUPERIEUR N'GOTTA TOUMODI (ISNT)</t>
        </is>
      </c>
      <c r="B663" s="29" t="inlineStr">
        <is>
          <t>Grande ecole BTS - assistanat de direction, agriculture tropicale, finances comptabilite</t>
        </is>
      </c>
      <c r="C663" s="29" t="inlineStr">
        <is>
          <t>Prive</t>
        </is>
      </c>
      <c r="D663" s="29" t="inlineStr">
        <is>
          <t>Toumodi</t>
        </is>
      </c>
      <c r="E663" s="29" t="inlineStr"/>
      <c r="F663" s="29" t="inlineStr"/>
      <c r="G663" s="29" t="inlineStr"/>
      <c r="H663" s="29" t="inlineStr"/>
      <c r="I663" s="29" t="inlineStr"/>
      <c r="J663" s="29" t="inlineStr"/>
      <c r="K663" s="29" t="inlineStr">
        <is>
          <t>Directeur des Etudes</t>
        </is>
      </c>
      <c r="L663" s="30" t="inlineStr">
        <is>
          <t>Haute</t>
        </is>
      </c>
      <c r="M663" s="29" t="inlineStr">
        <is>
          <t>MESRS - liste officielle grandes ecoles</t>
        </is>
      </c>
      <c r="N663" s="29" t="inlineStr"/>
      <c r="O663" s="31" t="inlineStr">
        <is>
          <t>sans email</t>
        </is>
      </c>
      <c r="P663" s="29" t="inlineStr">
        <is>
          <t>commerce</t>
        </is>
      </c>
    </row>
    <row r="664">
      <c r="A664" s="29" t="inlineStr">
        <is>
          <t>ECOLE SUPERIEURE DES AFFAIRES COMMERCIALES ET DE COMPTABILITE (ESACC VAVOUA)</t>
        </is>
      </c>
      <c r="B664" s="29" t="inlineStr">
        <is>
          <t>Grande ecole BTS - assistanat de direction, agriculture tropicale, communication visuelle</t>
        </is>
      </c>
      <c r="C664" s="29" t="inlineStr">
        <is>
          <t>Prive</t>
        </is>
      </c>
      <c r="D664" s="29" t="inlineStr">
        <is>
          <t>Vavoua</t>
        </is>
      </c>
      <c r="E664" s="29" t="inlineStr">
        <is>
          <t>Quartier energie</t>
        </is>
      </c>
      <c r="F664" s="29" t="inlineStr">
        <is>
          <t>+225 07 07 86 14 92</t>
        </is>
      </c>
      <c r="G664" s="29" t="inlineStr">
        <is>
          <t>+225 07 08 98 58 69</t>
        </is>
      </c>
      <c r="H664" s="29" t="inlineStr">
        <is>
          <t>+225 07 07 86 14 92</t>
        </is>
      </c>
      <c r="I664" s="29" t="inlineStr">
        <is>
          <t>esaccvavoua2020@gmail.com</t>
        </is>
      </c>
      <c r="J664" s="29" t="inlineStr"/>
      <c r="K664" s="29" t="inlineStr">
        <is>
          <t>Directeur des Etudes</t>
        </is>
      </c>
      <c r="L664" s="30" t="inlineStr">
        <is>
          <t>Haute</t>
        </is>
      </c>
      <c r="M664" s="29" t="inlineStr">
        <is>
          <t>MESRS - liste officielle grandes ecoles</t>
        </is>
      </c>
      <c r="N664" s="29" t="inlineStr">
        <is>
          <t>gratuite</t>
        </is>
      </c>
      <c r="O664" s="14" t="inlineStr">
        <is>
          <t>a verifier</t>
        </is>
      </c>
      <c r="P664" s="29" t="inlineStr">
        <is>
          <t>commerce</t>
        </is>
      </c>
    </row>
    <row r="665">
      <c r="A665" s="29" t="inlineStr">
        <is>
          <t>CENTRE POLYTECHNIQUE DU CENTRE YAMOUSSOUKRO (CPC)</t>
        </is>
      </c>
      <c r="B665" s="29" t="inlineStr">
        <is>
          <t>Grande ecole BTS - assistanat de direction, finances comptabilite, gestion commerciale</t>
        </is>
      </c>
      <c r="C665" s="29" t="inlineStr">
        <is>
          <t>Prive</t>
        </is>
      </c>
      <c r="D665" s="29" t="inlineStr">
        <is>
          <t>Yamoussoukro</t>
        </is>
      </c>
      <c r="E665" s="29" t="inlineStr">
        <is>
          <t>HABITAT CARREFOUR ASSABOU</t>
        </is>
      </c>
      <c r="F665" s="29" t="inlineStr">
        <is>
          <t>+225 27 30 64 22 62</t>
        </is>
      </c>
      <c r="G665" s="29" t="inlineStr"/>
      <c r="H665" s="29" t="inlineStr"/>
      <c r="I665" s="29" t="inlineStr">
        <is>
          <t>cpcyamoussoukro@yahoo.fr</t>
        </is>
      </c>
      <c r="J665" s="29" t="inlineStr">
        <is>
          <t>https://cpcyamoussoukro.net</t>
        </is>
      </c>
      <c r="K665" s="29" t="inlineStr">
        <is>
          <t>Directeur des Etudes</t>
        </is>
      </c>
      <c r="L665" s="30" t="inlineStr">
        <is>
          <t>Haute</t>
        </is>
      </c>
      <c r="M665" s="29" t="inlineStr">
        <is>
          <t>MESRS - liste officielle grandes ecoles</t>
        </is>
      </c>
      <c r="N665" s="29" t="inlineStr">
        <is>
          <t>gratuite</t>
        </is>
      </c>
      <c r="O665" s="14" t="inlineStr">
        <is>
          <t>a verifier</t>
        </is>
      </c>
      <c r="P665" s="29" t="inlineStr">
        <is>
          <t>ingenieur</t>
        </is>
      </c>
    </row>
    <row r="666">
      <c r="A666" s="29" t="inlineStr">
        <is>
          <t>College Heleis Yamoussoukro</t>
        </is>
      </c>
      <c r="B666" s="29" t="inlineStr">
        <is>
          <t>College-lycee prive avec filieres techniques</t>
        </is>
      </c>
      <c r="C666" s="29" t="inlineStr">
        <is>
          <t>Prive</t>
        </is>
      </c>
      <c r="D666" s="29" t="inlineStr">
        <is>
          <t>Yamoussoukro</t>
        </is>
      </c>
      <c r="E666" s="29" t="inlineStr">
        <is>
          <t>Yamoussoukro</t>
        </is>
      </c>
      <c r="F666" s="29" t="inlineStr">
        <is>
          <t>+225 27 30 64 77 33</t>
        </is>
      </c>
      <c r="G666" s="29" t="inlineStr"/>
      <c r="H666" s="29" t="inlineStr"/>
      <c r="I666" s="29" t="inlineStr">
        <is>
          <t>collegeheleis@hotmail.fr</t>
        </is>
      </c>
      <c r="J666" s="29" t="inlineStr">
        <is>
          <t>collegeheleis.com</t>
        </is>
      </c>
      <c r="K666" s="29" t="inlineStr">
        <is>
          <t>Proviseur / Censeur</t>
        </is>
      </c>
      <c r="L666" s="29" t="inlineStr">
        <is>
          <t>Moyenne</t>
        </is>
      </c>
      <c r="M666" s="29" t="inlineStr">
        <is>
          <t>collegeheleis.com</t>
        </is>
      </c>
      <c r="N666" s="29" t="inlineStr">
        <is>
          <t>gratuite</t>
        </is>
      </c>
      <c r="O666" s="30" t="inlineStr">
        <is>
          <t>valide</t>
        </is>
      </c>
      <c r="P666" s="29" t="inlineStr">
        <is>
          <t>lycee</t>
        </is>
      </c>
    </row>
    <row r="667">
      <c r="A667" s="29" t="inlineStr">
        <is>
          <t>ECOLE POLYTECHNIQUE INTERNATIONALE DE YAMOUSSOUKRO (EPI-YAKRO)</t>
        </is>
      </c>
      <c r="B667" s="29" t="inlineStr">
        <is>
          <t>Grande ecole BTS - moteur, assistanat de direction, agriculture tropicale</t>
        </is>
      </c>
      <c r="C667" s="29" t="inlineStr">
        <is>
          <t>Prive</t>
        </is>
      </c>
      <c r="D667" s="29" t="inlineStr">
        <is>
          <t>Yamoussoukro</t>
        </is>
      </c>
      <c r="E667" s="29" t="inlineStr">
        <is>
          <t>QUARTIER MILLIONNAIRE</t>
        </is>
      </c>
      <c r="F667" s="29" t="inlineStr">
        <is>
          <t>+225 07 07 10 07 81</t>
        </is>
      </c>
      <c r="G667" s="29" t="inlineStr">
        <is>
          <t>+225 01 40 43 40 66</t>
        </is>
      </c>
      <c r="H667" s="29" t="inlineStr">
        <is>
          <t>+225 07 07 10 07 81</t>
        </is>
      </c>
      <c r="I667" s="29" t="inlineStr"/>
      <c r="J667" s="29" t="inlineStr"/>
      <c r="K667" s="29" t="inlineStr">
        <is>
          <t>Directeur des Etudes</t>
        </is>
      </c>
      <c r="L667" s="30" t="inlineStr">
        <is>
          <t>Haute</t>
        </is>
      </c>
      <c r="M667" s="29" t="inlineStr">
        <is>
          <t>MESRS - liste officielle grandes ecoles</t>
        </is>
      </c>
      <c r="N667" s="29" t="inlineStr"/>
      <c r="O667" s="31" t="inlineStr">
        <is>
          <t>sans email</t>
        </is>
      </c>
      <c r="P667" s="29" t="inlineStr">
        <is>
          <t>ingenieur</t>
        </is>
      </c>
    </row>
    <row r="668">
      <c r="A668" s="29" t="inlineStr">
        <is>
          <t>ECOLE SPECIALE DU BATIMENT ET DES TRAVAUX PUBLICS YAMOUSSOUKRO (ESBTP YAMOUSSOUKRO)</t>
        </is>
      </c>
      <c r="B668" s="29" t="inlineStr">
        <is>
          <t>Grande ecole BTS - genie civil, mines geologie, urbanisme</t>
        </is>
      </c>
      <c r="C668" s="29" t="inlineStr">
        <is>
          <t>Prive</t>
        </is>
      </c>
      <c r="D668" s="29" t="inlineStr">
        <is>
          <t>Yamoussoukro</t>
        </is>
      </c>
      <c r="E668" s="29" t="inlineStr"/>
      <c r="F668" s="29" t="inlineStr">
        <is>
          <t>+225 27 30 64 39 93</t>
        </is>
      </c>
      <c r="G668" s="29" t="inlineStr"/>
      <c r="H668" s="29" t="inlineStr"/>
      <c r="I668" s="29" t="inlineStr">
        <is>
          <t>esbtpre@gmail.com</t>
        </is>
      </c>
      <c r="J668" s="29" t="inlineStr"/>
      <c r="K668" s="29" t="inlineStr">
        <is>
          <t>Directeur des Etudes</t>
        </is>
      </c>
      <c r="L668" s="30" t="inlineStr">
        <is>
          <t>Haute</t>
        </is>
      </c>
      <c r="M668" s="29" t="inlineStr">
        <is>
          <t>MESRS - liste officielle grandes ecoles</t>
        </is>
      </c>
      <c r="N668" s="29" t="inlineStr">
        <is>
          <t>gratuite</t>
        </is>
      </c>
      <c r="O668" s="14" t="inlineStr">
        <is>
          <t>a verifier</t>
        </is>
      </c>
      <c r="P668" s="29" t="inlineStr">
        <is>
          <t>btp</t>
        </is>
      </c>
    </row>
    <row r="669">
      <c r="A669" s="29" t="inlineStr">
        <is>
          <t>ECOLE SUPERIEURE DE L'ENSEIGNEMENT TECHNIQUE ET COMMERCIAL YAMOUSSOUKRO (ESETEC YAMOUSSOUKRO)</t>
        </is>
      </c>
      <c r="B669" s="29" t="inlineStr">
        <is>
          <t>Grande ecole BTS/Licence - assistanat de direction, agriculture tropicale, electrotechnique</t>
        </is>
      </c>
      <c r="C669" s="29" t="inlineStr">
        <is>
          <t>Prive</t>
        </is>
      </c>
      <c r="D669" s="29" t="inlineStr">
        <is>
          <t>Yamoussoukro</t>
        </is>
      </c>
      <c r="E669" s="29" t="inlineStr">
        <is>
          <t>Dans le dos du CAFOP, après le château d'eau.</t>
        </is>
      </c>
      <c r="F669" s="29" t="inlineStr">
        <is>
          <t>+225 07 07 86 73 38</t>
        </is>
      </c>
      <c r="G669" s="29" t="inlineStr">
        <is>
          <t>+225 27 30 64 78 64</t>
        </is>
      </c>
      <c r="H669" s="29" t="inlineStr">
        <is>
          <t>+225 07 07 86 73 38</t>
        </is>
      </c>
      <c r="I669" s="29" t="inlineStr">
        <is>
          <t>alla.ahui@gmail.com</t>
        </is>
      </c>
      <c r="J669" s="29" t="inlineStr">
        <is>
          <t>https://www.esetec-ci.com</t>
        </is>
      </c>
      <c r="K669" s="29" t="inlineStr">
        <is>
          <t>Directeur des Etudes</t>
        </is>
      </c>
      <c r="L669" s="30" t="inlineStr">
        <is>
          <t>Haute</t>
        </is>
      </c>
      <c r="M669" s="29" t="inlineStr">
        <is>
          <t>MESRS - liste officielle grandes ecoles</t>
        </is>
      </c>
      <c r="N669" s="29" t="inlineStr">
        <is>
          <t>gratuite</t>
        </is>
      </c>
      <c r="O669" s="14" t="inlineStr">
        <is>
          <t>a verifier</t>
        </is>
      </c>
      <c r="P669" s="29" t="inlineStr">
        <is>
          <t>commerce</t>
        </is>
      </c>
    </row>
    <row r="670">
      <c r="A670" s="29" t="inlineStr">
        <is>
          <t>ESAM Yamoussoukro - Ecole Superieure des Affaires et du Management</t>
        </is>
      </c>
      <c r="B670" s="29" t="inlineStr">
        <is>
          <t>Ecole superieure</t>
        </is>
      </c>
      <c r="C670" s="29" t="inlineStr">
        <is>
          <t>Prive</t>
        </is>
      </c>
      <c r="D670" s="29" t="inlineStr">
        <is>
          <t>Yamoussoukro</t>
        </is>
      </c>
      <c r="E670" s="29" t="inlineStr">
        <is>
          <t>BP 2581 Yamoussoukro</t>
        </is>
      </c>
      <c r="F670" s="29" t="inlineStr">
        <is>
          <t>+225 27 30 64 20 42</t>
        </is>
      </c>
      <c r="G670" s="29" t="inlineStr">
        <is>
          <t>+225 27 30 64 27 64</t>
        </is>
      </c>
      <c r="H670" s="29" t="inlineStr"/>
      <c r="I670" s="29" t="inlineStr">
        <is>
          <t>edkyao@yahoo.fr</t>
        </is>
      </c>
      <c r="J670" s="29" t="inlineStr">
        <is>
          <t>https://hppts://www.groupeesam.com</t>
        </is>
      </c>
      <c r="K670" s="29" t="inlineStr">
        <is>
          <t>Directeur des Etudes (par campus)</t>
        </is>
      </c>
      <c r="L670" s="30" t="inlineStr">
        <is>
          <t>Haute</t>
        </is>
      </c>
      <c r="M670" s="29" t="inlineStr">
        <is>
          <t>AnnuaireCI + MESRS</t>
        </is>
      </c>
      <c r="N670" s="29" t="inlineStr">
        <is>
          <t>gratuite</t>
        </is>
      </c>
      <c r="O670" s="14" t="inlineStr">
        <is>
          <t>a verifier</t>
        </is>
      </c>
      <c r="P670" s="29" t="inlineStr">
        <is>
          <t>commerce</t>
        </is>
      </c>
    </row>
    <row r="671">
      <c r="A671" s="29" t="inlineStr">
        <is>
          <t>ESETEC - Ecole Superieure de l'Enseignement Technique et Commercial</t>
        </is>
      </c>
      <c r="B671" s="29" t="inlineStr">
        <is>
          <t>Ecole superieure technique et commerciale</t>
        </is>
      </c>
      <c r="C671" s="29" t="inlineStr">
        <is>
          <t>Prive</t>
        </is>
      </c>
      <c r="D671" s="29" t="inlineStr">
        <is>
          <t>Yamoussoukro</t>
        </is>
      </c>
      <c r="E671" s="29" t="inlineStr">
        <is>
          <t>Quartier Habitat pres de la PMI BP 2464</t>
        </is>
      </c>
      <c r="F671" s="29" t="inlineStr">
        <is>
          <t>+225 07 07 86 73 38</t>
        </is>
      </c>
      <c r="G671" s="29" t="inlineStr">
        <is>
          <t>+225 07 07 03 70 04</t>
        </is>
      </c>
      <c r="H671" s="29" t="inlineStr"/>
      <c r="I671" s="29" t="inlineStr"/>
      <c r="J671" s="29" t="inlineStr">
        <is>
          <t>esetec.ci</t>
        </is>
      </c>
      <c r="K671" s="29" t="inlineStr">
        <is>
          <t>Directeur des Etudes</t>
        </is>
      </c>
      <c r="L671" s="29" t="inlineStr">
        <is>
          <t>Moyenne</t>
        </is>
      </c>
      <c r="M671" s="29" t="inlineStr">
        <is>
          <t>AnnuaireCI</t>
        </is>
      </c>
      <c r="N671" s="29" t="inlineStr"/>
      <c r="O671" s="31" t="inlineStr">
        <is>
          <t>sans email</t>
        </is>
      </c>
      <c r="P671" s="29" t="inlineStr">
        <is>
          <t>defaut</t>
        </is>
      </c>
    </row>
    <row r="672">
      <c r="A672" s="29" t="inlineStr">
        <is>
          <t>ESGS Yamoussoukro - Ecole Superieure de Gestion et des Specialites</t>
        </is>
      </c>
      <c r="B672" s="29" t="inlineStr">
        <is>
          <t>Ecole superieure</t>
        </is>
      </c>
      <c r="C672" s="29" t="inlineStr">
        <is>
          <t>Prive</t>
        </is>
      </c>
      <c r="D672" s="29" t="inlineStr">
        <is>
          <t>Yamoussoukro</t>
        </is>
      </c>
      <c r="E672" s="29" t="inlineStr">
        <is>
          <t>YAMOUSSOUKRO QUARTIER MILLIONNAIRE DERRIÈRE LE COLLÈGE ÉDEN</t>
        </is>
      </c>
      <c r="F672" s="29" t="inlineStr">
        <is>
          <t>+225 07 89 07 07 01</t>
        </is>
      </c>
      <c r="G672" s="29" t="inlineStr"/>
      <c r="H672" s="29" t="inlineStr">
        <is>
          <t>+225 07 88 64 80 99</t>
        </is>
      </c>
      <c r="I672" s="29" t="inlineStr">
        <is>
          <t>esgsyakro@gmail.com</t>
        </is>
      </c>
      <c r="J672" s="29" t="inlineStr">
        <is>
          <t>esgs-ci.com</t>
        </is>
      </c>
      <c r="K672" s="29" t="inlineStr">
        <is>
          <t>Directeur des Etudes</t>
        </is>
      </c>
      <c r="L672" s="30" t="inlineStr">
        <is>
          <t>Haute</t>
        </is>
      </c>
      <c r="M672" s="29" t="inlineStr">
        <is>
          <t>esgs-ci.com (antenne) + MESRS</t>
        </is>
      </c>
      <c r="N672" s="29" t="inlineStr">
        <is>
          <t>gratuite</t>
        </is>
      </c>
      <c r="O672" s="14" t="inlineStr">
        <is>
          <t>a verifier</t>
        </is>
      </c>
      <c r="P672" s="29" t="inlineStr">
        <is>
          <t>commerce</t>
        </is>
      </c>
    </row>
    <row r="673">
      <c r="A673" s="29" t="inlineStr">
        <is>
          <t>ETS SAGUIDIBA (ECOLE TECHNIQUE SUPERIEURE SAGUIDIBA) YAKRO</t>
        </is>
      </c>
      <c r="B673" s="29" t="inlineStr">
        <is>
          <t>Grande ecole BTS - finances comptabilite, gestion commerciale, ressources humaines</t>
        </is>
      </c>
      <c r="C673" s="29" t="inlineStr">
        <is>
          <t>Prive</t>
        </is>
      </c>
      <c r="D673" s="29" t="inlineStr">
        <is>
          <t>Yamoussoukro</t>
        </is>
      </c>
      <c r="E673" s="29" t="inlineStr">
        <is>
          <t>Yakro</t>
        </is>
      </c>
      <c r="F673" s="29" t="inlineStr"/>
      <c r="G673" s="29" t="inlineStr"/>
      <c r="H673" s="29" t="inlineStr"/>
      <c r="I673" s="29" t="inlineStr">
        <is>
          <t>ladjifonde@gmail.com</t>
        </is>
      </c>
      <c r="J673" s="29" t="inlineStr"/>
      <c r="K673" s="29" t="inlineStr">
        <is>
          <t>Directeur des Etudes</t>
        </is>
      </c>
      <c r="L673" s="30" t="inlineStr">
        <is>
          <t>Haute</t>
        </is>
      </c>
      <c r="M673" s="29" t="inlineStr">
        <is>
          <t>MESRS - liste officielle grandes ecoles</t>
        </is>
      </c>
      <c r="N673" s="29" t="inlineStr">
        <is>
          <t>gratuite</t>
        </is>
      </c>
      <c r="O673" s="14" t="inlineStr">
        <is>
          <t>a verifier</t>
        </is>
      </c>
      <c r="P673" s="29" t="inlineStr">
        <is>
          <t>commerce</t>
        </is>
      </c>
    </row>
    <row r="674">
      <c r="A674" s="29" t="inlineStr">
        <is>
          <t>GISTECOM - INSTITUT SUPERIEUR TECHNIQUE ET COMMERCIAL YAMOUSSOUKRO</t>
        </is>
      </c>
      <c r="B674" s="29" t="inlineStr">
        <is>
          <t>Grande ecole BTS - assistanat de direction, agriculture tropicale, finances comptabilite</t>
        </is>
      </c>
      <c r="C674" s="29" t="inlineStr">
        <is>
          <t>Prive</t>
        </is>
      </c>
      <c r="D674" s="29" t="inlineStr">
        <is>
          <t>Yamoussoukro</t>
        </is>
      </c>
      <c r="E674" s="29" t="inlineStr">
        <is>
          <t>DERRIERE LA DREN DE YAMOUSSOUKRO APRES LA CITÉ MARLY</t>
        </is>
      </c>
      <c r="F674" s="29" t="inlineStr">
        <is>
          <t>+225 07 58 42 42 34</t>
        </is>
      </c>
      <c r="G674" s="29" t="inlineStr">
        <is>
          <t>+225 01 73 88 43 99</t>
        </is>
      </c>
      <c r="H674" s="29" t="inlineStr">
        <is>
          <t>+225 07 58 42 42 34</t>
        </is>
      </c>
      <c r="I674" s="29" t="inlineStr"/>
      <c r="J674" s="29" t="inlineStr"/>
      <c r="K674" s="29" t="inlineStr">
        <is>
          <t>Directeur des Etudes</t>
        </is>
      </c>
      <c r="L674" s="30" t="inlineStr">
        <is>
          <t>Haute</t>
        </is>
      </c>
      <c r="M674" s="29" t="inlineStr">
        <is>
          <t>MESRS - liste officielle grandes ecoles</t>
        </is>
      </c>
      <c r="N674" s="29" t="inlineStr"/>
      <c r="O674" s="31" t="inlineStr">
        <is>
          <t>sans email</t>
        </is>
      </c>
      <c r="P674" s="29" t="inlineStr">
        <is>
          <t>commerce</t>
        </is>
      </c>
    </row>
    <row r="675">
      <c r="A675" s="29" t="inlineStr">
        <is>
          <t>HAUTES ETUDES DE COMMERCE ET D'ADMINISTRATION DES ENTREPRISES YAMOUSSOUKRO (HEC-AD YAMOUSSOUKRO)</t>
        </is>
      </c>
      <c r="B675" s="29" t="inlineStr">
        <is>
          <t>Grande ecole BTS - assistanat de direction, finances comptabilite, gestion commerciale</t>
        </is>
      </c>
      <c r="C675" s="29" t="inlineStr">
        <is>
          <t>Prive</t>
        </is>
      </c>
      <c r="D675" s="29" t="inlineStr">
        <is>
          <t>Yamoussoukro</t>
        </is>
      </c>
      <c r="E675" s="29" t="inlineStr">
        <is>
          <t>YAMOUSSOUKRO SUR L’AXE ASSABOU -33LGTS EN FACE DU CENTRE DIOCESAIN</t>
        </is>
      </c>
      <c r="F675" s="29" t="inlineStr">
        <is>
          <t>+225 07 09 17 76 75</t>
        </is>
      </c>
      <c r="G675" s="29" t="inlineStr">
        <is>
          <t>+225 07 88 71 74 88</t>
        </is>
      </c>
      <c r="H675" s="29" t="inlineStr">
        <is>
          <t>+225 07 09 17 76 75</t>
        </is>
      </c>
      <c r="I675" s="29" t="inlineStr">
        <is>
          <t>assabou@yahoo.com</t>
        </is>
      </c>
      <c r="J675" s="29" t="inlineStr">
        <is>
          <t>https://www.hec-ad.com</t>
        </is>
      </c>
      <c r="K675" s="29" t="inlineStr">
        <is>
          <t>Directeur des Etudes</t>
        </is>
      </c>
      <c r="L675" s="30" t="inlineStr">
        <is>
          <t>Haute</t>
        </is>
      </c>
      <c r="M675" s="29" t="inlineStr">
        <is>
          <t>MESRS - liste officielle grandes ecoles</t>
        </is>
      </c>
      <c r="N675" s="29" t="inlineStr">
        <is>
          <t>gratuite</t>
        </is>
      </c>
      <c r="O675" s="14" t="inlineStr">
        <is>
          <t>a verifier</t>
        </is>
      </c>
      <c r="P675" s="29" t="inlineStr">
        <is>
          <t>commerce</t>
        </is>
      </c>
    </row>
    <row r="676">
      <c r="A676" s="29" t="inlineStr">
        <is>
          <t>HEC-AD N'ZUESSY YAMOUSSOUKRO</t>
        </is>
      </c>
      <c r="B676" s="29" t="inlineStr">
        <is>
          <t>Grande ecole BTS - assistanat de direction, electrotechnique, finances comptabilite</t>
        </is>
      </c>
      <c r="C676" s="29" t="inlineStr">
        <is>
          <t>Prive</t>
        </is>
      </c>
      <c r="D676" s="29" t="inlineStr">
        <is>
          <t>Yamoussoukro</t>
        </is>
      </c>
      <c r="E676" s="29" t="inlineStr">
        <is>
          <t>AMOUSSOUKRO SUR L’AXE ASSABOU -33LGTS EN FACE DU CENTRE DIOCESAIN</t>
        </is>
      </c>
      <c r="F676" s="29" t="inlineStr">
        <is>
          <t>+225 07 09 17 76 75</t>
        </is>
      </c>
      <c r="G676" s="29" t="inlineStr">
        <is>
          <t>+225 07 88 71 74 88</t>
        </is>
      </c>
      <c r="H676" s="29" t="inlineStr">
        <is>
          <t>+225 07 09 17 76 75</t>
        </is>
      </c>
      <c r="I676" s="29" t="inlineStr">
        <is>
          <t>hec_ad@yahoo.fr</t>
        </is>
      </c>
      <c r="J676" s="29" t="inlineStr">
        <is>
          <t>https://www.hec-ad.com</t>
        </is>
      </c>
      <c r="K676" s="29" t="inlineStr">
        <is>
          <t>Directeur des Etudes</t>
        </is>
      </c>
      <c r="L676" s="30" t="inlineStr">
        <is>
          <t>Haute</t>
        </is>
      </c>
      <c r="M676" s="29" t="inlineStr">
        <is>
          <t>MESRS - liste officielle grandes ecoles</t>
        </is>
      </c>
      <c r="N676" s="29" t="inlineStr">
        <is>
          <t>gratuite</t>
        </is>
      </c>
      <c r="O676" s="14" t="inlineStr">
        <is>
          <t>a verifier</t>
        </is>
      </c>
      <c r="P676" s="29" t="inlineStr">
        <is>
          <t>commerce</t>
        </is>
      </c>
    </row>
    <row r="677">
      <c r="A677" s="29" t="inlineStr">
        <is>
          <t>INSTITUT D'ENSEIGNEMENT SUPERIEUR EYLIM (IESE)</t>
        </is>
      </c>
      <c r="B677" s="29" t="inlineStr">
        <is>
          <t>Grande ecole BTS - agriculture tropicale, finances comptabilite, genie civil</t>
        </is>
      </c>
      <c r="C677" s="29" t="inlineStr">
        <is>
          <t>Prive</t>
        </is>
      </c>
      <c r="D677" s="29" t="inlineStr">
        <is>
          <t>Yamoussoukro</t>
        </is>
      </c>
      <c r="E677" s="29" t="inlineStr">
        <is>
          <t>KOKRENOU Mairie (près du collège Richelieu)</t>
        </is>
      </c>
      <c r="F677" s="29" t="inlineStr">
        <is>
          <t>+225 05 85 82 52 62</t>
        </is>
      </c>
      <c r="G677" s="29" t="inlineStr"/>
      <c r="H677" s="29" t="inlineStr">
        <is>
          <t>+225 05 85 82 52 62</t>
        </is>
      </c>
      <c r="I677" s="29" t="inlineStr">
        <is>
          <t>info@groupeeylim.ci</t>
        </is>
      </c>
      <c r="J677" s="29" t="inlineStr">
        <is>
          <t>https://www.groupeylim.ci</t>
        </is>
      </c>
      <c r="K677" s="29" t="inlineStr">
        <is>
          <t>Directeur des Etudes</t>
        </is>
      </c>
      <c r="L677" s="30" t="inlineStr">
        <is>
          <t>Haute</t>
        </is>
      </c>
      <c r="M677" s="29" t="inlineStr">
        <is>
          <t>MESRS - liste officielle grandes ecoles</t>
        </is>
      </c>
      <c r="N677" s="29" t="inlineStr">
        <is>
          <t>domaine propre</t>
        </is>
      </c>
      <c r="O677" s="14" t="inlineStr">
        <is>
          <t>a verifier</t>
        </is>
      </c>
      <c r="P677" s="29" t="inlineStr">
        <is>
          <t>commerce</t>
        </is>
      </c>
    </row>
    <row r="678">
      <c r="A678" s="29" t="inlineStr">
        <is>
          <t>INSTITUT DE FORMATION AGROBIO (GROUPE IFA)</t>
        </is>
      </c>
      <c r="B678" s="29" t="inlineStr">
        <is>
          <t>Grande ecole BTS -</t>
        </is>
      </c>
      <c r="C678" s="29" t="inlineStr">
        <is>
          <t>Prive</t>
        </is>
      </c>
      <c r="D678" s="29" t="inlineStr">
        <is>
          <t>Yamoussoukro</t>
        </is>
      </c>
      <c r="E678" s="29" t="inlineStr"/>
      <c r="F678" s="29" t="inlineStr"/>
      <c r="G678" s="29" t="inlineStr"/>
      <c r="H678" s="29" t="inlineStr"/>
      <c r="I678" s="29" t="inlineStr"/>
      <c r="J678" s="29" t="inlineStr"/>
      <c r="K678" s="29" t="inlineStr">
        <is>
          <t>Directeur des Etudes</t>
        </is>
      </c>
      <c r="L678" s="30" t="inlineStr">
        <is>
          <t>Haute</t>
        </is>
      </c>
      <c r="M678" s="29" t="inlineStr">
        <is>
          <t>MESRS - liste officielle grandes ecoles</t>
        </is>
      </c>
      <c r="N678" s="29" t="inlineStr"/>
      <c r="O678" s="31" t="inlineStr">
        <is>
          <t>sans email</t>
        </is>
      </c>
      <c r="P678" s="29" t="inlineStr">
        <is>
          <t>agro</t>
        </is>
      </c>
    </row>
    <row r="679">
      <c r="A679" s="29" t="inlineStr">
        <is>
          <t>INSTITUT DE FORMATION AGROBIO (IFA)</t>
        </is>
      </c>
      <c r="B679" s="29" t="inlineStr">
        <is>
          <t>Grande ecole BTS - assistanat de direction, agriculture tropicale, genie civil</t>
        </is>
      </c>
      <c r="C679" s="29" t="inlineStr">
        <is>
          <t>Prive</t>
        </is>
      </c>
      <c r="D679" s="29" t="inlineStr">
        <is>
          <t>Yamoussoukro</t>
        </is>
      </c>
      <c r="E679" s="29" t="inlineStr"/>
      <c r="F679" s="29" t="inlineStr">
        <is>
          <t>+225 07 79 90 13 18</t>
        </is>
      </c>
      <c r="G679" s="29" t="inlineStr"/>
      <c r="H679" s="29" t="inlineStr">
        <is>
          <t>+225 07 79 90 13 18</t>
        </is>
      </c>
      <c r="I679" s="29" t="inlineStr"/>
      <c r="J679" s="29" t="inlineStr"/>
      <c r="K679" s="29" t="inlineStr">
        <is>
          <t>Directeur des Etudes</t>
        </is>
      </c>
      <c r="L679" s="30" t="inlineStr">
        <is>
          <t>Haute</t>
        </is>
      </c>
      <c r="M679" s="29" t="inlineStr">
        <is>
          <t>MESRS - liste officielle grandes ecoles</t>
        </is>
      </c>
      <c r="N679" s="29" t="inlineStr"/>
      <c r="O679" s="31" t="inlineStr">
        <is>
          <t>sans email</t>
        </is>
      </c>
      <c r="P679" s="29" t="inlineStr">
        <is>
          <t>agro</t>
        </is>
      </c>
    </row>
    <row r="680">
      <c r="A680" s="29" t="inlineStr">
        <is>
          <t>INSTITUT FAMAH YAMOUSSOUKRO (IF YAMOUSSOUKRO)</t>
        </is>
      </c>
      <c r="B680" s="29" t="inlineStr">
        <is>
          <t>Grande ecole BTS - assistanat de direction, agriculture tropicale, communication visuelle</t>
        </is>
      </c>
      <c r="C680" s="29" t="inlineStr">
        <is>
          <t>Prive</t>
        </is>
      </c>
      <c r="D680" s="29" t="inlineStr">
        <is>
          <t>Yamoussoukro</t>
        </is>
      </c>
      <c r="E680" s="29" t="inlineStr">
        <is>
          <t>Quartier Kokrenou Apsonic 2</t>
        </is>
      </c>
      <c r="F680" s="29" t="inlineStr">
        <is>
          <t>+225 07 00 15 63 39</t>
        </is>
      </c>
      <c r="G680" s="29" t="inlineStr"/>
      <c r="H680" s="29" t="inlineStr">
        <is>
          <t>+225 07 00 15 63 39</t>
        </is>
      </c>
      <c r="I680" s="29" t="inlineStr">
        <is>
          <t>assistanatdirectionunsif@gmail.com</t>
        </is>
      </c>
      <c r="J680" s="29" t="inlineStr">
        <is>
          <t>https://www.uns-if.ci</t>
        </is>
      </c>
      <c r="K680" s="29" t="inlineStr">
        <is>
          <t>Directeur des Etudes</t>
        </is>
      </c>
      <c r="L680" s="30" t="inlineStr">
        <is>
          <t>Haute</t>
        </is>
      </c>
      <c r="M680" s="29" t="inlineStr">
        <is>
          <t>MESRS - liste officielle grandes ecoles</t>
        </is>
      </c>
      <c r="N680" s="29" t="inlineStr">
        <is>
          <t>gratuite</t>
        </is>
      </c>
      <c r="O680" s="14" t="inlineStr">
        <is>
          <t>a verifier</t>
        </is>
      </c>
      <c r="P680" s="29" t="inlineStr">
        <is>
          <t>commerce</t>
        </is>
      </c>
    </row>
    <row r="681">
      <c r="A681" s="29" t="inlineStr">
        <is>
          <t>INSTITUT INTERNATIONAL DE FORMATION EN ENTREPRENEURIAT-2IAE YAMOUSSOUKRO (2IFE-2IAE YAMOUSSOUKRO) (Groupe 2IAE-2IFE)</t>
        </is>
      </c>
      <c r="B681" s="29" t="inlineStr">
        <is>
          <t>Grande ecole BTS - agriculture tropicale, finances comptabilite, genie civil</t>
        </is>
      </c>
      <c r="C681" s="29" t="inlineStr">
        <is>
          <t>Prive</t>
        </is>
      </c>
      <c r="D681" s="29" t="inlineStr">
        <is>
          <t>Yamoussoukro</t>
        </is>
      </c>
      <c r="E681" s="29" t="inlineStr">
        <is>
          <t>Quartier Millionnaire, Résidence du maire</t>
        </is>
      </c>
      <c r="F681" s="29" t="inlineStr">
        <is>
          <t>+225 07 07 72 09 40</t>
        </is>
      </c>
      <c r="G681" s="29" t="inlineStr"/>
      <c r="H681" s="29" t="inlineStr">
        <is>
          <t>+225 07 07 72 09 40</t>
        </is>
      </c>
      <c r="I681" s="29" t="inlineStr">
        <is>
          <t>skoua2000@yahoo.fr</t>
        </is>
      </c>
      <c r="J681" s="29" t="inlineStr">
        <is>
          <t>http://www.2iae.com</t>
        </is>
      </c>
      <c r="K681" s="29" t="inlineStr">
        <is>
          <t>Directeur des Etudes</t>
        </is>
      </c>
      <c r="L681" s="30" t="inlineStr">
        <is>
          <t>Haute</t>
        </is>
      </c>
      <c r="M681" s="29" t="inlineStr">
        <is>
          <t>MESRS - liste officielle grandes ecoles</t>
        </is>
      </c>
      <c r="N681" s="29" t="inlineStr">
        <is>
          <t>gratuite</t>
        </is>
      </c>
      <c r="O681" s="14" t="inlineStr">
        <is>
          <t>a verifier</t>
        </is>
      </c>
      <c r="P681" s="29" t="inlineStr">
        <is>
          <t>commerce</t>
        </is>
      </c>
    </row>
    <row r="682">
      <c r="A682" s="29" t="inlineStr">
        <is>
          <t>INSTITUT INTERNATIONAL DE FORMATION TECHNIQUE ET PROFESSIONNELLE (2IFTP)</t>
        </is>
      </c>
      <c r="B682" s="29" t="inlineStr">
        <is>
          <t>Grande ecole BTS/Licence - moteur, assistanat de direction, agriculture tropicale</t>
        </is>
      </c>
      <c r="C682" s="29" t="inlineStr">
        <is>
          <t>Prive</t>
        </is>
      </c>
      <c r="D682" s="29" t="inlineStr">
        <is>
          <t>Yamoussoukro</t>
        </is>
      </c>
      <c r="E682" s="29" t="inlineStr">
        <is>
          <t>Yamoussoukro quartier millionnaire non loin de l’ancien état-major de Gendarmerie</t>
        </is>
      </c>
      <c r="F682" s="29" t="inlineStr">
        <is>
          <t>+225 27 34 75 19 57</t>
        </is>
      </c>
      <c r="G682" s="29" t="inlineStr">
        <is>
          <t>+225 01 52 80 20 77</t>
        </is>
      </c>
      <c r="H682" s="29" t="inlineStr">
        <is>
          <t>+225 01 52 80 20 77</t>
        </is>
      </c>
      <c r="I682" s="29" t="inlineStr">
        <is>
          <t>2iftpyakroci@gmail.com</t>
        </is>
      </c>
      <c r="J682" s="29" t="inlineStr">
        <is>
          <t>https://www.2iftp.com</t>
        </is>
      </c>
      <c r="K682" s="29" t="inlineStr">
        <is>
          <t>Directeur des Etudes</t>
        </is>
      </c>
      <c r="L682" s="30" t="inlineStr">
        <is>
          <t>Haute</t>
        </is>
      </c>
      <c r="M682" s="29" t="inlineStr">
        <is>
          <t>MESRS - liste officielle grandes ecoles</t>
        </is>
      </c>
      <c r="N682" s="29" t="inlineStr">
        <is>
          <t>gratuite</t>
        </is>
      </c>
      <c r="O682" s="14" t="inlineStr">
        <is>
          <t>a verifier</t>
        </is>
      </c>
      <c r="P682" s="29" t="inlineStr">
        <is>
          <t>commerce</t>
        </is>
      </c>
    </row>
    <row r="683">
      <c r="A683" s="29" t="inlineStr">
        <is>
          <t>Institut International Polytechnique des Elites d'Abidjan Yamoussoukro (IIPEA YAMOUSSOUKRO)</t>
        </is>
      </c>
      <c r="B683" s="29" t="inlineStr">
        <is>
          <t>Grande ecole BTS - assistanat de direction, finances comptabilite, gestion commerciale</t>
        </is>
      </c>
      <c r="C683" s="29" t="inlineStr">
        <is>
          <t>Prive</t>
        </is>
      </c>
      <c r="D683" s="29" t="inlineStr">
        <is>
          <t>Yamoussoukro</t>
        </is>
      </c>
      <c r="E683" s="29" t="inlineStr">
        <is>
          <t>Tricassou basilique au lieu de kami château</t>
        </is>
      </c>
      <c r="F683" s="29" t="inlineStr">
        <is>
          <t>+225 07 04 42 42 42</t>
        </is>
      </c>
      <c r="G683" s="29" t="inlineStr">
        <is>
          <t>+225 05 44 90 73 73</t>
        </is>
      </c>
      <c r="H683" s="29" t="inlineStr">
        <is>
          <t>+225 07 04 42 42 42</t>
        </is>
      </c>
      <c r="I683" s="29" t="inlineStr">
        <is>
          <t>secretariat@iipea.com</t>
        </is>
      </c>
      <c r="J683" s="29" t="inlineStr">
        <is>
          <t>https://www.iipea.com</t>
        </is>
      </c>
      <c r="K683" s="29" t="inlineStr">
        <is>
          <t>Directeur des Etudes</t>
        </is>
      </c>
      <c r="L683" s="30" t="inlineStr">
        <is>
          <t>Haute</t>
        </is>
      </c>
      <c r="M683" s="29" t="inlineStr">
        <is>
          <t>MESRS - liste officielle grandes ecoles</t>
        </is>
      </c>
      <c r="N683" s="29" t="inlineStr">
        <is>
          <t>domaine propre</t>
        </is>
      </c>
      <c r="O683" s="14" t="inlineStr">
        <is>
          <t>a verifier</t>
        </is>
      </c>
      <c r="P683" s="29" t="inlineStr">
        <is>
          <t>ingenieur</t>
        </is>
      </c>
    </row>
    <row r="684">
      <c r="A684" s="29" t="inlineStr">
        <is>
          <t>INSTITUT SUPERIEUR DE TECHNOLOGIE APPLIQUEE DE YAMOUSSOUKRO (ISTA)</t>
        </is>
      </c>
      <c r="B684" s="29" t="inlineStr">
        <is>
          <t>Grande ecole BTS - assistanat de direction, finances comptabilite, gestion commerciale</t>
        </is>
      </c>
      <c r="C684" s="29" t="inlineStr">
        <is>
          <t>Prive</t>
        </is>
      </c>
      <c r="D684" s="29" t="inlineStr">
        <is>
          <t>Yamoussoukro</t>
        </is>
      </c>
      <c r="E684" s="29" t="inlineStr">
        <is>
          <t>Millionaire Yamoussoukro, rue des banques, près du carrefour du trésor.</t>
        </is>
      </c>
      <c r="F684" s="29" t="inlineStr">
        <is>
          <t>+225 07 58 57 28 11</t>
        </is>
      </c>
      <c r="G684" s="29" t="inlineStr">
        <is>
          <t>+225 27 30 64 43 43</t>
        </is>
      </c>
      <c r="H684" s="29" t="inlineStr">
        <is>
          <t>+225 07 58 57 28 11</t>
        </is>
      </c>
      <c r="I684" s="29" t="inlineStr">
        <is>
          <t>ista.yamoussoukro@gmail.com</t>
        </is>
      </c>
      <c r="J684" s="29" t="inlineStr"/>
      <c r="K684" s="29" t="inlineStr">
        <is>
          <t>Directeur des Etudes</t>
        </is>
      </c>
      <c r="L684" s="30" t="inlineStr">
        <is>
          <t>Haute</t>
        </is>
      </c>
      <c r="M684" s="29" t="inlineStr">
        <is>
          <t>MESRS - liste officielle grandes ecoles</t>
        </is>
      </c>
      <c r="N684" s="29" t="inlineStr">
        <is>
          <t>gratuite</t>
        </is>
      </c>
      <c r="O684" s="14" t="inlineStr">
        <is>
          <t>a verifier</t>
        </is>
      </c>
      <c r="P684" s="29" t="inlineStr">
        <is>
          <t>numerique</t>
        </is>
      </c>
    </row>
    <row r="685">
      <c r="A685" s="29" t="inlineStr">
        <is>
          <t>INSTITUT SUPERIEUR DU COMMERCE D'ADMINISTRATION DES ENTREPRISES (ISCAE YAMOUSSOUKRO)</t>
        </is>
      </c>
      <c r="B685" s="29" t="inlineStr">
        <is>
          <t>Grande ecole BTS - assistanat de direction, electrotechnique, finances comptabilite</t>
        </is>
      </c>
      <c r="C685" s="29" t="inlineStr">
        <is>
          <t>Prive</t>
        </is>
      </c>
      <c r="D685" s="29" t="inlineStr">
        <is>
          <t>Yamoussoukro</t>
        </is>
      </c>
      <c r="E685" s="29" t="inlineStr">
        <is>
          <t>Situé au 220 logements près de l'ecole primaire EPP ZAHER</t>
        </is>
      </c>
      <c r="F685" s="29" t="inlineStr">
        <is>
          <t>+225 07 07 41 92 36</t>
        </is>
      </c>
      <c r="G685" s="29" t="inlineStr">
        <is>
          <t>+225 01 01 35 92 00</t>
        </is>
      </c>
      <c r="H685" s="29" t="inlineStr">
        <is>
          <t>+225 07 07 41 92 36</t>
        </is>
      </c>
      <c r="I685" s="29" t="inlineStr">
        <is>
          <t>broualainkoffi93@gmail.com</t>
        </is>
      </c>
      <c r="J685" s="29" t="inlineStr"/>
      <c r="K685" s="29" t="inlineStr">
        <is>
          <t>Directeur des Etudes</t>
        </is>
      </c>
      <c r="L685" s="30" t="inlineStr">
        <is>
          <t>Haute</t>
        </is>
      </c>
      <c r="M685" s="29" t="inlineStr">
        <is>
          <t>MESRS - liste officielle grandes ecoles</t>
        </is>
      </c>
      <c r="N685" s="29" t="inlineStr">
        <is>
          <t>gratuite</t>
        </is>
      </c>
      <c r="O685" s="14" t="inlineStr">
        <is>
          <t>a verifier</t>
        </is>
      </c>
      <c r="P685" s="29" t="inlineStr">
        <is>
          <t>commerce</t>
        </is>
      </c>
    </row>
    <row r="686">
      <c r="A686" s="29" t="inlineStr">
        <is>
          <t>INTERNATIONAL HIGH BUSINESS INSTITUTE (IHBI)</t>
        </is>
      </c>
      <c r="B686" s="29" t="inlineStr">
        <is>
          <t>Grande ecole BTS - moteur, finances comptabilite, gestion commerciale</t>
        </is>
      </c>
      <c r="C686" s="29" t="inlineStr">
        <is>
          <t>Prive</t>
        </is>
      </c>
      <c r="D686" s="29" t="inlineStr">
        <is>
          <t>Yamoussoukro</t>
        </is>
      </c>
      <c r="E686" s="29" t="inlineStr">
        <is>
          <t>Au quartier ASSABOU en face de la Préfecture de Région</t>
        </is>
      </c>
      <c r="F686" s="29" t="inlineStr">
        <is>
          <t>+225 07 07 52 35 97</t>
        </is>
      </c>
      <c r="G686" s="29" t="inlineStr">
        <is>
          <t>+225 07 49 04 81 70</t>
        </is>
      </c>
      <c r="H686" s="29" t="inlineStr">
        <is>
          <t>+225 07 07 52 35 97</t>
        </is>
      </c>
      <c r="I686" s="29" t="inlineStr">
        <is>
          <t>ihbi.info@gmail.com</t>
        </is>
      </c>
      <c r="J686" s="29" t="inlineStr">
        <is>
          <t>https://www.ihbi-ci.net</t>
        </is>
      </c>
      <c r="K686" s="29" t="inlineStr">
        <is>
          <t>Directeur des Etudes</t>
        </is>
      </c>
      <c r="L686" s="30" t="inlineStr">
        <is>
          <t>Haute</t>
        </is>
      </c>
      <c r="M686" s="29" t="inlineStr">
        <is>
          <t>MESRS - liste officielle grandes ecoles</t>
        </is>
      </c>
      <c r="N686" s="29" t="inlineStr">
        <is>
          <t>gratuite</t>
        </is>
      </c>
      <c r="O686" s="14" t="inlineStr">
        <is>
          <t>a verifier</t>
        </is>
      </c>
      <c r="P686" s="29" t="inlineStr">
        <is>
          <t>commerce</t>
        </is>
      </c>
    </row>
    <row r="687">
      <c r="A687" s="29" t="inlineStr">
        <is>
          <t>ISCAE ANNEXE QUARTIER CAFOP YAMOUSSOUKRO (ISCAE YAKRO)</t>
        </is>
      </c>
      <c r="B687" s="29" t="inlineStr">
        <is>
          <t>Grande ecole BTS - finances comptabilite, genie civil, gestion commerciale</t>
        </is>
      </c>
      <c r="C687" s="29" t="inlineStr">
        <is>
          <t>Prive</t>
        </is>
      </c>
      <c r="D687" s="29" t="inlineStr">
        <is>
          <t>Yamoussoukro</t>
        </is>
      </c>
      <c r="E687" s="29" t="inlineStr">
        <is>
          <t>Situé au 220 logements près de l'ecole primaire EPP ZAHER</t>
        </is>
      </c>
      <c r="F687" s="29" t="inlineStr">
        <is>
          <t>+225 07 07 41 92 36</t>
        </is>
      </c>
      <c r="G687" s="29" t="inlineStr">
        <is>
          <t>+225 01 01 35 92 00</t>
        </is>
      </c>
      <c r="H687" s="29" t="inlineStr">
        <is>
          <t>+225 07 07 41 92 36</t>
        </is>
      </c>
      <c r="I687" s="29" t="inlineStr">
        <is>
          <t>broualainkoffi93@gmail.com</t>
        </is>
      </c>
      <c r="J687" s="29" t="inlineStr"/>
      <c r="K687" s="29" t="inlineStr">
        <is>
          <t>Directeur des Etudes</t>
        </is>
      </c>
      <c r="L687" s="30" t="inlineStr">
        <is>
          <t>Haute</t>
        </is>
      </c>
      <c r="M687" s="29" t="inlineStr">
        <is>
          <t>MESRS - liste officielle grandes ecoles</t>
        </is>
      </c>
      <c r="N687" s="29" t="inlineStr">
        <is>
          <t>gratuite</t>
        </is>
      </c>
      <c r="O687" s="14" t="inlineStr">
        <is>
          <t>a verifier</t>
        </is>
      </c>
      <c r="P687" s="29" t="inlineStr">
        <is>
          <t>commerce</t>
        </is>
      </c>
    </row>
    <row r="688">
      <c r="A688" s="29" t="inlineStr">
        <is>
          <t>Lycee Scientifique de Yamoussoukro</t>
        </is>
      </c>
      <c r="B688" s="29" t="inlineStr">
        <is>
          <t>Lycee public d'excellence</t>
        </is>
      </c>
      <c r="C688" s="29" t="inlineStr">
        <is>
          <t>Public</t>
        </is>
      </c>
      <c r="D688" s="29" t="inlineStr">
        <is>
          <t>Yamoussoukro</t>
        </is>
      </c>
      <c r="E688" s="29" t="inlineStr">
        <is>
          <t>Yamoussoukro</t>
        </is>
      </c>
      <c r="F688" s="29" t="inlineStr">
        <is>
          <t>+225 27 30 64 07 88</t>
        </is>
      </c>
      <c r="G688" s="29" t="inlineStr"/>
      <c r="H688" s="29" t="inlineStr"/>
      <c r="I688" s="29" t="inlineStr">
        <is>
          <t>lyceescientifiqueyakro@gmail.com</t>
        </is>
      </c>
      <c r="J688" s="29" t="inlineStr">
        <is>
          <t>lsy.ci</t>
        </is>
      </c>
      <c r="K688" s="29" t="inlineStr">
        <is>
          <t>Proviseur / Censeur</t>
        </is>
      </c>
      <c r="L688" s="30" t="inlineStr">
        <is>
          <t>Haute</t>
        </is>
      </c>
      <c r="M688" s="29" t="inlineStr">
        <is>
          <t>lsy.ci</t>
        </is>
      </c>
      <c r="N688" s="29" t="inlineStr">
        <is>
          <t>gratuite</t>
        </is>
      </c>
      <c r="O688" s="30" t="inlineStr">
        <is>
          <t>valide</t>
        </is>
      </c>
      <c r="P688" s="29" t="inlineStr">
        <is>
          <t>lycee</t>
        </is>
      </c>
    </row>
    <row r="689">
      <c r="A689" s="29" t="inlineStr">
        <is>
          <t>PIGIER COTE D'IVOIRE YAMOUSSOUKRO (PIGIER CI-YAMOUSSOUKRO)</t>
        </is>
      </c>
      <c r="B689" s="29" t="inlineStr">
        <is>
          <t>Grande ecole BTS - assistanat de direction, finances comptabilite, gestion commerciale</t>
        </is>
      </c>
      <c r="C689" s="29" t="inlineStr">
        <is>
          <t>Prive</t>
        </is>
      </c>
      <c r="D689" s="29" t="inlineStr">
        <is>
          <t>Yamoussoukro</t>
        </is>
      </c>
      <c r="E689" s="29" t="inlineStr">
        <is>
          <t>Quartier millionnaire face Hôtel Président</t>
        </is>
      </c>
      <c r="F689" s="29" t="inlineStr">
        <is>
          <t>+225 07 87 72 36 66</t>
        </is>
      </c>
      <c r="G689" s="29" t="inlineStr"/>
      <c r="H689" s="29" t="inlineStr">
        <is>
          <t>+225 07 87 72 36 66</t>
        </is>
      </c>
      <c r="I689" s="29" t="inlineStr">
        <is>
          <t>pigierci@pigierci.com</t>
        </is>
      </c>
      <c r="J689" s="29" t="inlineStr">
        <is>
          <t>https://www.pigierci.com</t>
        </is>
      </c>
      <c r="K689" s="29" t="inlineStr">
        <is>
          <t>Directeur des Etudes</t>
        </is>
      </c>
      <c r="L689" s="30" t="inlineStr">
        <is>
          <t>Haute</t>
        </is>
      </c>
      <c r="M689" s="29" t="inlineStr">
        <is>
          <t>MESRS - liste officielle grandes ecoles</t>
        </is>
      </c>
      <c r="N689" s="29" t="inlineStr">
        <is>
          <t>domaine propre</t>
        </is>
      </c>
      <c r="O689" s="14" t="inlineStr">
        <is>
          <t>a verifier</t>
        </is>
      </c>
      <c r="P689" s="29" t="inlineStr">
        <is>
          <t>commerce</t>
        </is>
      </c>
    </row>
    <row r="690">
      <c r="A690" s="29" t="inlineStr">
        <is>
          <t>SUPAGRO AFRIQUE</t>
        </is>
      </c>
      <c r="B690" s="29" t="inlineStr">
        <is>
          <t>Ecole superieure - agronomie et industrie agro-alimentaire</t>
        </is>
      </c>
      <c r="C690" s="29" t="inlineStr">
        <is>
          <t>Prive</t>
        </is>
      </c>
      <c r="D690" s="29" t="inlineStr">
        <is>
          <t>Yamoussoukro</t>
        </is>
      </c>
      <c r="E690" s="29" t="inlineStr"/>
      <c r="F690" s="29" t="inlineStr">
        <is>
          <t>+225 27 30 00 28 88</t>
        </is>
      </c>
      <c r="G690" s="29" t="inlineStr">
        <is>
          <t>+225 07 69 69 66 19</t>
        </is>
      </c>
      <c r="H690" s="29" t="inlineStr"/>
      <c r="I690" s="29" t="inlineStr">
        <is>
          <t>infos@supagro-afrique.com</t>
        </is>
      </c>
      <c r="J690" s="29" t="inlineStr">
        <is>
          <t>https://www.supagro-afrique.com</t>
        </is>
      </c>
      <c r="K690" s="29" t="inlineStr">
        <is>
          <t>Directeur des Etudes</t>
        </is>
      </c>
      <c r="L690" s="30" t="inlineStr">
        <is>
          <t>Haute</t>
        </is>
      </c>
      <c r="M690" s="29" t="inlineStr">
        <is>
          <t>supagro-afrique.com</t>
        </is>
      </c>
      <c r="N690" s="29" t="inlineStr">
        <is>
          <t>domaine propre</t>
        </is>
      </c>
      <c r="O690" s="30" t="inlineStr">
        <is>
          <t>valide</t>
        </is>
      </c>
      <c r="P690" s="29" t="inlineStr">
        <is>
          <t>agro</t>
        </is>
      </c>
    </row>
    <row r="691">
      <c r="A691" s="29" t="inlineStr">
        <is>
          <t>INP-HB (Institut National Polytechnique Felix Houphouet-Boigny)</t>
        </is>
      </c>
      <c r="B691" s="29" t="inlineStr">
        <is>
          <t>Grande ecole publique de reference</t>
        </is>
      </c>
      <c r="C691" s="29" t="inlineStr">
        <is>
          <t>Public</t>
        </is>
      </c>
      <c r="D691" s="29" t="inlineStr">
        <is>
          <t>Yamoussoukro (+ antenne Abidjan)</t>
        </is>
      </c>
      <c r="E691" s="29" t="inlineStr">
        <is>
          <t>BP 1093 Yamoussoukro / BP V 79 Abidjan</t>
        </is>
      </c>
      <c r="F691" s="29" t="inlineStr">
        <is>
          <t>+225 27 30 64 66 61</t>
        </is>
      </c>
      <c r="G691" s="29" t="inlineStr">
        <is>
          <t>+225 05 01 80 00 19</t>
        </is>
      </c>
      <c r="H691" s="29" t="inlineStr"/>
      <c r="I691" s="29" t="inlineStr">
        <is>
          <t>secretariatdg@inphb.ci</t>
        </is>
      </c>
      <c r="J691" s="29" t="inlineStr">
        <is>
          <t>inphb.edu.ci</t>
        </is>
      </c>
      <c r="K691" s="29" t="inlineStr">
        <is>
          <t>Directeur des Etudes / Directeur de Centre</t>
        </is>
      </c>
      <c r="L691" s="29" t="inlineStr">
        <is>
          <t>Moyenne</t>
        </is>
      </c>
      <c r="M691" s="29" t="inlineStr">
        <is>
          <t>inphb.edu.ci</t>
        </is>
      </c>
      <c r="N691" s="29" t="inlineStr">
        <is>
          <t>domaine propre</t>
        </is>
      </c>
      <c r="O691" s="30" t="inlineStr">
        <is>
          <t>valide</t>
        </is>
      </c>
      <c r="P691" s="29" t="inlineStr">
        <is>
          <t>defaut</t>
        </is>
      </c>
    </row>
  </sheetData>
  <autoFilter ref="A1:P6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6" customWidth="1" min="4" max="4"/>
    <col width="46" customWidth="1" min="5" max="5"/>
  </cols>
  <sheetData>
    <row r="1">
      <c r="B1" s="1" t="inlineStr">
        <is>
          <t>OFFRE - INITIATION A L'INTELLIGENCE ARTIFICIELLE</t>
        </is>
      </c>
    </row>
    <row r="2">
      <c r="B2" s="7" t="inlineStr">
        <is>
          <t>Prestation de base : UNE seance de 2h par classe. La 2e seance se negocie, elle n'est jamais promise d'emblee.</t>
        </is>
      </c>
    </row>
    <row r="3">
      <c r="B3" s="7" t="inlineStr">
        <is>
          <t>Aucun suivi individuel, aucun groupe WhatsApp : l'interlocuteur est l'etablissement, pas l'eleve.</t>
        </is>
      </c>
    </row>
    <row r="5">
      <c r="B5" s="33" t="inlineStr">
        <is>
          <t>Les deux paliers</t>
        </is>
      </c>
    </row>
    <row r="6">
      <c r="B6" s="34" t="inlineStr">
        <is>
          <t>Montant par eleve</t>
        </is>
      </c>
      <c r="C6" s="34" t="inlineStr">
        <is>
          <t>Prestation de base</t>
        </is>
      </c>
      <c r="D6" s="34" t="inlineStr">
        <is>
          <t>2e seance</t>
        </is>
      </c>
    </row>
    <row r="7">
      <c r="B7" s="35" t="n">
        <v>5000</v>
      </c>
      <c r="C7" s="2" t="inlineStr">
        <is>
          <t>1 seance de 2h + kit + attestation</t>
        </is>
      </c>
      <c r="D7" s="2" t="inlineStr">
        <is>
          <t>Facturee +3 000 F par eleve</t>
        </is>
      </c>
    </row>
    <row r="8">
      <c r="B8" s="35" t="n">
        <v>10000</v>
      </c>
      <c r="C8" s="2" t="inlineStr">
        <is>
          <t>1 seance de 2h + kit + attestation</t>
        </is>
      </c>
      <c r="D8" s="2" t="inlineStr">
        <is>
          <t>Incluable si la classe fait 40 eleves ou plus</t>
        </is>
      </c>
    </row>
    <row r="9">
      <c r="B9" s="7" t="inlineStr">
        <is>
          <t>Les deux montants ci-dessus sont en bleu : ce sont les seules valeurs a modifier. Le tableau ci-dessous se recalcule.</t>
        </is>
      </c>
    </row>
    <row r="11">
      <c r="B11" s="33" t="inlineStr">
        <is>
          <t>Chiffre d'affaires par classe, pour 2h de presence</t>
        </is>
      </c>
    </row>
    <row r="12">
      <c r="B12" s="34" t="inlineStr">
        <is>
          <t>Effectif de la classe</t>
        </is>
      </c>
      <c r="C12" s="34" t="inlineStr">
        <is>
          <t>A 5 000 F par eleve</t>
        </is>
      </c>
      <c r="D12" s="34" t="inlineStr">
        <is>
          <t>A 10 000 F par eleve</t>
        </is>
      </c>
    </row>
    <row r="13">
      <c r="B13" s="36" t="n">
        <v>25</v>
      </c>
      <c r="C13" s="37">
        <f>$B13*$B$7</f>
        <v/>
      </c>
      <c r="D13" s="37">
        <f>$B13*$B$8</f>
        <v/>
      </c>
    </row>
    <row r="14">
      <c r="B14" s="36" t="n">
        <v>40</v>
      </c>
      <c r="C14" s="37">
        <f>$B14*$B$7</f>
        <v/>
      </c>
      <c r="D14" s="37">
        <f>$B14*$B$8</f>
        <v/>
      </c>
    </row>
    <row r="15">
      <c r="B15" s="36" t="n">
        <v>60</v>
      </c>
      <c r="C15" s="37">
        <f>$B15*$B$7</f>
        <v/>
      </c>
      <c r="D15" s="37">
        <f>$B15*$B$8</f>
        <v/>
      </c>
    </row>
    <row r="16">
      <c r="B16" s="36" t="n">
        <v>100</v>
      </c>
      <c r="C16" s="37">
        <f>$B16*$B$7</f>
        <v/>
      </c>
      <c r="D16" s="37">
        <f>$B16*$B$8</f>
        <v/>
      </c>
    </row>
    <row r="17">
      <c r="B17" s="6" t="inlineStr">
        <is>
          <t>5 classes de 40 eleves</t>
        </is>
      </c>
      <c r="C17" s="38">
        <f>5*40*$B$7</f>
        <v/>
      </c>
      <c r="D17" s="38">
        <f>5*40*$B$8</f>
        <v/>
      </c>
    </row>
    <row r="18">
      <c r="B18" s="8" t="inlineStr">
        <is>
          <t>Le volume vient du NOMBRE DE CLASSES, jamais du nombre de seances.</t>
        </is>
      </c>
    </row>
    <row r="20">
      <c r="B20" s="33" t="inlineStr">
        <is>
          <t>Regles de negociation a tenir</t>
        </is>
      </c>
    </row>
    <row r="21" ht="28" customHeight="1">
      <c r="B21" s="2" t="inlineStr">
        <is>
          <t>1.</t>
        </is>
      </c>
      <c r="C21" s="2" t="inlineStr">
        <is>
          <t>Annoncer une seance. Une seule. Si on en annonce deux, on n'a plus rien a donner en negociation et on a divise le prix horaire par deux pour rien.</t>
        </is>
      </c>
    </row>
    <row r="22" ht="28" customHeight="1">
      <c r="B22" s="2" t="inlineStr">
        <is>
          <t>2.</t>
        </is>
      </c>
      <c r="C22" s="2" t="inlineStr">
        <is>
          <t>La 2e seance ne se donne jamais contre rien. Elle s'echange contre un engagement sur 3 classes, un paiement integral d'avance, ou des dates bloquees et signees.</t>
        </is>
      </c>
    </row>
    <row r="23" ht="28" customHeight="1">
      <c r="B23" s="2" t="inlineStr">
        <is>
          <t>3.</t>
        </is>
      </c>
      <c r="C23" s="2" t="inlineStr">
        <is>
          <t>Toujours presenter 10 000 F en premier, puis 5 000 F comme repli. Dans l'autre sens, aucun etablissement ne monte.</t>
        </is>
      </c>
    </row>
    <row r="24" ht="28" customHeight="1">
      <c r="B24" s="2" t="inlineStr">
        <is>
          <t>4.</t>
        </is>
      </c>
      <c r="C24" s="2" t="inlineStr">
        <is>
          <t>Seuil minimum : 20 eleves payants. En dessous, proposer de regrouper deux classes de la meme filiere dans la meme salle.</t>
        </is>
      </c>
    </row>
    <row r="25" ht="28" customHeight="1">
      <c r="B25" s="2" t="inlineStr">
        <is>
          <t>5.</t>
        </is>
      </c>
      <c r="C25" s="2" t="inlineStr">
        <is>
          <t>Encaissement : 100 % avant la seance, ou 50 % a la reservation et 50 % a l'arrivee. Jamais de seance entierement a credit.</t>
        </is>
      </c>
    </row>
    <row r="26" ht="28" customHeight="1">
      <c r="B26" s="2" t="inlineStr">
        <is>
          <t>6.</t>
        </is>
      </c>
      <c r="C26" s="2" t="inlineStr">
        <is>
          <t>Classe pilote a 5 000 F uniquement si l'etablissement s'engage par ecrit sur 3 classes supplementaires le meme mois.</t>
        </is>
      </c>
    </row>
    <row r="29">
      <c r="B29" s="33" t="inlineStr">
        <is>
          <t>Contenu de la seance (2h)</t>
        </is>
      </c>
    </row>
    <row r="30">
      <c r="B30" s="8" t="inlineStr">
        <is>
          <t>15 min</t>
        </is>
      </c>
      <c r="C30" s="2" t="inlineStr">
        <is>
          <t>Ce qu'est vraiment l'IA, sans jargon</t>
        </is>
      </c>
    </row>
    <row r="31">
      <c r="B31" s="8" t="inlineStr">
        <is>
          <t>20 min</t>
        </is>
      </c>
      <c r="C31" s="2" t="inlineStr">
        <is>
          <t>Demo live : un devoir et un expose traites devant la classe</t>
        </is>
      </c>
    </row>
    <row r="32">
      <c r="B32" s="8" t="inlineStr">
        <is>
          <t>40 min</t>
        </is>
      </c>
      <c r="C32" s="2" t="inlineStr">
        <is>
          <t>Atelier encadre : chaque eleve fait tourner ses premiers prompts sur son telephone</t>
        </is>
      </c>
    </row>
    <row r="33">
      <c r="B33" s="8" t="inlineStr">
        <is>
          <t>15 min</t>
        </is>
      </c>
      <c r="C33" s="2" t="inlineStr">
        <is>
          <t>Cas d'usage propres a leur filiere</t>
        </is>
      </c>
    </row>
    <row r="34">
      <c r="B34" s="8" t="inlineStr">
        <is>
          <t>15 min</t>
        </is>
      </c>
      <c r="C34" s="2" t="inlineStr">
        <is>
          <t>Les 5 pieges : hallucination, plagiat, dependance, donnees personnelles, triche</t>
        </is>
      </c>
    </row>
    <row r="35">
      <c r="B35" s="8" t="inlineStr">
        <is>
          <t>10 min</t>
        </is>
      </c>
      <c r="C35" s="2" t="inlineStr">
        <is>
          <t>IA et employabilite : CV, lettre de motivation, preparation d'entretien</t>
        </is>
      </c>
    </row>
    <row r="36">
      <c r="B36" s="8" t="inlineStr">
        <is>
          <t>5 min</t>
        </is>
      </c>
      <c r="C36" s="2" t="inlineStr">
        <is>
          <t>Remise des attestations</t>
        </is>
      </c>
    </row>
    <row r="38">
      <c r="B38" s="33" t="inlineStr">
        <is>
          <t>2e seance - uniquement si negociee</t>
        </is>
      </c>
    </row>
    <row r="39">
      <c r="B39" s="8" t="inlineStr">
        <is>
          <t>35 min</t>
        </is>
      </c>
      <c r="C39" s="2" t="inlineStr">
        <is>
          <t>Rediger un rapport de stage ou un memoire avec l'IA sans tomber dans le plagiat</t>
        </is>
      </c>
    </row>
    <row r="40">
      <c r="B40" s="8" t="inlineStr">
        <is>
          <t>40 min</t>
        </is>
      </c>
      <c r="C40" s="2" t="inlineStr">
        <is>
          <t>Atelier sur un vrai sujet donne par le professeur, de la recherche au plan detaille</t>
        </is>
      </c>
    </row>
    <row r="41">
      <c r="B41" s="8" t="inlineStr">
        <is>
          <t>25 min</t>
        </is>
      </c>
      <c r="C41" s="2" t="inlineStr">
        <is>
          <t>Verifier une reponse d'IA : la methode en 3 controles</t>
        </is>
      </c>
    </row>
    <row r="42">
      <c r="B42" s="8" t="inlineStr">
        <is>
          <t>20 min</t>
        </is>
      </c>
      <c r="C42" s="2" t="inlineStr">
        <is>
          <t>Les outils gratuits accessibles depuis la Cote d'Ivoire et leurs limites</t>
        </is>
      </c>
    </row>
    <row r="44">
      <c r="B44" s="8" t="inlineStr">
        <is>
          <t>Materiel demande a l'ecole : une salle, un videoprojecteur, une prise. Les eleves utilisent leur telephone.</t>
        </is>
      </c>
    </row>
  </sheetData>
  <mergeCells count="18">
    <mergeCell ref="C42:E42"/>
    <mergeCell ref="C30:E30"/>
    <mergeCell ref="C33:E33"/>
    <mergeCell ref="C36:E36"/>
    <mergeCell ref="C41:E41"/>
    <mergeCell ref="C31:E31"/>
    <mergeCell ref="C23:E23"/>
    <mergeCell ref="C22:E22"/>
    <mergeCell ref="C39:E39"/>
    <mergeCell ref="C40:E40"/>
    <mergeCell ref="B44:E44"/>
    <mergeCell ref="C26:E26"/>
    <mergeCell ref="C35:E35"/>
    <mergeCell ref="C21:E21"/>
    <mergeCell ref="C34:E34"/>
    <mergeCell ref="C25:E25"/>
    <mergeCell ref="C32:E32"/>
    <mergeCell ref="C24:E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6" customWidth="1" min="3" max="3"/>
  </cols>
  <sheetData>
    <row r="1">
      <c r="B1" s="1" t="inlineStr">
        <is>
          <t>SCRIPTS D'APPROCHE - DIRECTEURS DES ETUDES</t>
        </is>
      </c>
    </row>
    <row r="3">
      <c r="B3" s="11" t="inlineStr">
        <is>
          <t>1. WhatsApp (premier contact, le plus efficace en CI)</t>
        </is>
      </c>
    </row>
    <row r="4" ht="15" customHeight="1">
      <c r="C4" s="2" t="inlineStr">
        <is>
          <t>Bonjour Monsieur/Madame,</t>
        </is>
      </c>
    </row>
    <row r="5" ht="30" customHeight="1">
      <c r="C5" s="2" t="inlineStr">
        <is>
          <t>Je suis [NOM], de BIG REUSSITE. Je m'adresse a vous en tant que Directeur des Etudes de [ECOLE].</t>
        </is>
      </c>
    </row>
    <row r="6" ht="45" customHeight="1">
      <c r="C6" s="2" t="inlineStr">
        <is>
          <t>Nous animons des sessions d'initiation a l'intelligence artificielle directement dans les classes : une seance pratique de 2h, avec les telephones des eleves, sans besoin de salle informatique.</t>
        </is>
      </c>
    </row>
    <row r="7" ht="30" customHeight="1">
      <c r="C7" s="2" t="inlineStr">
        <is>
          <t>L'objectif est simple : que vos etudiants de [FILIERE] sachent utiliser l'IA pour leurs travaux et pour leur employabilite, au lieu de la subir.</t>
        </is>
      </c>
    </row>
    <row r="8" ht="30" customHeight="1">
      <c r="C8" s="2" t="inlineStr">
        <is>
          <t>Puis-je vous envoyer le programme en 1 page ? Et seriez-vous disponible 15 minutes cette semaine pour en parler ?</t>
        </is>
      </c>
    </row>
    <row r="9" ht="15" customHeight="1">
      <c r="C9" s="2" t="inlineStr">
        <is>
          <t>Cordialement, [NOM] - [TELEPHONE]</t>
        </is>
      </c>
    </row>
    <row r="10" ht="15" customHeight="1">
      <c r="C10" s="2" t="inlineStr">
        <is>
          <t>Regle : un seul message. Relance a J+2, puis a J+7, puis on arrete.</t>
        </is>
      </c>
    </row>
    <row r="12">
      <c r="B12" s="11" t="inlineStr">
        <is>
          <t>2. Appel au standard (quand on n'a que le fixe)</t>
        </is>
      </c>
    </row>
    <row r="13" ht="30" customHeight="1">
      <c r="C13" s="2" t="inlineStr">
        <is>
          <t>Bonjour, [NOM] de BIG REUSSITE. Je souhaite joindre le Directeur des Etudes, s'il vous plait. C'est au sujet d'un programme d'initiation a l'IA pour vos classes de BTS.</t>
        </is>
      </c>
    </row>
    <row r="14" ht="30" customHeight="1">
      <c r="C14" s="2" t="inlineStr">
        <is>
          <t>Si indisponible : Pouvez-vous me donner son numero direct ou son WhatsApp ? Je lui envoie le programme, il verra en 2 minutes si ca l'interesse.</t>
        </is>
      </c>
    </row>
    <row r="15" ht="30" customHeight="1">
      <c r="C15" s="2" t="inlineStr">
        <is>
          <t>Noter immediatement son nom dans la colonne Nom du Directeur des Etudes de l'onglet Suivi appels.</t>
        </is>
      </c>
    </row>
    <row r="17">
      <c r="B17" s="11" t="inlineStr">
        <is>
          <t>3. E-mail (trace formelle, apres le WhatsApp)</t>
        </is>
      </c>
    </row>
    <row r="18" ht="15" customHeight="1">
      <c r="C18" s="2" t="inlineStr">
        <is>
          <t>Objet : Initiation a l'IA pour vos classes - une seance de 2h par classe</t>
        </is>
      </c>
    </row>
    <row r="19" ht="15" customHeight="1">
      <c r="C19" s="2" t="inlineStr">
        <is>
          <t>Madame, Monsieur le Directeur des Etudes,</t>
        </is>
      </c>
    </row>
    <row r="20" ht="30" customHeight="1">
      <c r="C20" s="2" t="inlineStr">
        <is>
          <t>BIG REUSSITE propose aux grandes ecoles de Cote d'Ivoire un module court d'initiation a l'intelligence artificielle, concu pour les etudiants et anime en presentiel dans vos locaux.</t>
        </is>
      </c>
    </row>
    <row r="21" ht="30" customHeight="1">
      <c r="C21" s="2" t="inlineStr">
        <is>
          <t>Format : une seance de 2h par classe. Materiel : telephones des etudiants et un videoprojecteur. Livrable : kit de prompts et attestation de participation.</t>
        </is>
      </c>
    </row>
    <row r="22" ht="45" customHeight="1">
      <c r="C22" s="2" t="inlineStr">
        <is>
          <t>Le module couvre l'usage professionnel de l'IA, les cas d'usage propres a chaque filiere, et les regles d'usage responsable, un point que beaucoup d'etablissements souhaitent aujourd'hui cadrer aupres de leurs etudiants.</t>
        </is>
      </c>
    </row>
    <row r="23" ht="30" customHeight="1">
      <c r="C23" s="2" t="inlineStr">
        <is>
          <t>Je me tiens a votre disposition pour vous presenter le programme detaille et convenir d'un creneau test sur une classe.</t>
        </is>
      </c>
    </row>
    <row r="24" ht="15" customHeight="1">
      <c r="C24" s="2" t="inlineStr">
        <is>
          <t>Cordialement, [NOM] - BIG REUSSITE - [TELEPHONE] - [EMAIL]</t>
        </is>
      </c>
    </row>
    <row r="26">
      <c r="B26" s="11" t="inlineStr">
        <is>
          <t>4. Objections qui reviennent</t>
        </is>
      </c>
    </row>
    <row r="27">
      <c r="B27" s="34" t="inlineStr">
        <is>
          <t>Objection</t>
        </is>
      </c>
      <c r="C27" s="34" t="inlineStr">
        <is>
          <t>Reponse</t>
        </is>
      </c>
    </row>
    <row r="28" ht="30" customHeight="1">
      <c r="B28" s="8" t="inlineStr">
        <is>
          <t>On n'a pas de salle informatique</t>
        </is>
      </c>
      <c r="C28" s="2" t="inlineStr">
        <is>
          <t>Pas necessaire. Les etudiants travaillent sur leur telephone. Il faut juste une salle et un videoprojecteur.</t>
        </is>
      </c>
    </row>
    <row r="29" ht="30" customHeight="1">
      <c r="B29" s="8" t="inlineStr">
        <is>
          <t>Ce n'est pas au programme officiel</t>
        </is>
      </c>
      <c r="C29" s="2" t="inlineStr">
        <is>
          <t>C'est un module hors cursus, sur un creneau libre ou un samedi. Aucune modification de maquette, aucune validation ministerielle requise.</t>
        </is>
      </c>
    </row>
    <row r="30" ht="30" customHeight="1">
      <c r="B30" s="8" t="inlineStr">
        <is>
          <t>Qui paie ?</t>
        </is>
      </c>
      <c r="C30" s="2" t="inlineStr">
        <is>
          <t>L'etablissement fixe une somme par eleve et la collecte, via les frais annexes ou via les delegues de classe. On ne facture qu'une fois la classe confirmee.</t>
        </is>
      </c>
    </row>
    <row r="31" ht="45" customHeight="1">
      <c r="B31" s="8" t="inlineStr">
        <is>
          <t>Une seule seance, ca suffit ?</t>
        </is>
      </c>
      <c r="C31" s="2" t="inlineStr">
        <is>
          <t>La seance est autonome : a la fin, chaque etudiant a fait tourner l'outil lui-meme et repart avec son kit. Une 2e seance est possible, on en discute une fois la premiere programmee. Ne jamais l'offrir a ce stade.</t>
        </is>
      </c>
    </row>
    <row r="32" ht="30" customHeight="1">
      <c r="B32" s="8" t="inlineStr">
        <is>
          <t>C'est cher pour nos etudiants</t>
        </is>
      </c>
      <c r="C32" s="2" t="inlineStr">
        <is>
          <t>Descendre le montant par eleve de 10 000 a 5 000, jamais le nombre de seances ni le seuil de 20 eleves. Et ne descendre qu'en echange d'un engagement sur d'autres classes.</t>
        </is>
      </c>
    </row>
    <row r="34">
      <c r="B34" s="11" t="inlineStr">
        <is>
          <t>5. Rythme</t>
        </is>
      </c>
    </row>
    <row r="35" ht="45" customHeight="1">
      <c r="C35" s="2" t="inlineStr">
        <is>
          <t>15 contacts WhatsApp par jour sur la vague 1, relance a J+2 puis J+7, puis on passe a la vague suivante. Renseigner le nom du Directeur des Etudes a chaque appel : c'est cette colonne qui fera la valeur de la base dans un mois.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74" customWidth="1" min="3" max="3"/>
    <col width="46" customWidth="1" min="4" max="4"/>
  </cols>
  <sheetData>
    <row r="1">
      <c r="B1" s="33" t="inlineStr">
        <is>
          <t>ACCROCHES PAR FILIERE</t>
        </is>
      </c>
    </row>
    <row r="2">
      <c r="B2" s="7" t="inlineStr">
        <is>
          <t>Lue par la fiche prospect. Une ligne par segment de filiere.</t>
        </is>
      </c>
    </row>
    <row r="4">
      <c r="B4" s="34" t="inlineStr">
        <is>
          <t>Segment</t>
        </is>
      </c>
      <c r="C4" s="34" t="inlineStr">
        <is>
          <t>Accroche WhatsApp</t>
        </is>
      </c>
      <c r="D4" s="34" t="inlineStr">
        <is>
          <t>Travaux rendus</t>
        </is>
      </c>
    </row>
    <row r="5" ht="30" customHeight="1">
      <c r="B5" s="2" t="inlineStr">
        <is>
          <t>agro</t>
        </is>
      </c>
      <c r="C5" s="2" t="inlineStr">
        <is>
          <t>Vos étudiants rendent déjà des analyses de données produites par une IA. Sans savoir ce qu'elles valent.</t>
        </is>
      </c>
      <c r="D5" s="2" t="inlineStr">
        <is>
          <t>un rapport de stage ou un mémoire technique</t>
        </is>
      </c>
    </row>
    <row r="6" ht="30" customHeight="1">
      <c r="B6" s="2" t="inlineStr">
        <is>
          <t>btp</t>
        </is>
      </c>
      <c r="C6" s="2" t="inlineStr">
        <is>
          <t>Vos étudiants recopient déjà des notes de calcul sorties d'une IA. Sans les refaire.</t>
        </is>
      </c>
      <c r="D6" s="2" t="inlineStr">
        <is>
          <t>un rapport de chantier, un métré ou une note de calcul</t>
        </is>
      </c>
    </row>
    <row r="7" ht="30" customHeight="1">
      <c r="B7" s="2" t="inlineStr">
        <is>
          <t>commerce</t>
        </is>
      </c>
      <c r="C7" s="2" t="inlineStr">
        <is>
          <t>Vos étudiants rendent déjà des études de marché avec des chiffres inventés par une IA. Et ils ne le savent même pas.</t>
        </is>
      </c>
      <c r="D7" s="2" t="inlineStr">
        <is>
          <t>une étude de marché, un business plan ou un rapport de stage</t>
        </is>
      </c>
    </row>
    <row r="8" ht="30" customHeight="1">
      <c r="B8" s="2" t="inlineStr">
        <is>
          <t>communication</t>
        </is>
      </c>
      <c r="C8" s="2" t="inlineStr">
        <is>
          <t>Vos étudiants produisent déjà leurs dossiers avec une IA. Sans se douter de ce que ça pose comme problème de droits.</t>
        </is>
      </c>
      <c r="D8" s="2" t="inlineStr">
        <is>
          <t>un dossier de production ou un mémoire</t>
        </is>
      </c>
    </row>
    <row r="9" ht="30" customHeight="1">
      <c r="B9" s="2" t="inlineStr">
        <is>
          <t>defaut</t>
        </is>
      </c>
      <c r="C9" s="2" t="inlineStr">
        <is>
          <t>Vos étudiants rendent déjà des travaux écrits par une IA. Vos enseignants le voient sans pouvoir le prouver.</t>
        </is>
      </c>
      <c r="D9" s="2" t="inlineStr">
        <is>
          <t>un exposé ou un rapport de stage</t>
        </is>
      </c>
    </row>
    <row r="10" ht="30" customHeight="1">
      <c r="B10" s="2" t="inlineStr">
        <is>
          <t>formation</t>
        </is>
      </c>
      <c r="C10" s="2" t="inlineStr">
        <is>
          <t>Vos apprenants utilisent déjà l'IA tous les jours. Aucun ne sait s'en servir pour le métier qu'il vise.</t>
        </is>
      </c>
      <c r="D10" s="2" t="inlineStr">
        <is>
          <t>un projet de fin de formation ou un rapport de stage</t>
        </is>
      </c>
    </row>
    <row r="11" ht="30" customHeight="1">
      <c r="B11" s="2" t="inlineStr">
        <is>
          <t>hotellerie</t>
        </is>
      </c>
      <c r="C11" s="2" t="inlineStr">
        <is>
          <t>Vos étudiants rédigent déjà leurs rapports de stage avec une IA. Et ils ne savent pas s'en servir pour le métier qui les attend.</t>
        </is>
      </c>
      <c r="D11" s="2" t="inlineStr">
        <is>
          <t>un rapport de stage ou un projet d'établissement</t>
        </is>
      </c>
    </row>
    <row r="12" ht="30" customHeight="1">
      <c r="B12" s="2" t="inlineStr">
        <is>
          <t>ingenieur</t>
        </is>
      </c>
      <c r="C12" s="2" t="inlineStr">
        <is>
          <t>Vos étudiants rendent déjà des notes techniques écrites par une IA. Sans savoir refaire le calcul qu'il y a derrière.</t>
        </is>
      </c>
      <c r="D12" s="2" t="inlineStr">
        <is>
          <t>un rapport de projet ou une note technique</t>
        </is>
      </c>
    </row>
    <row r="13" ht="30" customHeight="1">
      <c r="B13" s="2" t="inlineStr">
        <is>
          <t>logistique</t>
        </is>
      </c>
      <c r="C13" s="2" t="inlineStr">
        <is>
          <t>Vos étudiants rendent déjà des études de flux dont les chiffres sortent d'une IA. Chiffres que personne n'a contrôlés.</t>
        </is>
      </c>
      <c r="D13" s="2" t="inlineStr">
        <is>
          <t>une étude de cas transport ou un rapport de stage</t>
        </is>
      </c>
    </row>
    <row r="14" ht="30" customHeight="1">
      <c r="B14" s="2" t="inlineStr">
        <is>
          <t>lycee</t>
        </is>
      </c>
      <c r="C14" s="2" t="inlineStr">
        <is>
          <t>Vos élèves rendent déjà des exposés écrits par une IA. Vos enseignants le voient sans pouvoir le prouver.</t>
        </is>
      </c>
      <c r="D14" s="2" t="inlineStr">
        <is>
          <t>un exposé ou un dossier de projet</t>
        </is>
      </c>
    </row>
    <row r="15" ht="30" customHeight="1">
      <c r="B15" s="2" t="inlineStr">
        <is>
          <t>numerique</t>
        </is>
      </c>
      <c r="C15" s="2" t="inlineStr">
        <is>
          <t>Vos étudiants livrent déjà du code écrit par une IA. La plupart seraient incapables de l'expliquer devant un jury.</t>
        </is>
      </c>
      <c r="D15" s="2" t="inlineStr">
        <is>
          <t>un rapport de projet ou une documentation technique</t>
        </is>
      </c>
    </row>
    <row r="16" ht="30" customHeight="1">
      <c r="B16" s="2" t="inlineStr">
        <is>
          <t>sante</t>
        </is>
      </c>
      <c r="C16" s="2" t="inlineStr">
        <is>
          <t>Vos étudiants recopient déjà des informations médicales sorties d'une IA. Sans les vérifier une seule fois.</t>
        </is>
      </c>
      <c r="D16" s="2" t="inlineStr">
        <is>
          <t>un mémoire de fin de cycle ou un rapport de stage clinique</t>
        </is>
      </c>
    </row>
    <row r="17" ht="30" customHeight="1">
      <c r="B17" s="2" t="inlineStr">
        <is>
          <t>universite</t>
        </is>
      </c>
      <c r="C17" s="2" t="inlineStr">
        <is>
          <t>Vos étudiants rendent déjà des exposés et des mémoires écrits par une IA. Vos enseignants le voient sans pouvoir le prouver.</t>
        </is>
      </c>
      <c r="D17" s="2" t="inlineStr">
        <is>
          <t>un exposé, un rapport de stage ou un mémoire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2026-09-29T15:00:26Z</dcterms:created>
  <dcterms:modified xsi:type="dcterms:W3CDTF">2026-09-29T15:00:27Z</dcterms:modified>
</cp:coreProperties>
</file>